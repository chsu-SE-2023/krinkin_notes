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ЭтаКнига" defaultThemeVersion="202300"/>
  <mc:AlternateContent xmlns:mc="http://schemas.openxmlformats.org/markup-compatibility/2006">
    <mc:Choice Requires="x15">
      <x15ac:absPath xmlns:x15ac="http://schemas.microsoft.com/office/spreadsheetml/2010/11/ac" url="C:\Users\olest\Documents\"/>
    </mc:Choice>
  </mc:AlternateContent>
  <xr:revisionPtr revIDLastSave="0" documentId="13_ncr:1_{C1646AA8-9DFF-432E-9F14-CFA412477795}" xr6:coauthVersionLast="47" xr6:coauthVersionMax="47" xr10:uidLastSave="{00000000-0000-0000-0000-000000000000}"/>
  <bookViews>
    <workbookView xWindow="375" yWindow="225" windowWidth="22350" windowHeight="13740" xr2:uid="{4AD742C2-140D-40AA-874B-93EE3BEBF6E3}"/>
  </bookViews>
  <sheets>
    <sheet name="Лист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3" i="1" l="1"/>
  <c r="L18" i="1"/>
  <c r="I43" i="1" a="1"/>
  <c r="H43" i="1" a="1"/>
  <c r="J43" i="1" a="1"/>
  <c r="K43" i="1" a="1"/>
  <c r="G43" i="1" a="1"/>
  <c r="F43" i="1" a="1"/>
  <c r="E43" i="1" a="1"/>
  <c r="D43" i="1" a="1"/>
  <c r="C43" i="1" a="1"/>
  <c r="B43" i="1" a="1"/>
  <c r="K18" i="1" a="1"/>
  <c r="J18" i="1" a="1"/>
  <c r="I18" i="1" a="1"/>
  <c r="H18" i="1" a="1"/>
  <c r="G18" i="1" a="1"/>
  <c r="F18" i="1" a="1"/>
  <c r="E18" i="1" a="1"/>
  <c r="D18" i="1" a="1"/>
  <c r="C18" i="1" a="1"/>
  <c r="B18" i="1" a="1"/>
  <c r="I43" i="1" l="1"/>
  <c r="H43" i="1"/>
  <c r="J43" i="1"/>
  <c r="K43" i="1"/>
  <c r="G43" i="1"/>
  <c r="F43" i="1"/>
  <c r="E43" i="1"/>
  <c r="D43" i="1"/>
  <c r="C43" i="1"/>
  <c r="B43" i="1"/>
  <c r="L44" i="1"/>
  <c r="K18" i="1"/>
  <c r="J18" i="1"/>
  <c r="I18" i="1"/>
  <c r="H18" i="1"/>
  <c r="G18" i="1"/>
  <c r="F18" i="1"/>
  <c r="E18" i="1"/>
  <c r="D18" i="1"/>
  <c r="C18" i="1"/>
  <c r="B18" i="1"/>
  <c r="L19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<sst xmlns="http://schemas.openxmlformats.org/spreadsheetml/2006/main" count="213" uniqueCount="55">
  <si>
    <t>Repeater</t>
  </si>
  <si>
    <t>WLRepeater</t>
  </si>
  <si>
    <t>Switch</t>
  </si>
  <si>
    <t>Router</t>
  </si>
  <si>
    <t>Gateway</t>
  </si>
  <si>
    <t>ServerRoom</t>
  </si>
  <si>
    <t>DataCenter</t>
  </si>
  <si>
    <t>Container</t>
  </si>
  <si>
    <t>Address</t>
  </si>
  <si>
    <t>Client</t>
  </si>
  <si>
    <t>constructors</t>
  </si>
  <si>
    <t>operators</t>
  </si>
  <si>
    <t>clients_count</t>
  </si>
  <si>
    <t>get_address</t>
  </si>
  <si>
    <t>get_info</t>
  </si>
  <si>
    <t>get_bytes</t>
  </si>
  <si>
    <t>set_address</t>
  </si>
  <si>
    <t>receive</t>
  </si>
  <si>
    <t>reset</t>
  </si>
  <si>
    <t>get_ssid</t>
  </si>
  <si>
    <t>set_ssid</t>
  </si>
  <si>
    <t>set_passwd</t>
  </si>
  <si>
    <t>connect</t>
  </si>
  <si>
    <t>disconnect</t>
  </si>
  <si>
    <t>get_clients</t>
  </si>
  <si>
    <t>set_clients</t>
  </si>
  <si>
    <t>get_protocol</t>
  </si>
  <si>
    <t>set_protocol</t>
  </si>
  <si>
    <t>is_wps</t>
  </si>
  <si>
    <t>wps_init</t>
  </si>
  <si>
    <t>add</t>
  </si>
  <si>
    <t>get_vector</t>
  </si>
  <si>
    <t>seek</t>
  </si>
  <si>
    <t>sort</t>
  </si>
  <si>
    <t>search</t>
  </si>
  <si>
    <t>size</t>
  </si>
  <si>
    <t>cli_total</t>
  </si>
  <si>
    <t>get_total_devices</t>
  </si>
  <si>
    <t>clear</t>
  </si>
  <si>
    <t>count</t>
  </si>
  <si>
    <t>as_string</t>
  </si>
  <si>
    <t>generate</t>
  </si>
  <si>
    <t>get_name</t>
  </si>
  <si>
    <t>get_type</t>
  </si>
  <si>
    <t>set_name</t>
  </si>
  <si>
    <t>set_type</t>
  </si>
  <si>
    <t>send_to</t>
  </si>
  <si>
    <t>receive_from</t>
  </si>
  <si>
    <t>Использованы</t>
  </si>
  <si>
    <t>package_size</t>
  </si>
  <si>
    <t>type_name</t>
  </si>
  <si>
    <t>get_capacity</t>
  </si>
  <si>
    <t>set_capacity</t>
  </si>
  <si>
    <t>bytes_total</t>
  </si>
  <si>
    <t>Протестированы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</si>
</sst>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charset val="204"/>
      <scheme val="minor"/>
    </font>
    <font>
      <sz val="11"/>
      <color theme="1"/>
      <name val="Aptos Narrow"/>
      <family val="2"/>
      <charset val="204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0.89999084444715716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9">
    <xf numFmtId="0" fontId="0" fillId="0" borderId="0" xfId="0"/>
    <xf numFmtId="0" fontId="0" fillId="0" borderId="1" xfId="0" applyBorder="1"/>
    <xf numFmtId="0" fontId="0" fillId="0" borderId="2" xfId="0" applyBorder="1"/>
    <xf numFmtId="0" fontId="0" fillId="2" borderId="0" xfId="0" applyFill="1"/>
    <xf numFmtId="0" fontId="2" fillId="0" borderId="3" xfId="0" applyFont="1" applyBorder="1"/>
    <xf numFmtId="0" fontId="2" fillId="0" borderId="4" xfId="0" applyFont="1" applyBorder="1"/>
    <xf numFmtId="0" fontId="0" fillId="2" borderId="3" xfId="0" applyFill="1" applyBorder="1"/>
    <xf numFmtId="0" fontId="0" fillId="2" borderId="1" xfId="0" applyFill="1" applyBorder="1"/>
    <xf numFmtId="9" fontId="0" fillId="0" borderId="0" xfId="1" applyFont="1"/>
    <xf numFmtId="0" fontId="0" fillId="0" borderId="1" xfId="0" applyFill="1" applyBorder="1"/>
    <xf numFmtId="0" fontId="0" fillId="2" borderId="2" xfId="0" applyFill="1" applyBorder="1"/>
    <xf numFmtId="0" fontId="0" fillId="0" borderId="0" xfId="0" applyFill="1"/>
    <xf numFmtId="0" fontId="3" fillId="2" borderId="1" xfId="0" applyFont="1" applyFill="1" applyBorder="1"/>
    <xf numFmtId="0" fontId="0" fillId="0" borderId="2" xfId="0" applyFill="1" applyBorder="1"/>
    <xf numFmtId="0" fontId="0" fillId="3" borderId="3" xfId="0" applyFill="1" applyBorder="1"/>
    <xf numFmtId="0" fontId="0" fillId="3" borderId="0" xfId="0" applyFill="1"/>
    <xf numFmtId="0" fontId="0" fillId="3" borderId="1" xfId="0" applyFill="1" applyBorder="1"/>
    <xf numFmtId="0" fontId="3" fillId="3" borderId="1" xfId="0" applyFont="1" applyFill="1" applyBorder="1"/>
    <xf numFmtId="0" fontId="0" fillId="3" borderId="2" xfId="0" applyFill="1" applyBorder="1"/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Стандартная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F5DA-44B9-4D6F-9A57-0886FBBC1B6B}">
  <sheetPr codeName="Лист1"/>
  <dimension ref="B2:N44"/>
  <sheetViews>
    <sheetView tabSelected="1" topLeftCell="A19" workbookViewId="0">
      <selection activeCell="I35" sqref="I35"/>
    </sheetView>
  </sheetViews>
  <sheetFormatPr defaultRowHeight="15" x14ac:dyDescent="0.25"/>
  <cols>
    <col min="2" max="2" width="12.7109375" bestFit="1" customWidth="1"/>
    <col min="3" max="3" width="12.140625" bestFit="1" customWidth="1"/>
    <col min="4" max="4" width="12.7109375" bestFit="1" customWidth="1"/>
    <col min="5" max="5" width="12.140625" bestFit="1" customWidth="1"/>
    <col min="6" max="6" width="12.7109375" bestFit="1" customWidth="1"/>
    <col min="7" max="7" width="12.140625" bestFit="1" customWidth="1"/>
    <col min="8" max="8" width="16" bestFit="1" customWidth="1"/>
    <col min="9" max="11" width="12.140625" bestFit="1" customWidth="1"/>
    <col min="14" max="14" width="16.5703125" bestFit="1" customWidth="1"/>
  </cols>
  <sheetData>
    <row r="2" spans="2:14" x14ac:dyDescent="0.25">
      <c r="B2" s="4" t="s">
        <v>0</v>
      </c>
      <c r="C2" s="4" t="s">
        <v>1</v>
      </c>
      <c r="D2" s="4" t="s">
        <v>2</v>
      </c>
      <c r="E2" s="4" t="s">
        <v>4</v>
      </c>
      <c r="F2" s="4" t="s">
        <v>3</v>
      </c>
      <c r="G2" s="4" t="s">
        <v>5</v>
      </c>
      <c r="H2" s="4" t="s">
        <v>6</v>
      </c>
      <c r="I2" s="4" t="s">
        <v>7</v>
      </c>
      <c r="J2" s="4" t="s">
        <v>8</v>
      </c>
      <c r="K2" s="5" t="s">
        <v>9</v>
      </c>
      <c r="N2" s="3" t="s">
        <v>48</v>
      </c>
    </row>
    <row r="3" spans="2:14" x14ac:dyDescent="0.25">
      <c r="B3" s="6" t="s">
        <v>10</v>
      </c>
      <c r="C3" s="6" t="s">
        <v>10</v>
      </c>
      <c r="D3" s="6" t="s">
        <v>10</v>
      </c>
      <c r="E3" s="6" t="s">
        <v>10</v>
      </c>
      <c r="F3" s="6" t="s">
        <v>10</v>
      </c>
      <c r="G3" s="6" t="s">
        <v>10</v>
      </c>
      <c r="H3" s="6" t="s">
        <v>10</v>
      </c>
      <c r="I3" s="6" t="s">
        <v>10</v>
      </c>
      <c r="J3" s="6" t="s">
        <v>10</v>
      </c>
      <c r="K3" s="6" t="s">
        <v>10</v>
      </c>
      <c r="N3" s="11"/>
    </row>
    <row r="4" spans="2:14" x14ac:dyDescent="0.25">
      <c r="B4" s="7" t="s">
        <v>11</v>
      </c>
      <c r="C4" s="7" t="s">
        <v>22</v>
      </c>
      <c r="D4" s="7" t="s">
        <v>11</v>
      </c>
      <c r="E4" s="7" t="s">
        <v>14</v>
      </c>
      <c r="F4" s="7" t="s">
        <v>12</v>
      </c>
      <c r="G4" s="7" t="s">
        <v>11</v>
      </c>
      <c r="H4" s="7" t="s">
        <v>11</v>
      </c>
      <c r="I4" s="7" t="s">
        <v>11</v>
      </c>
      <c r="J4" s="7" t="s">
        <v>11</v>
      </c>
      <c r="K4" s="1" t="s">
        <v>11</v>
      </c>
    </row>
    <row r="5" spans="2:14" x14ac:dyDescent="0.25">
      <c r="B5" s="7" t="s">
        <v>12</v>
      </c>
      <c r="C5" s="12" t="s">
        <v>22</v>
      </c>
      <c r="D5" s="7" t="s">
        <v>12</v>
      </c>
      <c r="E5" s="7" t="s">
        <v>26</v>
      </c>
      <c r="F5" s="7" t="s">
        <v>13</v>
      </c>
      <c r="G5" s="7" t="s">
        <v>30</v>
      </c>
      <c r="H5" s="7" t="s">
        <v>30</v>
      </c>
      <c r="I5" s="7" t="s">
        <v>30</v>
      </c>
      <c r="J5" s="7" t="s">
        <v>40</v>
      </c>
      <c r="K5" s="7" t="s">
        <v>13</v>
      </c>
    </row>
    <row r="6" spans="2:14" x14ac:dyDescent="0.25">
      <c r="B6" s="7" t="s">
        <v>22</v>
      </c>
      <c r="C6" s="7" t="s">
        <v>14</v>
      </c>
      <c r="D6" s="7" t="s">
        <v>22</v>
      </c>
      <c r="E6" s="7" t="s">
        <v>27</v>
      </c>
      <c r="F6" s="7" t="s">
        <v>14</v>
      </c>
      <c r="G6" s="7" t="s">
        <v>31</v>
      </c>
      <c r="H6" s="9" t="s">
        <v>38</v>
      </c>
      <c r="I6" s="1" t="s">
        <v>39</v>
      </c>
      <c r="J6" s="7" t="s">
        <v>41</v>
      </c>
      <c r="K6" s="7" t="s">
        <v>42</v>
      </c>
    </row>
    <row r="7" spans="2:14" x14ac:dyDescent="0.25">
      <c r="B7" s="9" t="s">
        <v>23</v>
      </c>
      <c r="C7" s="7" t="s">
        <v>19</v>
      </c>
      <c r="D7" s="1" t="s">
        <v>23</v>
      </c>
      <c r="E7" s="7" t="s">
        <v>18</v>
      </c>
      <c r="F7" s="7" t="s">
        <v>15</v>
      </c>
      <c r="G7" s="7" t="s">
        <v>32</v>
      </c>
      <c r="H7" s="1" t="s">
        <v>39</v>
      </c>
      <c r="I7" s="7" t="s">
        <v>31</v>
      </c>
      <c r="J7" s="1"/>
      <c r="K7" s="7" t="s">
        <v>43</v>
      </c>
    </row>
    <row r="8" spans="2:14" x14ac:dyDescent="0.25">
      <c r="B8" s="7" t="s">
        <v>24</v>
      </c>
      <c r="C8" s="7" t="s">
        <v>28</v>
      </c>
      <c r="D8" s="7" t="s">
        <v>51</v>
      </c>
      <c r="E8" s="7" t="s">
        <v>50</v>
      </c>
      <c r="F8" s="7" t="s">
        <v>49</v>
      </c>
      <c r="G8" s="7" t="s">
        <v>33</v>
      </c>
      <c r="H8" s="9" t="s">
        <v>37</v>
      </c>
      <c r="I8" s="1" t="s">
        <v>32</v>
      </c>
      <c r="J8" s="1"/>
      <c r="K8" s="7" t="s">
        <v>16</v>
      </c>
    </row>
    <row r="9" spans="2:14" x14ac:dyDescent="0.25">
      <c r="B9" s="7" t="s">
        <v>13</v>
      </c>
      <c r="C9" s="7" t="s">
        <v>20</v>
      </c>
      <c r="D9" s="7" t="s">
        <v>24</v>
      </c>
      <c r="E9" s="1"/>
      <c r="F9" s="7" t="s">
        <v>16</v>
      </c>
      <c r="G9" s="7" t="s">
        <v>34</v>
      </c>
      <c r="H9" s="7" t="s">
        <v>31</v>
      </c>
      <c r="I9" s="1" t="s">
        <v>35</v>
      </c>
      <c r="J9" s="1"/>
      <c r="K9" s="7" t="s">
        <v>44</v>
      </c>
    </row>
    <row r="10" spans="2:14" x14ac:dyDescent="0.25">
      <c r="B10" s="7" t="s">
        <v>14</v>
      </c>
      <c r="C10" s="7" t="s">
        <v>21</v>
      </c>
      <c r="D10" s="7" t="s">
        <v>14</v>
      </c>
      <c r="E10" s="1"/>
      <c r="F10" s="7" t="s">
        <v>22</v>
      </c>
      <c r="G10" s="7" t="s">
        <v>35</v>
      </c>
      <c r="H10" s="1" t="s">
        <v>32</v>
      </c>
      <c r="I10" s="1"/>
      <c r="J10" s="1"/>
      <c r="K10" s="7" t="s">
        <v>45</v>
      </c>
    </row>
    <row r="11" spans="2:14" x14ac:dyDescent="0.25">
      <c r="B11" s="7" t="s">
        <v>15</v>
      </c>
      <c r="C11" s="7" t="s">
        <v>18</v>
      </c>
      <c r="D11" s="7" t="s">
        <v>52</v>
      </c>
      <c r="E11" s="1"/>
      <c r="F11" s="7" t="s">
        <v>22</v>
      </c>
      <c r="G11" s="7" t="s">
        <v>53</v>
      </c>
      <c r="H11" s="7" t="s">
        <v>35</v>
      </c>
      <c r="I11" s="1"/>
      <c r="J11" s="1"/>
      <c r="K11" s="7" t="s">
        <v>46</v>
      </c>
    </row>
    <row r="12" spans="2:14" x14ac:dyDescent="0.25">
      <c r="B12" s="7" t="s">
        <v>49</v>
      </c>
      <c r="C12" s="7" t="s">
        <v>50</v>
      </c>
      <c r="D12" s="7" t="s">
        <v>25</v>
      </c>
      <c r="E12" s="1"/>
      <c r="F12" s="7" t="s">
        <v>17</v>
      </c>
      <c r="G12" s="7" t="s">
        <v>36</v>
      </c>
      <c r="H12" s="1"/>
      <c r="I12" s="1"/>
      <c r="J12" s="1"/>
      <c r="K12" s="1" t="s">
        <v>47</v>
      </c>
    </row>
    <row r="13" spans="2:14" x14ac:dyDescent="0.25">
      <c r="B13" s="7" t="s">
        <v>16</v>
      </c>
      <c r="C13" s="7" t="s">
        <v>29</v>
      </c>
      <c r="D13" s="7" t="s">
        <v>18</v>
      </c>
      <c r="E13" s="1"/>
      <c r="F13" s="7" t="s">
        <v>18</v>
      </c>
      <c r="G13" s="1"/>
      <c r="H13" s="1"/>
      <c r="I13" s="1"/>
      <c r="J13" s="1"/>
      <c r="K13" s="1"/>
    </row>
    <row r="14" spans="2:14" x14ac:dyDescent="0.25">
      <c r="B14" s="7" t="s">
        <v>17</v>
      </c>
      <c r="C14" s="1"/>
      <c r="D14" s="7" t="s">
        <v>50</v>
      </c>
      <c r="E14" s="1"/>
      <c r="F14" s="7" t="s">
        <v>50</v>
      </c>
      <c r="G14" s="1"/>
      <c r="H14" s="1"/>
      <c r="I14" s="1"/>
      <c r="J14" s="1"/>
      <c r="K14" s="1"/>
    </row>
    <row r="15" spans="2:14" x14ac:dyDescent="0.25">
      <c r="B15" s="7" t="s">
        <v>18</v>
      </c>
      <c r="C15" s="1"/>
      <c r="D15" s="1"/>
      <c r="E15" s="1"/>
      <c r="F15" s="1"/>
      <c r="G15" s="1"/>
      <c r="H15" s="1"/>
      <c r="I15" s="1"/>
      <c r="J15" s="1"/>
      <c r="K15" s="1"/>
    </row>
    <row r="16" spans="2:14" x14ac:dyDescent="0.25">
      <c r="B16" s="10" t="s">
        <v>50</v>
      </c>
      <c r="C16" s="2"/>
      <c r="D16" s="2"/>
      <c r="E16" s="2"/>
      <c r="F16" s="2"/>
      <c r="G16" s="2"/>
      <c r="H16" s="2"/>
      <c r="I16" s="2"/>
      <c r="J16" s="2"/>
      <c r="K16" s="2"/>
    </row>
    <row r="18" spans="2:14" x14ac:dyDescent="0.25">
      <c r="B18" cm="1">
        <f t="array" ref="B18">CountCcolor(B3:B15,$N$2)</f>
        <v>12</v>
      </c>
      <c r="C18" cm="1">
        <f t="array" ref="C18">CountCcolor(C3:C14,$N$2)</f>
        <v>11</v>
      </c>
      <c r="D18" cm="1">
        <f t="array" ref="D18">CountCcolor(D3:D14,$N$2)</f>
        <v>11</v>
      </c>
      <c r="E18" cm="1">
        <f t="array" ref="E18">CountCcolor(E3:E14,$N$2)</f>
        <v>6</v>
      </c>
      <c r="F18" cm="1">
        <f t="array" ref="F18">CountCcolor(F3:F13,$N$2)</f>
        <v>11</v>
      </c>
      <c r="G18" cm="1">
        <f t="array" ref="G18">CountCcolor(G3:G14,$N$2)</f>
        <v>10</v>
      </c>
      <c r="H18" cm="1">
        <f t="array" ref="H18">CountCcolor(H3:H14,$N$2)</f>
        <v>5</v>
      </c>
      <c r="I18" cm="1">
        <f t="array" ref="I18">CountCcolor(I3:I14,$N$2)</f>
        <v>4</v>
      </c>
      <c r="J18" cm="1">
        <f t="array" ref="J18">CountCcolor(J3:J14,$N$2)</f>
        <v>4</v>
      </c>
      <c r="K18" cm="1">
        <f t="array" ref="K18">CountCcolor(K3:K14,$N$2)</f>
        <v>8</v>
      </c>
      <c r="L18">
        <f>COUNTA(B3:K16)</f>
        <v>95</v>
      </c>
    </row>
    <row r="19" spans="2:14" x14ac:dyDescent="0.25">
      <c r="L19" s="8">
        <f>SUM(B18:K19)/L18</f>
        <v>0.86315789473684212</v>
      </c>
    </row>
    <row r="27" spans="2:14" x14ac:dyDescent="0.25">
      <c r="B27" s="4" t="s">
        <v>0</v>
      </c>
      <c r="C27" s="4" t="s">
        <v>1</v>
      </c>
      <c r="D27" s="4" t="s">
        <v>2</v>
      </c>
      <c r="E27" s="4" t="s">
        <v>4</v>
      </c>
      <c r="F27" s="4" t="s">
        <v>3</v>
      </c>
      <c r="G27" s="4" t="s">
        <v>5</v>
      </c>
      <c r="H27" s="4" t="s">
        <v>6</v>
      </c>
      <c r="I27" s="4" t="s">
        <v>7</v>
      </c>
      <c r="J27" s="4" t="s">
        <v>8</v>
      </c>
      <c r="K27" s="5" t="s">
        <v>9</v>
      </c>
      <c r="N27" s="15" t="s">
        <v>54</v>
      </c>
    </row>
    <row r="28" spans="2:14" x14ac:dyDescent="0.25">
      <c r="B28" s="14" t="s">
        <v>10</v>
      </c>
      <c r="C28" s="14" t="s">
        <v>10</v>
      </c>
      <c r="D28" s="14" t="s">
        <v>10</v>
      </c>
      <c r="E28" s="14" t="s">
        <v>10</v>
      </c>
      <c r="F28" s="14" t="s">
        <v>10</v>
      </c>
      <c r="G28" s="14" t="s">
        <v>10</v>
      </c>
      <c r="H28" s="14" t="s">
        <v>10</v>
      </c>
      <c r="I28" s="14" t="s">
        <v>10</v>
      </c>
      <c r="J28" s="14" t="s">
        <v>10</v>
      </c>
      <c r="K28" s="14" t="s">
        <v>10</v>
      </c>
    </row>
    <row r="29" spans="2:14" x14ac:dyDescent="0.25">
      <c r="B29" s="9" t="s">
        <v>11</v>
      </c>
      <c r="C29" s="16" t="s">
        <v>22</v>
      </c>
      <c r="D29" s="9" t="s">
        <v>11</v>
      </c>
      <c r="E29" s="16" t="s">
        <v>14</v>
      </c>
      <c r="F29" s="16" t="s">
        <v>12</v>
      </c>
      <c r="G29" s="16" t="s">
        <v>11</v>
      </c>
      <c r="H29" s="9" t="s">
        <v>11</v>
      </c>
      <c r="I29" s="9" t="s">
        <v>11</v>
      </c>
      <c r="J29" s="16" t="s">
        <v>11</v>
      </c>
      <c r="K29" s="16" t="s">
        <v>11</v>
      </c>
    </row>
    <row r="30" spans="2:14" x14ac:dyDescent="0.25">
      <c r="B30" s="16" t="s">
        <v>12</v>
      </c>
      <c r="C30" s="17" t="s">
        <v>22</v>
      </c>
      <c r="D30" s="16" t="s">
        <v>12</v>
      </c>
      <c r="E30" s="16" t="s">
        <v>26</v>
      </c>
      <c r="F30" s="16" t="s">
        <v>13</v>
      </c>
      <c r="G30" s="16" t="s">
        <v>30</v>
      </c>
      <c r="H30" s="16" t="s">
        <v>30</v>
      </c>
      <c r="I30" s="16" t="s">
        <v>30</v>
      </c>
      <c r="J30" s="16" t="s">
        <v>40</v>
      </c>
      <c r="K30" s="16" t="s">
        <v>13</v>
      </c>
    </row>
    <row r="31" spans="2:14" x14ac:dyDescent="0.25">
      <c r="B31" s="16" t="s">
        <v>22</v>
      </c>
      <c r="C31" s="16" t="s">
        <v>14</v>
      </c>
      <c r="D31" s="16" t="s">
        <v>22</v>
      </c>
      <c r="E31" s="16" t="s">
        <v>27</v>
      </c>
      <c r="F31" s="16" t="s">
        <v>14</v>
      </c>
      <c r="G31" s="16" t="s">
        <v>31</v>
      </c>
      <c r="H31" s="16" t="s">
        <v>38</v>
      </c>
      <c r="I31" s="9" t="s">
        <v>39</v>
      </c>
      <c r="J31" s="16" t="s">
        <v>41</v>
      </c>
      <c r="K31" s="16" t="s">
        <v>42</v>
      </c>
    </row>
    <row r="32" spans="2:14" x14ac:dyDescent="0.25">
      <c r="B32" s="16" t="s">
        <v>23</v>
      </c>
      <c r="C32" s="16" t="s">
        <v>19</v>
      </c>
      <c r="D32" s="16" t="s">
        <v>23</v>
      </c>
      <c r="E32" s="16" t="s">
        <v>18</v>
      </c>
      <c r="F32" s="16" t="s">
        <v>15</v>
      </c>
      <c r="G32" s="16" t="s">
        <v>32</v>
      </c>
      <c r="H32" s="9" t="s">
        <v>39</v>
      </c>
      <c r="I32" s="16" t="s">
        <v>31</v>
      </c>
      <c r="J32" s="9"/>
      <c r="K32" s="16" t="s">
        <v>43</v>
      </c>
    </row>
    <row r="33" spans="2:12" x14ac:dyDescent="0.25">
      <c r="B33" s="16" t="s">
        <v>24</v>
      </c>
      <c r="C33" s="16" t="s">
        <v>28</v>
      </c>
      <c r="D33" s="16" t="s">
        <v>51</v>
      </c>
      <c r="E33" s="16" t="s">
        <v>50</v>
      </c>
      <c r="F33" s="9" t="s">
        <v>49</v>
      </c>
      <c r="G33" s="16" t="s">
        <v>33</v>
      </c>
      <c r="H33" s="16" t="s">
        <v>37</v>
      </c>
      <c r="I33" s="16" t="s">
        <v>32</v>
      </c>
      <c r="J33" s="9"/>
      <c r="K33" s="16" t="s">
        <v>16</v>
      </c>
    </row>
    <row r="34" spans="2:12" x14ac:dyDescent="0.25">
      <c r="B34" s="16" t="s">
        <v>13</v>
      </c>
      <c r="C34" s="16" t="s">
        <v>20</v>
      </c>
      <c r="D34" s="16" t="s">
        <v>24</v>
      </c>
      <c r="E34" s="9"/>
      <c r="F34" s="16" t="s">
        <v>16</v>
      </c>
      <c r="G34" s="16" t="s">
        <v>34</v>
      </c>
      <c r="H34" s="16" t="s">
        <v>31</v>
      </c>
      <c r="I34" s="16" t="s">
        <v>35</v>
      </c>
      <c r="J34" s="9"/>
      <c r="K34" s="16" t="s">
        <v>44</v>
      </c>
    </row>
    <row r="35" spans="2:12" x14ac:dyDescent="0.25">
      <c r="B35" s="16" t="s">
        <v>14</v>
      </c>
      <c r="C35" s="16" t="s">
        <v>21</v>
      </c>
      <c r="D35" s="16" t="s">
        <v>14</v>
      </c>
      <c r="E35" s="9"/>
      <c r="F35" s="16" t="s">
        <v>22</v>
      </c>
      <c r="G35" s="16" t="s">
        <v>35</v>
      </c>
      <c r="H35" s="16" t="s">
        <v>32</v>
      </c>
      <c r="I35" s="9"/>
      <c r="J35" s="9"/>
      <c r="K35" s="16" t="s">
        <v>45</v>
      </c>
    </row>
    <row r="36" spans="2:12" x14ac:dyDescent="0.25">
      <c r="B36" s="16" t="s">
        <v>15</v>
      </c>
      <c r="C36" s="16" t="s">
        <v>18</v>
      </c>
      <c r="D36" s="16" t="s">
        <v>52</v>
      </c>
      <c r="E36" s="9"/>
      <c r="F36" s="16" t="s">
        <v>22</v>
      </c>
      <c r="G36" s="9" t="s">
        <v>53</v>
      </c>
      <c r="H36" s="16" t="s">
        <v>35</v>
      </c>
      <c r="I36" s="9"/>
      <c r="J36" s="9"/>
      <c r="K36" s="9" t="s">
        <v>46</v>
      </c>
    </row>
    <row r="37" spans="2:12" x14ac:dyDescent="0.25">
      <c r="B37" s="9" t="s">
        <v>49</v>
      </c>
      <c r="C37" s="16" t="s">
        <v>50</v>
      </c>
      <c r="D37" s="16" t="s">
        <v>25</v>
      </c>
      <c r="E37" s="9"/>
      <c r="F37" s="16" t="s">
        <v>23</v>
      </c>
      <c r="G37" s="9" t="s">
        <v>36</v>
      </c>
      <c r="H37" s="9"/>
      <c r="I37" s="9"/>
      <c r="J37" s="9"/>
      <c r="K37" s="9" t="s">
        <v>47</v>
      </c>
    </row>
    <row r="38" spans="2:12" x14ac:dyDescent="0.25">
      <c r="B38" s="16" t="s">
        <v>16</v>
      </c>
      <c r="C38" s="16" t="s">
        <v>29</v>
      </c>
      <c r="D38" s="16" t="s">
        <v>18</v>
      </c>
      <c r="E38" s="9"/>
      <c r="F38" s="16" t="s">
        <v>17</v>
      </c>
      <c r="G38" s="9"/>
      <c r="H38" s="9"/>
      <c r="I38" s="9"/>
      <c r="J38" s="9"/>
      <c r="K38" s="9"/>
    </row>
    <row r="39" spans="2:12" x14ac:dyDescent="0.25">
      <c r="B39" s="16" t="s">
        <v>17</v>
      </c>
      <c r="C39" s="9"/>
      <c r="D39" s="16" t="s">
        <v>50</v>
      </c>
      <c r="E39" s="9"/>
      <c r="F39" s="16" t="s">
        <v>18</v>
      </c>
      <c r="G39" s="9"/>
      <c r="H39" s="9"/>
      <c r="I39" s="9"/>
      <c r="J39" s="9"/>
      <c r="K39" s="9"/>
    </row>
    <row r="40" spans="2:12" x14ac:dyDescent="0.25">
      <c r="B40" s="16" t="s">
        <v>18</v>
      </c>
      <c r="C40" s="9"/>
      <c r="D40" s="9"/>
      <c r="E40" s="9"/>
      <c r="F40" s="16" t="s">
        <v>50</v>
      </c>
      <c r="G40" s="9"/>
      <c r="H40" s="9"/>
      <c r="I40" s="9"/>
      <c r="J40" s="9"/>
      <c r="K40" s="9"/>
    </row>
    <row r="41" spans="2:12" x14ac:dyDescent="0.25">
      <c r="B41" s="18" t="s">
        <v>50</v>
      </c>
      <c r="C41" s="13"/>
      <c r="D41" s="13"/>
      <c r="E41" s="13"/>
      <c r="F41" s="13"/>
      <c r="G41" s="13"/>
      <c r="H41" s="13"/>
      <c r="I41" s="13"/>
      <c r="J41" s="13"/>
      <c r="K41" s="13"/>
    </row>
    <row r="43" spans="2:12" x14ac:dyDescent="0.25">
      <c r="B43" cm="1">
        <f t="array" ref="B43">CountCcolor(B28:B41,$N$27)</f>
        <v>12</v>
      </c>
      <c r="C43" cm="1">
        <f t="array" ref="C43">CountCcolor(C28:C41,$N$27)</f>
        <v>11</v>
      </c>
      <c r="D43" cm="1">
        <f t="array" ref="D43">CountCcolor(D28:D41,$N$27)</f>
        <v>11</v>
      </c>
      <c r="E43" cm="1">
        <f t="array" ref="E43">CountCcolor(E28:E41,$N$27)</f>
        <v>6</v>
      </c>
      <c r="F43" cm="1">
        <f t="array" ref="F43">CountCcolor(F28:F41,$N$27)</f>
        <v>12</v>
      </c>
      <c r="G43" cm="1">
        <f t="array" ref="G43">CountCcolor(G28:G41,$N$27)</f>
        <v>7</v>
      </c>
      <c r="H43" cm="1">
        <f t="array" ref="H43">CountCcolor(H28:H41,$N$27)</f>
        <v>7</v>
      </c>
      <c r="I43" cm="1">
        <f t="array" ref="I43">CountCcolor(I28:I41,$N$27)</f>
        <v>5</v>
      </c>
      <c r="J43" cm="1">
        <f t="array" ref="J43">CountCcolor(J28:J41,$N$27)</f>
        <v>4</v>
      </c>
      <c r="K43" cm="1">
        <f t="array" ref="K43">CountCcolor(K28:K41,$N$27)</f>
        <v>8</v>
      </c>
      <c r="L43">
        <f>COUNTA(B28:K41)</f>
        <v>96</v>
      </c>
    </row>
    <row r="44" spans="2:12" x14ac:dyDescent="0.25">
      <c r="L44" s="8">
        <f>SUM(B43:K44)/L43</f>
        <v>0.86458333333333337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Oleg Krinkin</dc:creator>
  <cp:lastModifiedBy>Oleg Krinkin</cp:lastModifiedBy>
  <dcterms:created xsi:type="dcterms:W3CDTF">2025-06-13T11:31:38Z</dcterms:created>
  <dcterms:modified xsi:type="dcterms:W3CDTF">2025-06-29T16:48:17Z</dcterms:modified>
</cp:coreProperties>
</file>