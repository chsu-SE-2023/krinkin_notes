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Z:\Documents\Study\Курс 2\ООП\Курисовая\"/>
    </mc:Choice>
  </mc:AlternateContent>
  <xr:revisionPtr revIDLastSave="0" documentId="13_ncr:1_{EC4D8F3D-90AE-4283-B93F-171746674FBA}" xr6:coauthVersionLast="47" xr6:coauthVersionMax="47" xr10:uidLastSave="{00000000-0000-0000-0000-000000000000}"/>
  <bookViews>
    <workbookView xWindow="28065" yWindow="1425" windowWidth="22350" windowHeight="13740" xr2:uid="{4AD742C2-140D-40AA-874B-93EE3BEBF6E3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6" i="1" l="1"/>
  <c r="G16" i="1" a="1"/>
  <c r="H17" i="1" a="1"/>
  <c r="H16" i="1" a="1"/>
  <c r="K16" i="1" a="1"/>
  <c r="J16" i="1" a="1"/>
  <c r="I16" i="1" a="1"/>
  <c r="F16" i="1" a="1"/>
  <c r="E16" i="1" a="1"/>
  <c r="D16" i="1" a="1"/>
  <c r="C16" i="1" a="1"/>
  <c r="B16" i="1" a="1"/>
  <c r="G17" i="1" a="1"/>
  <c r="K17" i="1" a="1"/>
  <c r="I17" i="1" a="1"/>
  <c r="J17" i="1" a="1"/>
  <c r="B17" i="1" a="1"/>
  <c r="C17" i="1" a="1"/>
  <c r="D17" i="1" a="1"/>
  <c r="E17" i="1" a="1"/>
  <c r="F17" i="1" a="1"/>
  <c r="G16" i="1" l="1"/>
  <c r="H17" i="1"/>
  <c r="H16" i="1"/>
  <c r="K16" i="1"/>
  <c r="J16" i="1"/>
  <c r="I16" i="1"/>
  <c r="F16" i="1"/>
  <c r="E16" i="1"/>
  <c r="D16" i="1"/>
  <c r="C16" i="1"/>
  <c r="B16" i="1"/>
  <c r="J17" i="1"/>
  <c r="I17" i="1"/>
  <c r="K17" i="1"/>
  <c r="G17" i="1"/>
  <c r="B17" i="1"/>
  <c r="F17" i="1"/>
  <c r="E17" i="1"/>
  <c r="D17" i="1"/>
  <c r="C17" i="1"/>
  <c r="L1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<sst xmlns="http://schemas.openxmlformats.org/spreadsheetml/2006/main" count="96" uniqueCount="51">
  <si>
    <t>Repeater</t>
  </si>
  <si>
    <t>WLRepeater</t>
  </si>
  <si>
    <t>Switch</t>
  </si>
  <si>
    <t>Router</t>
  </si>
  <si>
    <t>Gateway</t>
  </si>
  <si>
    <t>ServerRoom</t>
  </si>
  <si>
    <t>DataCenter</t>
  </si>
  <si>
    <t>Container</t>
  </si>
  <si>
    <t>Address</t>
  </si>
  <si>
    <t>Client</t>
  </si>
  <si>
    <t>constructors</t>
  </si>
  <si>
    <t>operators</t>
  </si>
  <si>
    <t>clients_count</t>
  </si>
  <si>
    <t>get_address</t>
  </si>
  <si>
    <t>get_info</t>
  </si>
  <si>
    <t>get_bytes</t>
  </si>
  <si>
    <t>set_address</t>
  </si>
  <si>
    <t>receive</t>
  </si>
  <si>
    <t>print_info</t>
  </si>
  <si>
    <t>reset</t>
  </si>
  <si>
    <t>get_ssid</t>
  </si>
  <si>
    <t>set_ssid</t>
  </si>
  <si>
    <t>set_passwd</t>
  </si>
  <si>
    <t>connect</t>
  </si>
  <si>
    <t>disconnect</t>
  </si>
  <si>
    <t>get_clients</t>
  </si>
  <si>
    <t>set_clients</t>
  </si>
  <si>
    <t>get_protocol</t>
  </si>
  <si>
    <t>set_protocol</t>
  </si>
  <si>
    <t>is_wps</t>
  </si>
  <si>
    <t>wps_init</t>
  </si>
  <si>
    <t>add</t>
  </si>
  <si>
    <t>get_vector</t>
  </si>
  <si>
    <t>seek</t>
  </si>
  <si>
    <t>sort</t>
  </si>
  <si>
    <t>search</t>
  </si>
  <si>
    <t>size</t>
  </si>
  <si>
    <t>cli_total</t>
  </si>
  <si>
    <t>get_total_devices</t>
  </si>
  <si>
    <t>clear</t>
  </si>
  <si>
    <t>count</t>
  </si>
  <si>
    <t>as_string</t>
  </si>
  <si>
    <t>generate</t>
  </si>
  <si>
    <t>get_name</t>
  </si>
  <si>
    <t>get_type</t>
  </si>
  <si>
    <t>set_name</t>
  </si>
  <si>
    <t>set_type</t>
  </si>
  <si>
    <t>send_to</t>
  </si>
  <si>
    <t>receive_from</t>
  </si>
  <si>
    <t>Использованы</t>
  </si>
  <si>
    <t>Не для GUI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</si>
</sst>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3" xfId="0" applyFont="1" applyBorder="1"/>
    <xf numFmtId="0" fontId="2" fillId="0" borderId="4" xfId="0" applyFont="1" applyBorder="1"/>
    <xf numFmtId="0" fontId="0" fillId="2" borderId="3" xfId="0" applyFill="1" applyBorder="1"/>
    <xf numFmtId="0" fontId="0" fillId="2" borderId="1" xfId="0" applyFill="1" applyBorder="1"/>
    <xf numFmtId="9" fontId="0" fillId="0" borderId="0" xfId="1" applyFont="1"/>
    <xf numFmtId="0" fontId="0" fillId="0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0" xfId="0" applyFill="1"/>
    <xf numFmtId="0" fontId="0" fillId="2" borderId="2" xfId="0" applyFill="1" applyBorder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F5DA-44B9-4D6F-9A57-0886FBBC1B6B}">
  <sheetPr codeName="Лист1"/>
  <dimension ref="B2:N17"/>
  <sheetViews>
    <sheetView tabSelected="1" workbookViewId="0">
      <selection activeCell="I19" sqref="I19"/>
    </sheetView>
  </sheetViews>
  <sheetFormatPr defaultRowHeight="15" x14ac:dyDescent="0.25"/>
  <cols>
    <col min="2" max="2" width="12.7109375" bestFit="1" customWidth="1"/>
    <col min="3" max="3" width="12.140625" bestFit="1" customWidth="1"/>
    <col min="4" max="4" width="12.7109375" bestFit="1" customWidth="1"/>
    <col min="5" max="5" width="12.140625" bestFit="1" customWidth="1"/>
    <col min="6" max="6" width="12.7109375" bestFit="1" customWidth="1"/>
    <col min="7" max="7" width="12.140625" bestFit="1" customWidth="1"/>
    <col min="8" max="8" width="16" bestFit="1" customWidth="1"/>
    <col min="9" max="11" width="12.140625" bestFit="1" customWidth="1"/>
    <col min="14" max="14" width="14.5703125" bestFit="1" customWidth="1"/>
  </cols>
  <sheetData>
    <row r="2" spans="2:14" x14ac:dyDescent="0.25">
      <c r="B2" s="7" t="s">
        <v>0</v>
      </c>
      <c r="C2" s="7" t="s">
        <v>1</v>
      </c>
      <c r="D2" s="7" t="s">
        <v>2</v>
      </c>
      <c r="E2" s="7" t="s">
        <v>4</v>
      </c>
      <c r="F2" s="7" t="s">
        <v>3</v>
      </c>
      <c r="G2" s="7" t="s">
        <v>5</v>
      </c>
      <c r="H2" s="7" t="s">
        <v>6</v>
      </c>
      <c r="I2" s="7" t="s">
        <v>7</v>
      </c>
      <c r="J2" s="7" t="s">
        <v>8</v>
      </c>
      <c r="K2" s="8" t="s">
        <v>9</v>
      </c>
      <c r="N2" s="3" t="s">
        <v>49</v>
      </c>
    </row>
    <row r="3" spans="2:14" x14ac:dyDescent="0.25">
      <c r="B3" s="9" t="s">
        <v>10</v>
      </c>
      <c r="C3" s="9" t="s">
        <v>10</v>
      </c>
      <c r="D3" s="9" t="s">
        <v>10</v>
      </c>
      <c r="E3" s="9" t="s">
        <v>10</v>
      </c>
      <c r="F3" s="9" t="s">
        <v>10</v>
      </c>
      <c r="G3" s="9" t="s">
        <v>10</v>
      </c>
      <c r="H3" s="9" t="s">
        <v>10</v>
      </c>
      <c r="I3" s="9" t="s">
        <v>10</v>
      </c>
      <c r="J3" s="9" t="s">
        <v>10</v>
      </c>
      <c r="K3" s="4" t="s">
        <v>10</v>
      </c>
      <c r="N3" s="15" t="s">
        <v>50</v>
      </c>
    </row>
    <row r="4" spans="2:14" x14ac:dyDescent="0.25">
      <c r="B4" s="10" t="s">
        <v>11</v>
      </c>
      <c r="C4" s="10" t="s">
        <v>14</v>
      </c>
      <c r="D4" s="10" t="s">
        <v>11</v>
      </c>
      <c r="E4" s="10" t="s">
        <v>14</v>
      </c>
      <c r="F4" s="10" t="s">
        <v>12</v>
      </c>
      <c r="G4" s="10" t="s">
        <v>11</v>
      </c>
      <c r="H4" s="10" t="s">
        <v>11</v>
      </c>
      <c r="I4" s="10" t="s">
        <v>11</v>
      </c>
      <c r="J4" s="10" t="s">
        <v>11</v>
      </c>
      <c r="K4" s="5" t="s">
        <v>11</v>
      </c>
    </row>
    <row r="5" spans="2:14" x14ac:dyDescent="0.25">
      <c r="B5" s="10" t="s">
        <v>12</v>
      </c>
      <c r="C5" s="10" t="s">
        <v>20</v>
      </c>
      <c r="D5" s="10" t="s">
        <v>12</v>
      </c>
      <c r="E5" s="10" t="s">
        <v>27</v>
      </c>
      <c r="F5" s="10" t="s">
        <v>13</v>
      </c>
      <c r="G5" s="10" t="s">
        <v>31</v>
      </c>
      <c r="H5" s="10" t="s">
        <v>31</v>
      </c>
      <c r="I5" s="10" t="s">
        <v>31</v>
      </c>
      <c r="J5" s="10" t="s">
        <v>41</v>
      </c>
      <c r="K5" s="5" t="s">
        <v>13</v>
      </c>
    </row>
    <row r="6" spans="2:14" x14ac:dyDescent="0.25">
      <c r="B6" s="10" t="s">
        <v>13</v>
      </c>
      <c r="C6" s="1" t="s">
        <v>18</v>
      </c>
      <c r="D6" s="1" t="s">
        <v>23</v>
      </c>
      <c r="E6" s="14" t="s">
        <v>28</v>
      </c>
      <c r="F6" s="10" t="s">
        <v>14</v>
      </c>
      <c r="G6" s="10" t="s">
        <v>32</v>
      </c>
      <c r="H6" s="12" t="s">
        <v>39</v>
      </c>
      <c r="I6" s="1" t="s">
        <v>40</v>
      </c>
      <c r="J6" s="10" t="s">
        <v>42</v>
      </c>
      <c r="K6" s="5" t="s">
        <v>43</v>
      </c>
    </row>
    <row r="7" spans="2:14" x14ac:dyDescent="0.25">
      <c r="B7" s="10" t="s">
        <v>14</v>
      </c>
      <c r="C7" s="13" t="s">
        <v>21</v>
      </c>
      <c r="D7" s="1" t="s">
        <v>24</v>
      </c>
      <c r="E7" s="14" t="s">
        <v>18</v>
      </c>
      <c r="F7" s="1" t="s">
        <v>15</v>
      </c>
      <c r="G7" s="10" t="s">
        <v>33</v>
      </c>
      <c r="H7" s="1" t="s">
        <v>40</v>
      </c>
      <c r="I7" s="10" t="s">
        <v>32</v>
      </c>
      <c r="J7" s="1"/>
      <c r="K7" s="5" t="s">
        <v>44</v>
      </c>
    </row>
    <row r="8" spans="2:14" x14ac:dyDescent="0.25">
      <c r="B8" s="1" t="s">
        <v>15</v>
      </c>
      <c r="C8" s="13" t="s">
        <v>22</v>
      </c>
      <c r="D8" s="1" t="s">
        <v>25</v>
      </c>
      <c r="E8" s="10" t="s">
        <v>19</v>
      </c>
      <c r="F8" s="10" t="s">
        <v>29</v>
      </c>
      <c r="G8" s="10" t="s">
        <v>34</v>
      </c>
      <c r="H8" s="12" t="s">
        <v>38</v>
      </c>
      <c r="I8" s="1" t="s">
        <v>33</v>
      </c>
      <c r="J8" s="1"/>
      <c r="K8" s="5" t="s">
        <v>16</v>
      </c>
    </row>
    <row r="9" spans="2:14" x14ac:dyDescent="0.25">
      <c r="B9" s="13" t="s">
        <v>16</v>
      </c>
      <c r="C9" s="10" t="s">
        <v>19</v>
      </c>
      <c r="D9" s="10" t="s">
        <v>14</v>
      </c>
      <c r="E9" s="1"/>
      <c r="F9" s="14" t="s">
        <v>18</v>
      </c>
      <c r="G9" s="10" t="s">
        <v>35</v>
      </c>
      <c r="H9" s="10" t="s">
        <v>32</v>
      </c>
      <c r="I9" s="1" t="s">
        <v>36</v>
      </c>
      <c r="J9" s="1"/>
      <c r="K9" s="5" t="s">
        <v>45</v>
      </c>
    </row>
    <row r="10" spans="2:14" x14ac:dyDescent="0.25">
      <c r="B10" s="1" t="s">
        <v>17</v>
      </c>
      <c r="C10" s="1"/>
      <c r="D10" s="13" t="s">
        <v>26</v>
      </c>
      <c r="E10" s="1"/>
      <c r="F10" s="14" t="s">
        <v>16</v>
      </c>
      <c r="G10" s="10" t="s">
        <v>36</v>
      </c>
      <c r="H10" s="1" t="s">
        <v>33</v>
      </c>
      <c r="I10" s="1"/>
      <c r="J10" s="1"/>
      <c r="K10" s="5" t="s">
        <v>46</v>
      </c>
    </row>
    <row r="11" spans="2:14" x14ac:dyDescent="0.25">
      <c r="B11" s="14" t="s">
        <v>18</v>
      </c>
      <c r="C11" s="1"/>
      <c r="D11" s="14" t="s">
        <v>18</v>
      </c>
      <c r="E11" s="1"/>
      <c r="F11" s="1" t="s">
        <v>30</v>
      </c>
      <c r="G11" s="10" t="s">
        <v>37</v>
      </c>
      <c r="H11" s="10" t="s">
        <v>36</v>
      </c>
      <c r="I11" s="1"/>
      <c r="J11" s="1"/>
      <c r="K11" s="5" t="s">
        <v>47</v>
      </c>
    </row>
    <row r="12" spans="2:14" x14ac:dyDescent="0.25">
      <c r="B12" s="10" t="s">
        <v>19</v>
      </c>
      <c r="C12" s="1"/>
      <c r="D12" s="10" t="s">
        <v>19</v>
      </c>
      <c r="E12" s="1"/>
      <c r="F12" s="1" t="s">
        <v>23</v>
      </c>
      <c r="G12" s="1"/>
      <c r="H12" s="1"/>
      <c r="I12" s="1"/>
      <c r="J12" s="1"/>
      <c r="K12" s="5" t="s">
        <v>48</v>
      </c>
    </row>
    <row r="13" spans="2:14" x14ac:dyDescent="0.25">
      <c r="B13" s="1"/>
      <c r="C13" s="1"/>
      <c r="D13" s="1"/>
      <c r="E13" s="1"/>
      <c r="F13" s="1" t="s">
        <v>17</v>
      </c>
      <c r="G13" s="1"/>
      <c r="H13" s="1"/>
      <c r="I13" s="1"/>
      <c r="J13" s="1"/>
      <c r="K13" s="5"/>
    </row>
    <row r="14" spans="2:14" x14ac:dyDescent="0.25">
      <c r="B14" s="2"/>
      <c r="C14" s="2"/>
      <c r="D14" s="2"/>
      <c r="E14" s="2"/>
      <c r="F14" s="16" t="s">
        <v>19</v>
      </c>
      <c r="G14" s="2"/>
      <c r="H14" s="2"/>
      <c r="I14" s="2"/>
      <c r="J14" s="2"/>
      <c r="K14" s="6"/>
    </row>
    <row r="16" spans="2:14" x14ac:dyDescent="0.25">
      <c r="B16" cm="1">
        <f t="array" ref="B16">CountCcolor(B3:B14,$N$2)</f>
        <v>6</v>
      </c>
      <c r="C16" cm="1">
        <f t="array" ref="C16">CountCcolor(C3:C14,$N$2)</f>
        <v>4</v>
      </c>
      <c r="D16" cm="1">
        <f t="array" ref="D16">CountCcolor(D3:D14,$N$2)</f>
        <v>5</v>
      </c>
      <c r="E16" cm="1">
        <f t="array" ref="E16">CountCcolor(E3:E14,$N$2)</f>
        <v>4</v>
      </c>
      <c r="F16" cm="1">
        <f t="array" ref="F16">CountCcolor(F3:F14,$N$2)</f>
        <v>6</v>
      </c>
      <c r="G16" cm="1">
        <f t="array" ref="G16">CountCcolor(G3:G14,$N$2)</f>
        <v>9</v>
      </c>
      <c r="H16" cm="1">
        <f t="array" ref="H16">CountCcolor(H3:H14,$N$2)</f>
        <v>5</v>
      </c>
      <c r="I16" cm="1">
        <f t="array" ref="I16">CountCcolor(I3:I14,$N$2)</f>
        <v>4</v>
      </c>
      <c r="J16" cm="1">
        <f t="array" ref="J16">CountCcolor(J3:J14,$N$2)</f>
        <v>4</v>
      </c>
      <c r="K16" cm="1">
        <f t="array" ref="K16">CountCcolor(K3:K14,$N$2)</f>
        <v>0</v>
      </c>
      <c r="L16">
        <f>COUNTA(B3:K14)</f>
        <v>84</v>
      </c>
    </row>
    <row r="17" spans="2:12" x14ac:dyDescent="0.25">
      <c r="B17" cm="1">
        <f t="array" ref="B17">CountCcolor(B3:B14,$N$3)</f>
        <v>2</v>
      </c>
      <c r="C17" cm="1">
        <f t="array" ref="C17">CountCcolor(C3:C14,$N$3)</f>
        <v>2</v>
      </c>
      <c r="D17" cm="1">
        <f t="array" ref="D17">CountCcolor(D3:D14,$N$3)</f>
        <v>2</v>
      </c>
      <c r="E17" cm="1">
        <f t="array" ref="E17">CountCcolor(E3:E14,$N$3)</f>
        <v>2</v>
      </c>
      <c r="F17" cm="1">
        <f t="array" ref="F17">CountCcolor(F3:F14,$N$3)</f>
        <v>2</v>
      </c>
      <c r="G17" cm="1">
        <f t="array" ref="G17">CountCcolor(G3:G14,$N$3)</f>
        <v>0</v>
      </c>
      <c r="H17" cm="1">
        <f t="array" ref="H17">CountCcolor(H3:H14,$N$3)</f>
        <v>0</v>
      </c>
      <c r="I17" cm="1">
        <f t="array" ref="I17">CountCcolor(I3:I14,$N$3)</f>
        <v>0</v>
      </c>
      <c r="J17" cm="1">
        <f t="array" ref="J17">CountCcolor(J3:J14,$N$3)</f>
        <v>0</v>
      </c>
      <c r="K17" cm="1">
        <f t="array" ref="K17">CountCcolor(K3:K14,$N$3)</f>
        <v>0</v>
      </c>
      <c r="L17" s="11">
        <f>SUM(B16:K17)/L16</f>
        <v>0.6785714285714286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Oleg Krinkin</dc:creator>
  <cp:lastModifiedBy>Oleg Krinkin</cp:lastModifiedBy>
  <dcterms:created xsi:type="dcterms:W3CDTF">2025-06-13T11:31:38Z</dcterms:created>
  <dcterms:modified xsi:type="dcterms:W3CDTF">2025-06-13T22:45:10Z</dcterms:modified>
</cp:coreProperties>
</file>