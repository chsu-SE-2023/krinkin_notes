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12.xml" ContentType="application/vnd.openxmlformats-officedocument.spreadsheetml.pivotTabl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Ex1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charts/chartEx2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charts/chartEx3.xml" ContentType="application/vnd.ms-office.chartex+xml"/>
  <Override PartName="/xl/charts/style14.xml" ContentType="application/vnd.ms-office.chartstyle+xml"/>
  <Override PartName="/xl/charts/colors14.xml" ContentType="application/vnd.ms-office.chartcolorstyle+xml"/>
  <Override PartName="/xl/charts/chart12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lesteep/Documents/Study/Курс 2/Основы Data Science/Лабораторные/06. Визуализация данных/"/>
    </mc:Choice>
  </mc:AlternateContent>
  <xr:revisionPtr revIDLastSave="0" documentId="13_ncr:1_{6D2A6A0F-573F-2A4F-BB49-32DADF73A846}" xr6:coauthVersionLast="47" xr6:coauthVersionMax="47" xr10:uidLastSave="{00000000-0000-0000-0000-000000000000}"/>
  <bookViews>
    <workbookView xWindow="0" yWindow="760" windowWidth="20240" windowHeight="21580" firstSheet="1" activeTab="7" xr2:uid="{94C2AD48-8C41-6147-84AE-58A60A9548F9}"/>
  </bookViews>
  <sheets>
    <sheet name="gameandgrade" sheetId="1" r:id="rId1"/>
    <sheet name="tmp" sheetId="6" r:id="rId2"/>
    <sheet name="Lab1" sheetId="3" r:id="rId3"/>
    <sheet name="Lab2" sheetId="5" r:id="rId4"/>
    <sheet name="Lab3" sheetId="2" r:id="rId5"/>
    <sheet name="Lab4" sheetId="7" r:id="rId6"/>
    <sheet name="Lab5" sheetId="8" r:id="rId7"/>
    <sheet name="Lab6" sheetId="9" r:id="rId8"/>
  </sheets>
  <definedNames>
    <definedName name="_xlnm._FilterDatabase" localSheetId="0" hidden="1">gameandgrade!$A$1:$J$771</definedName>
    <definedName name="_xlnm._FilterDatabase" localSheetId="1" hidden="1">tmp!$A$1:$J$1</definedName>
    <definedName name="_xlchart.v1.0" hidden="1">'Lab6'!$T$2:$T$544</definedName>
    <definedName name="_xlchart.v1.1" hidden="1">'Lab6'!$U$1</definedName>
    <definedName name="_xlchart.v1.2" hidden="1">'Lab6'!$U$2:$U$544</definedName>
    <definedName name="_xlchart.v1.3" hidden="1">'Lab6'!$V$2:$V$469</definedName>
    <definedName name="_xlchart.v1.4" hidden="1">'Lab6'!$W$1</definedName>
    <definedName name="_xlchart.v1.5" hidden="1">'Lab6'!$W$2:$W$469</definedName>
    <definedName name="_xlchart.v1.6" hidden="1">'Lab6'!$R$2:$R$771</definedName>
    <definedName name="_xlchart.v1.7" hidden="1">'Lab6'!$S$1</definedName>
    <definedName name="_xlchart.v1.8" hidden="1">'Lab6'!$S$2:$S$771</definedName>
    <definedName name="data" localSheetId="0">gameandgrade!$A$1:$K$771</definedName>
  </definedNames>
  <calcPr calcId="191029"/>
  <pivotCaches>
    <pivotCache cacheId="13" r:id="rId9"/>
    <pivotCache cacheId="1" r:id="rId10"/>
    <pivotCache cacheId="2" r:id="rId11"/>
    <pivotCache cacheId="3" r:id="rId12"/>
    <pivotCache cacheId="4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2" i="1"/>
  <c r="F18" i="8"/>
  <c r="F20" i="8"/>
  <c r="D20" i="8"/>
  <c r="D24" i="8"/>
  <c r="D25" i="8"/>
  <c r="D26" i="8"/>
  <c r="D27" i="8"/>
  <c r="E27" i="8" s="1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E197" i="8" s="1"/>
  <c r="D198" i="8"/>
  <c r="D199" i="8"/>
  <c r="D200" i="8"/>
  <c r="D201" i="8"/>
  <c r="D202" i="8"/>
  <c r="D203" i="8"/>
  <c r="D204" i="8"/>
  <c r="D205" i="8"/>
  <c r="D206" i="8"/>
  <c r="D207" i="8"/>
  <c r="E207" i="8" s="1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E227" i="8" s="1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E247" i="8" s="1"/>
  <c r="D248" i="8"/>
  <c r="D249" i="8"/>
  <c r="D250" i="8"/>
  <c r="D251" i="8"/>
  <c r="D252" i="8"/>
  <c r="D253" i="8"/>
  <c r="D254" i="8"/>
  <c r="D255" i="8"/>
  <c r="D256" i="8"/>
  <c r="D257" i="8"/>
  <c r="E257" i="8" s="1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E277" i="8" s="1"/>
  <c r="D278" i="8"/>
  <c r="D279" i="8"/>
  <c r="D280" i="8"/>
  <c r="D281" i="8"/>
  <c r="D282" i="8"/>
  <c r="D283" i="8"/>
  <c r="D284" i="8"/>
  <c r="D285" i="8"/>
  <c r="D286" i="8"/>
  <c r="D287" i="8"/>
  <c r="E287" i="8" s="1"/>
  <c r="D288" i="8"/>
  <c r="D289" i="8"/>
  <c r="D290" i="8"/>
  <c r="D291" i="8"/>
  <c r="D292" i="8"/>
  <c r="D293" i="8"/>
  <c r="D294" i="8"/>
  <c r="D295" i="8"/>
  <c r="D296" i="8"/>
  <c r="D297" i="8"/>
  <c r="E297" i="8" s="1"/>
  <c r="D298" i="8"/>
  <c r="D299" i="8"/>
  <c r="D300" i="8"/>
  <c r="D301" i="8"/>
  <c r="D302" i="8"/>
  <c r="D303" i="8"/>
  <c r="D304" i="8"/>
  <c r="D305" i="8"/>
  <c r="D306" i="8"/>
  <c r="D307" i="8"/>
  <c r="E307" i="8" s="1"/>
  <c r="D308" i="8"/>
  <c r="D309" i="8"/>
  <c r="D310" i="8"/>
  <c r="D311" i="8"/>
  <c r="D312" i="8"/>
  <c r="D313" i="8"/>
  <c r="D314" i="8"/>
  <c r="D315" i="8"/>
  <c r="D316" i="8"/>
  <c r="D317" i="8"/>
  <c r="E317" i="8" s="1"/>
  <c r="D318" i="8"/>
  <c r="D319" i="8"/>
  <c r="D320" i="8"/>
  <c r="D321" i="8"/>
  <c r="D322" i="8"/>
  <c r="D323" i="8"/>
  <c r="D324" i="8"/>
  <c r="D325" i="8"/>
  <c r="D326" i="8"/>
  <c r="D327" i="8"/>
  <c r="E327" i="8" s="1"/>
  <c r="D328" i="8"/>
  <c r="D329" i="8"/>
  <c r="D330" i="8"/>
  <c r="D331" i="8"/>
  <c r="D332" i="8"/>
  <c r="D333" i="8"/>
  <c r="D334" i="8"/>
  <c r="D335" i="8"/>
  <c r="D336" i="8"/>
  <c r="D337" i="8"/>
  <c r="E337" i="8" s="1"/>
  <c r="D338" i="8"/>
  <c r="D339" i="8"/>
  <c r="D340" i="8"/>
  <c r="D341" i="8"/>
  <c r="D342" i="8"/>
  <c r="D343" i="8"/>
  <c r="D344" i="8"/>
  <c r="D345" i="8"/>
  <c r="D346" i="8"/>
  <c r="D347" i="8"/>
  <c r="E347" i="8" s="1"/>
  <c r="D348" i="8"/>
  <c r="D349" i="8"/>
  <c r="D350" i="8"/>
  <c r="D351" i="8"/>
  <c r="D352" i="8"/>
  <c r="D353" i="8"/>
  <c r="D354" i="8"/>
  <c r="D355" i="8"/>
  <c r="D356" i="8"/>
  <c r="D357" i="8"/>
  <c r="E357" i="8" s="1"/>
  <c r="D358" i="8"/>
  <c r="D359" i="8"/>
  <c r="D360" i="8"/>
  <c r="D361" i="8"/>
  <c r="D362" i="8"/>
  <c r="D363" i="8"/>
  <c r="D364" i="8"/>
  <c r="D365" i="8"/>
  <c r="D366" i="8"/>
  <c r="D367" i="8"/>
  <c r="E367" i="8" s="1"/>
  <c r="D368" i="8"/>
  <c r="D369" i="8"/>
  <c r="D370" i="8"/>
  <c r="D371" i="8"/>
  <c r="D372" i="8"/>
  <c r="D373" i="8"/>
  <c r="D374" i="8"/>
  <c r="D375" i="8"/>
  <c r="D376" i="8"/>
  <c r="D377" i="8"/>
  <c r="E377" i="8" s="1"/>
  <c r="D378" i="8"/>
  <c r="D379" i="8"/>
  <c r="D380" i="8"/>
  <c r="D381" i="8"/>
  <c r="D382" i="8"/>
  <c r="D383" i="8"/>
  <c r="D384" i="8"/>
  <c r="D385" i="8"/>
  <c r="D386" i="8"/>
  <c r="D387" i="8"/>
  <c r="E387" i="8" s="1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E407" i="8" s="1"/>
  <c r="D408" i="8"/>
  <c r="D409" i="8"/>
  <c r="D410" i="8"/>
  <c r="D411" i="8"/>
  <c r="D412" i="8"/>
  <c r="D413" i="8"/>
  <c r="D414" i="8"/>
  <c r="D415" i="8"/>
  <c r="D416" i="8"/>
  <c r="D417" i="8"/>
  <c r="E417" i="8" s="1"/>
  <c r="D418" i="8"/>
  <c r="D419" i="8"/>
  <c r="D420" i="8"/>
  <c r="D421" i="8"/>
  <c r="D422" i="8"/>
  <c r="D423" i="8"/>
  <c r="D424" i="8"/>
  <c r="D425" i="8"/>
  <c r="D426" i="8"/>
  <c r="D427" i="8"/>
  <c r="E427" i="8" s="1"/>
  <c r="D428" i="8"/>
  <c r="D429" i="8"/>
  <c r="D430" i="8"/>
  <c r="D431" i="8"/>
  <c r="D432" i="8"/>
  <c r="D433" i="8"/>
  <c r="D434" i="8"/>
  <c r="D435" i="8"/>
  <c r="D436" i="8"/>
  <c r="D437" i="8"/>
  <c r="E437" i="8" s="1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E457" i="8" s="1"/>
  <c r="D458" i="8"/>
  <c r="D459" i="8"/>
  <c r="D460" i="8"/>
  <c r="D461" i="8"/>
  <c r="D462" i="8"/>
  <c r="D463" i="8"/>
  <c r="D464" i="8"/>
  <c r="D465" i="8"/>
  <c r="D466" i="8"/>
  <c r="D467" i="8"/>
  <c r="E467" i="8" s="1"/>
  <c r="D468" i="8"/>
  <c r="D469" i="8"/>
  <c r="D470" i="8"/>
  <c r="D471" i="8"/>
  <c r="D472" i="8"/>
  <c r="D473" i="8"/>
  <c r="D474" i="8"/>
  <c r="D475" i="8"/>
  <c r="D476" i="8"/>
  <c r="D477" i="8"/>
  <c r="E477" i="8" s="1"/>
  <c r="D478" i="8"/>
  <c r="D479" i="8"/>
  <c r="D480" i="8"/>
  <c r="D481" i="8"/>
  <c r="D482" i="8"/>
  <c r="D483" i="8"/>
  <c r="D484" i="8"/>
  <c r="D485" i="8"/>
  <c r="D486" i="8"/>
  <c r="D487" i="8"/>
  <c r="E487" i="8" s="1"/>
  <c r="D488" i="8"/>
  <c r="D489" i="8"/>
  <c r="D490" i="8"/>
  <c r="D491" i="8"/>
  <c r="D492" i="8"/>
  <c r="D493" i="8"/>
  <c r="D494" i="8"/>
  <c r="D495" i="8"/>
  <c r="D496" i="8"/>
  <c r="D497" i="8"/>
  <c r="E497" i="8" s="1"/>
  <c r="D498" i="8"/>
  <c r="D499" i="8"/>
  <c r="D500" i="8"/>
  <c r="D501" i="8"/>
  <c r="D502" i="8"/>
  <c r="D503" i="8"/>
  <c r="D504" i="8"/>
  <c r="D505" i="8"/>
  <c r="D506" i="8"/>
  <c r="D507" i="8"/>
  <c r="E507" i="8" s="1"/>
  <c r="D508" i="8"/>
  <c r="D509" i="8"/>
  <c r="D510" i="8"/>
  <c r="D511" i="8"/>
  <c r="D512" i="8"/>
  <c r="D513" i="8"/>
  <c r="D514" i="8"/>
  <c r="D515" i="8"/>
  <c r="D516" i="8"/>
  <c r="D517" i="8"/>
  <c r="E517" i="8" s="1"/>
  <c r="D518" i="8"/>
  <c r="D519" i="8"/>
  <c r="D520" i="8"/>
  <c r="D521" i="8"/>
  <c r="D522" i="8"/>
  <c r="D523" i="8"/>
  <c r="D524" i="8"/>
  <c r="D525" i="8"/>
  <c r="D526" i="8"/>
  <c r="D527" i="8"/>
  <c r="E527" i="8" s="1"/>
  <c r="D528" i="8"/>
  <c r="D529" i="8"/>
  <c r="D530" i="8"/>
  <c r="D531" i="8"/>
  <c r="D532" i="8"/>
  <c r="D533" i="8"/>
  <c r="D534" i="8"/>
  <c r="D535" i="8"/>
  <c r="D536" i="8"/>
  <c r="D537" i="8"/>
  <c r="E537" i="8" s="1"/>
  <c r="D538" i="8"/>
  <c r="D539" i="8"/>
  <c r="D540" i="8"/>
  <c r="D541" i="8"/>
  <c r="D542" i="8"/>
  <c r="D543" i="8"/>
  <c r="D544" i="8"/>
  <c r="D545" i="8"/>
  <c r="D546" i="8"/>
  <c r="D547" i="8"/>
  <c r="E547" i="8" s="1"/>
  <c r="D548" i="8"/>
  <c r="D549" i="8"/>
  <c r="D550" i="8"/>
  <c r="D551" i="8"/>
  <c r="D552" i="8"/>
  <c r="D553" i="8"/>
  <c r="D554" i="8"/>
  <c r="D555" i="8"/>
  <c r="D556" i="8"/>
  <c r="D557" i="8"/>
  <c r="E557" i="8" s="1"/>
  <c r="D558" i="8"/>
  <c r="D559" i="8"/>
  <c r="D560" i="8"/>
  <c r="D561" i="8"/>
  <c r="D562" i="8"/>
  <c r="D563" i="8"/>
  <c r="E563" i="8" s="1"/>
  <c r="D564" i="8"/>
  <c r="D565" i="8"/>
  <c r="D566" i="8"/>
  <c r="D567" i="8"/>
  <c r="E567" i="8" s="1"/>
  <c r="D568" i="8"/>
  <c r="D569" i="8"/>
  <c r="D570" i="8"/>
  <c r="D571" i="8"/>
  <c r="D572" i="8"/>
  <c r="D573" i="8"/>
  <c r="D574" i="8"/>
  <c r="D575" i="8"/>
  <c r="D576" i="8"/>
  <c r="D577" i="8"/>
  <c r="E577" i="8" s="1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E597" i="8" s="1"/>
  <c r="D598" i="8"/>
  <c r="D599" i="8"/>
  <c r="D600" i="8"/>
  <c r="D601" i="8"/>
  <c r="D602" i="8"/>
  <c r="D603" i="8"/>
  <c r="D604" i="8"/>
  <c r="D605" i="8"/>
  <c r="D606" i="8"/>
  <c r="D607" i="8"/>
  <c r="E607" i="8" s="1"/>
  <c r="D608" i="8"/>
  <c r="D609" i="8"/>
  <c r="D610" i="8"/>
  <c r="D611" i="8"/>
  <c r="D612" i="8"/>
  <c r="D613" i="8"/>
  <c r="E613" i="8" s="1"/>
  <c r="D614" i="8"/>
  <c r="D615" i="8"/>
  <c r="D616" i="8"/>
  <c r="D617" i="8"/>
  <c r="E617" i="8" s="1"/>
  <c r="D618" i="8"/>
  <c r="D619" i="8"/>
  <c r="D620" i="8"/>
  <c r="D621" i="8"/>
  <c r="D622" i="8"/>
  <c r="D623" i="8"/>
  <c r="D624" i="8"/>
  <c r="D625" i="8"/>
  <c r="D626" i="8"/>
  <c r="D627" i="8"/>
  <c r="E627" i="8" s="1"/>
  <c r="D628" i="8"/>
  <c r="D629" i="8"/>
  <c r="D630" i="8"/>
  <c r="D631" i="8"/>
  <c r="D632" i="8"/>
  <c r="D633" i="8"/>
  <c r="D634" i="8"/>
  <c r="D635" i="8"/>
  <c r="D636" i="8"/>
  <c r="D637" i="8"/>
  <c r="E637" i="8" s="1"/>
  <c r="D638" i="8"/>
  <c r="D639" i="8"/>
  <c r="D640" i="8"/>
  <c r="D641" i="8"/>
  <c r="D642" i="8"/>
  <c r="D643" i="8"/>
  <c r="D644" i="8"/>
  <c r="D645" i="8"/>
  <c r="D646" i="8"/>
  <c r="D647" i="8"/>
  <c r="E647" i="8" s="1"/>
  <c r="D648" i="8"/>
  <c r="D649" i="8"/>
  <c r="D650" i="8"/>
  <c r="D651" i="8"/>
  <c r="D652" i="8"/>
  <c r="D653" i="8"/>
  <c r="D654" i="8"/>
  <c r="D655" i="8"/>
  <c r="D656" i="8"/>
  <c r="D657" i="8"/>
  <c r="D658" i="8"/>
  <c r="D659" i="8"/>
  <c r="D660" i="8"/>
  <c r="D661" i="8"/>
  <c r="D662" i="8"/>
  <c r="D663" i="8"/>
  <c r="D664" i="8"/>
  <c r="D665" i="8"/>
  <c r="D666" i="8"/>
  <c r="D667" i="8"/>
  <c r="E667" i="8" s="1"/>
  <c r="D668" i="8"/>
  <c r="D669" i="8"/>
  <c r="D670" i="8"/>
  <c r="D671" i="8"/>
  <c r="D672" i="8"/>
  <c r="D673" i="8"/>
  <c r="D674" i="8"/>
  <c r="D675" i="8"/>
  <c r="D676" i="8"/>
  <c r="D677" i="8"/>
  <c r="E677" i="8" s="1"/>
  <c r="D678" i="8"/>
  <c r="D679" i="8"/>
  <c r="D680" i="8"/>
  <c r="D681" i="8"/>
  <c r="D682" i="8"/>
  <c r="D683" i="8"/>
  <c r="D684" i="8"/>
  <c r="D685" i="8"/>
  <c r="D686" i="8"/>
  <c r="D687" i="8"/>
  <c r="E687" i="8" s="1"/>
  <c r="D688" i="8"/>
  <c r="D689" i="8"/>
  <c r="D690" i="8"/>
  <c r="D691" i="8"/>
  <c r="D692" i="8"/>
  <c r="D693" i="8"/>
  <c r="D694" i="8"/>
  <c r="D695" i="8"/>
  <c r="D696" i="8"/>
  <c r="D697" i="8"/>
  <c r="D698" i="8"/>
  <c r="D699" i="8"/>
  <c r="D700" i="8"/>
  <c r="D701" i="8"/>
  <c r="D702" i="8"/>
  <c r="D703" i="8"/>
  <c r="E703" i="8" s="1"/>
  <c r="D704" i="8"/>
  <c r="D705" i="8"/>
  <c r="D706" i="8"/>
  <c r="D707" i="8"/>
  <c r="E707" i="8" s="1"/>
  <c r="D708" i="8"/>
  <c r="D709" i="8"/>
  <c r="D710" i="8"/>
  <c r="D711" i="8"/>
  <c r="D712" i="8"/>
  <c r="D713" i="8"/>
  <c r="D714" i="8"/>
  <c r="D715" i="8"/>
  <c r="D716" i="8"/>
  <c r="D717" i="8"/>
  <c r="E717" i="8" s="1"/>
  <c r="D718" i="8"/>
  <c r="D719" i="8"/>
  <c r="D720" i="8"/>
  <c r="D721" i="8"/>
  <c r="D722" i="8"/>
  <c r="D723" i="8"/>
  <c r="D724" i="8"/>
  <c r="D725" i="8"/>
  <c r="D726" i="8"/>
  <c r="D727" i="8"/>
  <c r="E727" i="8" s="1"/>
  <c r="D728" i="8"/>
  <c r="D729" i="8"/>
  <c r="D730" i="8"/>
  <c r="D731" i="8"/>
  <c r="D732" i="8"/>
  <c r="D733" i="8"/>
  <c r="D734" i="8"/>
  <c r="D735" i="8"/>
  <c r="D736" i="8"/>
  <c r="D737" i="8"/>
  <c r="E737" i="8" s="1"/>
  <c r="D738" i="8"/>
  <c r="D739" i="8"/>
  <c r="D740" i="8"/>
  <c r="D741" i="8"/>
  <c r="D742" i="8"/>
  <c r="D743" i="8"/>
  <c r="D744" i="8"/>
  <c r="D745" i="8"/>
  <c r="D746" i="8"/>
  <c r="D747" i="8"/>
  <c r="D748" i="8"/>
  <c r="D749" i="8"/>
  <c r="D750" i="8"/>
  <c r="D751" i="8"/>
  <c r="D752" i="8"/>
  <c r="D753" i="8"/>
  <c r="D754" i="8"/>
  <c r="D755" i="8"/>
  <c r="D756" i="8"/>
  <c r="D757" i="8"/>
  <c r="D758" i="8"/>
  <c r="D759" i="8"/>
  <c r="D760" i="8"/>
  <c r="D761" i="8"/>
  <c r="E761" i="8" s="1"/>
  <c r="D762" i="8"/>
  <c r="D763" i="8"/>
  <c r="D764" i="8"/>
  <c r="D765" i="8"/>
  <c r="D766" i="8"/>
  <c r="D767" i="8"/>
  <c r="D768" i="8"/>
  <c r="D769" i="8"/>
  <c r="E769" i="8" s="1"/>
  <c r="D770" i="8"/>
  <c r="D771" i="8"/>
  <c r="E771" i="8" s="1"/>
  <c r="D772" i="8"/>
  <c r="D773" i="8"/>
  <c r="D774" i="8"/>
  <c r="D775" i="8"/>
  <c r="D776" i="8"/>
  <c r="D777" i="8"/>
  <c r="E777" i="8" s="1"/>
  <c r="D778" i="8"/>
  <c r="E778" i="8" s="1"/>
  <c r="D779" i="8"/>
  <c r="D780" i="8"/>
  <c r="D781" i="8"/>
  <c r="D782" i="8"/>
  <c r="D783" i="8"/>
  <c r="D784" i="8"/>
  <c r="D785" i="8"/>
  <c r="D786" i="8"/>
  <c r="D787" i="8"/>
  <c r="D788" i="8"/>
  <c r="D789" i="8"/>
  <c r="D790" i="8"/>
  <c r="D791" i="8"/>
  <c r="D792" i="8"/>
  <c r="D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E193" i="8" s="1"/>
  <c r="B194" i="8"/>
  <c r="B195" i="8"/>
  <c r="B196" i="8"/>
  <c r="B197" i="8"/>
  <c r="B198" i="8"/>
  <c r="B199" i="8"/>
  <c r="B200" i="8"/>
  <c r="B201" i="8"/>
  <c r="B202" i="8"/>
  <c r="B203" i="8"/>
  <c r="E203" i="8" s="1"/>
  <c r="B204" i="8"/>
  <c r="B205" i="8"/>
  <c r="B206" i="8"/>
  <c r="B207" i="8"/>
  <c r="B208" i="8"/>
  <c r="B209" i="8"/>
  <c r="B210" i="8"/>
  <c r="B211" i="8"/>
  <c r="B212" i="8"/>
  <c r="B213" i="8"/>
  <c r="E213" i="8" s="1"/>
  <c r="B214" i="8"/>
  <c r="B215" i="8"/>
  <c r="B216" i="8"/>
  <c r="B217" i="8"/>
  <c r="B218" i="8"/>
  <c r="B219" i="8"/>
  <c r="B220" i="8"/>
  <c r="B221" i="8"/>
  <c r="B222" i="8"/>
  <c r="B223" i="8"/>
  <c r="E223" i="8" s="1"/>
  <c r="B224" i="8"/>
  <c r="B225" i="8"/>
  <c r="B226" i="8"/>
  <c r="B227" i="8"/>
  <c r="B228" i="8"/>
  <c r="B229" i="8"/>
  <c r="B230" i="8"/>
  <c r="B231" i="8"/>
  <c r="B232" i="8"/>
  <c r="B233" i="8"/>
  <c r="E233" i="8" s="1"/>
  <c r="B234" i="8"/>
  <c r="B235" i="8"/>
  <c r="B236" i="8"/>
  <c r="B237" i="8"/>
  <c r="B238" i="8"/>
  <c r="B239" i="8"/>
  <c r="B240" i="8"/>
  <c r="B241" i="8"/>
  <c r="B242" i="8"/>
  <c r="B243" i="8"/>
  <c r="E243" i="8" s="1"/>
  <c r="B244" i="8"/>
  <c r="B245" i="8"/>
  <c r="B246" i="8"/>
  <c r="B247" i="8"/>
  <c r="B248" i="8"/>
  <c r="B249" i="8"/>
  <c r="B250" i="8"/>
  <c r="B251" i="8"/>
  <c r="B252" i="8"/>
  <c r="B253" i="8"/>
  <c r="E253" i="8" s="1"/>
  <c r="B254" i="8"/>
  <c r="B255" i="8"/>
  <c r="B256" i="8"/>
  <c r="B257" i="8"/>
  <c r="B258" i="8"/>
  <c r="B259" i="8"/>
  <c r="B260" i="8"/>
  <c r="B261" i="8"/>
  <c r="B262" i="8"/>
  <c r="B263" i="8"/>
  <c r="E263" i="8" s="1"/>
  <c r="B264" i="8"/>
  <c r="B265" i="8"/>
  <c r="B266" i="8"/>
  <c r="B267" i="8"/>
  <c r="B268" i="8"/>
  <c r="B269" i="8"/>
  <c r="B270" i="8"/>
  <c r="B271" i="8"/>
  <c r="B272" i="8"/>
  <c r="B273" i="8"/>
  <c r="E273" i="8" s="1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E293" i="8" s="1"/>
  <c r="B294" i="8"/>
  <c r="B295" i="8"/>
  <c r="B296" i="8"/>
  <c r="B297" i="8"/>
  <c r="B298" i="8"/>
  <c r="B299" i="8"/>
  <c r="B300" i="8"/>
  <c r="B301" i="8"/>
  <c r="B302" i="8"/>
  <c r="B303" i="8"/>
  <c r="E303" i="8" s="1"/>
  <c r="B304" i="8"/>
  <c r="B305" i="8"/>
  <c r="B306" i="8"/>
  <c r="B307" i="8"/>
  <c r="B308" i="8"/>
  <c r="B309" i="8"/>
  <c r="B310" i="8"/>
  <c r="B311" i="8"/>
  <c r="B312" i="8"/>
  <c r="B313" i="8"/>
  <c r="E313" i="8" s="1"/>
  <c r="B314" i="8"/>
  <c r="B315" i="8"/>
  <c r="B316" i="8"/>
  <c r="B317" i="8"/>
  <c r="B318" i="8"/>
  <c r="B319" i="8"/>
  <c r="B320" i="8"/>
  <c r="B321" i="8"/>
  <c r="B322" i="8"/>
  <c r="B323" i="8"/>
  <c r="E323" i="8" s="1"/>
  <c r="B324" i="8"/>
  <c r="B325" i="8"/>
  <c r="B326" i="8"/>
  <c r="B327" i="8"/>
  <c r="B328" i="8"/>
  <c r="B329" i="8"/>
  <c r="B330" i="8"/>
  <c r="B331" i="8"/>
  <c r="B332" i="8"/>
  <c r="B333" i="8"/>
  <c r="E333" i="8" s="1"/>
  <c r="B334" i="8"/>
  <c r="B335" i="8"/>
  <c r="B336" i="8"/>
  <c r="B337" i="8"/>
  <c r="B338" i="8"/>
  <c r="B339" i="8"/>
  <c r="B340" i="8"/>
  <c r="B341" i="8"/>
  <c r="B342" i="8"/>
  <c r="B343" i="8"/>
  <c r="E343" i="8" s="1"/>
  <c r="B344" i="8"/>
  <c r="B345" i="8"/>
  <c r="B346" i="8"/>
  <c r="B347" i="8"/>
  <c r="B348" i="8"/>
  <c r="B349" i="8"/>
  <c r="B350" i="8"/>
  <c r="B351" i="8"/>
  <c r="B352" i="8"/>
  <c r="B353" i="8"/>
  <c r="E353" i="8" s="1"/>
  <c r="B354" i="8"/>
  <c r="B355" i="8"/>
  <c r="B356" i="8"/>
  <c r="B357" i="8"/>
  <c r="B358" i="8"/>
  <c r="B359" i="8"/>
  <c r="B360" i="8"/>
  <c r="B361" i="8"/>
  <c r="B362" i="8"/>
  <c r="B363" i="8"/>
  <c r="E363" i="8" s="1"/>
  <c r="B364" i="8"/>
  <c r="B365" i="8"/>
  <c r="B366" i="8"/>
  <c r="B367" i="8"/>
  <c r="B368" i="8"/>
  <c r="B369" i="8"/>
  <c r="B370" i="8"/>
  <c r="B371" i="8"/>
  <c r="B372" i="8"/>
  <c r="B373" i="8"/>
  <c r="E373" i="8" s="1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E392" i="8" s="1"/>
  <c r="B393" i="8"/>
  <c r="E393" i="8" s="1"/>
  <c r="B394" i="8"/>
  <c r="B395" i="8"/>
  <c r="B396" i="8"/>
  <c r="B397" i="8"/>
  <c r="B398" i="8"/>
  <c r="B399" i="8"/>
  <c r="B400" i="8"/>
  <c r="B401" i="8"/>
  <c r="B402" i="8"/>
  <c r="E402" i="8" s="1"/>
  <c r="B403" i="8"/>
  <c r="E403" i="8" s="1"/>
  <c r="B404" i="8"/>
  <c r="B405" i="8"/>
  <c r="B406" i="8"/>
  <c r="B407" i="8"/>
  <c r="B408" i="8"/>
  <c r="B409" i="8"/>
  <c r="B410" i="8"/>
  <c r="B411" i="8"/>
  <c r="B412" i="8"/>
  <c r="E412" i="8" s="1"/>
  <c r="B413" i="8"/>
  <c r="E413" i="8" s="1"/>
  <c r="B414" i="8"/>
  <c r="B415" i="8"/>
  <c r="B416" i="8"/>
  <c r="B417" i="8"/>
  <c r="B418" i="8"/>
  <c r="B419" i="8"/>
  <c r="B420" i="8"/>
  <c r="B421" i="8"/>
  <c r="B422" i="8"/>
  <c r="B423" i="8"/>
  <c r="E423" i="8" s="1"/>
  <c r="B424" i="8"/>
  <c r="B425" i="8"/>
  <c r="B426" i="8"/>
  <c r="B427" i="8"/>
  <c r="B428" i="8"/>
  <c r="B429" i="8"/>
  <c r="B430" i="8"/>
  <c r="B431" i="8"/>
  <c r="B432" i="8"/>
  <c r="B433" i="8"/>
  <c r="E433" i="8" s="1"/>
  <c r="B434" i="8"/>
  <c r="B435" i="8"/>
  <c r="B436" i="8"/>
  <c r="B437" i="8"/>
  <c r="B438" i="8"/>
  <c r="B439" i="8"/>
  <c r="B440" i="8"/>
  <c r="B441" i="8"/>
  <c r="B442" i="8"/>
  <c r="B443" i="8"/>
  <c r="E443" i="8" s="1"/>
  <c r="B444" i="8"/>
  <c r="B445" i="8"/>
  <c r="B446" i="8"/>
  <c r="B447" i="8"/>
  <c r="B448" i="8"/>
  <c r="B449" i="8"/>
  <c r="B450" i="8"/>
  <c r="B451" i="8"/>
  <c r="B452" i="8"/>
  <c r="B453" i="8"/>
  <c r="E453" i="8" s="1"/>
  <c r="B454" i="8"/>
  <c r="B455" i="8"/>
  <c r="B456" i="8"/>
  <c r="B457" i="8"/>
  <c r="B458" i="8"/>
  <c r="B459" i="8"/>
  <c r="B460" i="8"/>
  <c r="B461" i="8"/>
  <c r="B462" i="8"/>
  <c r="E462" i="8" s="1"/>
  <c r="B463" i="8"/>
  <c r="E463" i="8" s="1"/>
  <c r="B464" i="8"/>
  <c r="B465" i="8"/>
  <c r="B466" i="8"/>
  <c r="B467" i="8"/>
  <c r="B468" i="8"/>
  <c r="B469" i="8"/>
  <c r="B470" i="8"/>
  <c r="B471" i="8"/>
  <c r="B472" i="8"/>
  <c r="B473" i="8"/>
  <c r="E473" i="8" s="1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E492" i="8" s="1"/>
  <c r="B493" i="8"/>
  <c r="E493" i="8" s="1"/>
  <c r="B494" i="8"/>
  <c r="B495" i="8"/>
  <c r="B496" i="8"/>
  <c r="B497" i="8"/>
  <c r="B498" i="8"/>
  <c r="B499" i="8"/>
  <c r="B500" i="8"/>
  <c r="B501" i="8"/>
  <c r="B502" i="8"/>
  <c r="E502" i="8" s="1"/>
  <c r="B503" i="8"/>
  <c r="E503" i="8" s="1"/>
  <c r="B504" i="8"/>
  <c r="B505" i="8"/>
  <c r="B506" i="8"/>
  <c r="B507" i="8"/>
  <c r="B508" i="8"/>
  <c r="B509" i="8"/>
  <c r="B510" i="8"/>
  <c r="B511" i="8"/>
  <c r="B512" i="8"/>
  <c r="E512" i="8" s="1"/>
  <c r="B513" i="8"/>
  <c r="E513" i="8" s="1"/>
  <c r="B514" i="8"/>
  <c r="B515" i="8"/>
  <c r="B516" i="8"/>
  <c r="B517" i="8"/>
  <c r="B518" i="8"/>
  <c r="B519" i="8"/>
  <c r="B520" i="8"/>
  <c r="B521" i="8"/>
  <c r="B522" i="8"/>
  <c r="E522" i="8" s="1"/>
  <c r="B523" i="8"/>
  <c r="E523" i="8" s="1"/>
  <c r="B524" i="8"/>
  <c r="B525" i="8"/>
  <c r="B526" i="8"/>
  <c r="B527" i="8"/>
  <c r="B528" i="8"/>
  <c r="B529" i="8"/>
  <c r="B530" i="8"/>
  <c r="B531" i="8"/>
  <c r="B532" i="8"/>
  <c r="E532" i="8" s="1"/>
  <c r="B533" i="8"/>
  <c r="E533" i="8" s="1"/>
  <c r="B534" i="8"/>
  <c r="B535" i="8"/>
  <c r="B536" i="8"/>
  <c r="B537" i="8"/>
  <c r="B538" i="8"/>
  <c r="B539" i="8"/>
  <c r="B540" i="8"/>
  <c r="B541" i="8"/>
  <c r="B542" i="8"/>
  <c r="E542" i="8" s="1"/>
  <c r="B543" i="8"/>
  <c r="E543" i="8" s="1"/>
  <c r="B544" i="8"/>
  <c r="B545" i="8"/>
  <c r="B546" i="8"/>
  <c r="B547" i="8"/>
  <c r="B548" i="8"/>
  <c r="B549" i="8"/>
  <c r="B550" i="8"/>
  <c r="B551" i="8"/>
  <c r="B552" i="8"/>
  <c r="E552" i="8" s="1"/>
  <c r="B553" i="8"/>
  <c r="E553" i="8" s="1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E572" i="8" s="1"/>
  <c r="B573" i="8"/>
  <c r="E573" i="8" s="1"/>
  <c r="B574" i="8"/>
  <c r="B575" i="8"/>
  <c r="B576" i="8"/>
  <c r="B577" i="8"/>
  <c r="B578" i="8"/>
  <c r="B579" i="8"/>
  <c r="B580" i="8"/>
  <c r="B581" i="8"/>
  <c r="B582" i="8"/>
  <c r="E582" i="8" s="1"/>
  <c r="B583" i="8"/>
  <c r="E583" i="8" s="1"/>
  <c r="B584" i="8"/>
  <c r="B585" i="8"/>
  <c r="B586" i="8"/>
  <c r="B587" i="8"/>
  <c r="B588" i="8"/>
  <c r="B589" i="8"/>
  <c r="B590" i="8"/>
  <c r="B591" i="8"/>
  <c r="B592" i="8"/>
  <c r="E592" i="8" s="1"/>
  <c r="B593" i="8"/>
  <c r="E593" i="8" s="1"/>
  <c r="B594" i="8"/>
  <c r="B595" i="8"/>
  <c r="B596" i="8"/>
  <c r="B597" i="8"/>
  <c r="B598" i="8"/>
  <c r="B599" i="8"/>
  <c r="B600" i="8"/>
  <c r="B601" i="8"/>
  <c r="B602" i="8"/>
  <c r="E602" i="8" s="1"/>
  <c r="B603" i="8"/>
  <c r="E603" i="8" s="1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E622" i="8" s="1"/>
  <c r="B623" i="8"/>
  <c r="E623" i="8" s="1"/>
  <c r="B624" i="8"/>
  <c r="B625" i="8"/>
  <c r="B626" i="8"/>
  <c r="B627" i="8"/>
  <c r="B628" i="8"/>
  <c r="B629" i="8"/>
  <c r="B630" i="8"/>
  <c r="B631" i="8"/>
  <c r="B632" i="8"/>
  <c r="E632" i="8" s="1"/>
  <c r="B633" i="8"/>
  <c r="E633" i="8" s="1"/>
  <c r="B634" i="8"/>
  <c r="B635" i="8"/>
  <c r="B636" i="8"/>
  <c r="B637" i="8"/>
  <c r="B638" i="8"/>
  <c r="B639" i="8"/>
  <c r="B640" i="8"/>
  <c r="B641" i="8"/>
  <c r="B642" i="8"/>
  <c r="E642" i="8" s="1"/>
  <c r="B643" i="8"/>
  <c r="E643" i="8" s="1"/>
  <c r="B644" i="8"/>
  <c r="B645" i="8"/>
  <c r="B646" i="8"/>
  <c r="B647" i="8"/>
  <c r="B648" i="8"/>
  <c r="B649" i="8"/>
  <c r="B650" i="8"/>
  <c r="B651" i="8"/>
  <c r="B652" i="8"/>
  <c r="E652" i="8" s="1"/>
  <c r="B653" i="8"/>
  <c r="E653" i="8" s="1"/>
  <c r="B654" i="8"/>
  <c r="B655" i="8"/>
  <c r="B656" i="8"/>
  <c r="B657" i="8"/>
  <c r="B658" i="8"/>
  <c r="B659" i="8"/>
  <c r="B660" i="8"/>
  <c r="B661" i="8"/>
  <c r="B662" i="8"/>
  <c r="B663" i="8"/>
  <c r="B664" i="8"/>
  <c r="B665" i="8"/>
  <c r="B666" i="8"/>
  <c r="B667" i="8"/>
  <c r="B668" i="8"/>
  <c r="B669" i="8"/>
  <c r="B670" i="8"/>
  <c r="B671" i="8"/>
  <c r="B672" i="8"/>
  <c r="E672" i="8" s="1"/>
  <c r="B673" i="8"/>
  <c r="E673" i="8" s="1"/>
  <c r="B674" i="8"/>
  <c r="B675" i="8"/>
  <c r="B676" i="8"/>
  <c r="B677" i="8"/>
  <c r="B678" i="8"/>
  <c r="B679" i="8"/>
  <c r="B680" i="8"/>
  <c r="B681" i="8"/>
  <c r="B682" i="8"/>
  <c r="E682" i="8" s="1"/>
  <c r="B683" i="8"/>
  <c r="E683" i="8" s="1"/>
  <c r="B684" i="8"/>
  <c r="B685" i="8"/>
  <c r="B686" i="8"/>
  <c r="B687" i="8"/>
  <c r="B688" i="8"/>
  <c r="B689" i="8"/>
  <c r="B690" i="8"/>
  <c r="B691" i="8"/>
  <c r="B692" i="8"/>
  <c r="E692" i="8" s="1"/>
  <c r="B693" i="8"/>
  <c r="E693" i="8" s="1"/>
  <c r="B694" i="8"/>
  <c r="B695" i="8"/>
  <c r="B696" i="8"/>
  <c r="B697" i="8"/>
  <c r="E697" i="8" s="1"/>
  <c r="B698" i="8"/>
  <c r="E698" i="8" s="1"/>
  <c r="B699" i="8"/>
  <c r="B700" i="8"/>
  <c r="B701" i="8"/>
  <c r="B702" i="8"/>
  <c r="B703" i="8"/>
  <c r="B704" i="8"/>
  <c r="B705" i="8"/>
  <c r="B706" i="8"/>
  <c r="B707" i="8"/>
  <c r="B708" i="8"/>
  <c r="B709" i="8"/>
  <c r="E709" i="8" s="1"/>
  <c r="B710" i="8"/>
  <c r="E710" i="8" s="1"/>
  <c r="B711" i="8"/>
  <c r="B712" i="8"/>
  <c r="E712" i="8" s="1"/>
  <c r="B713" i="8"/>
  <c r="E713" i="8" s="1"/>
  <c r="B714" i="8"/>
  <c r="B715" i="8"/>
  <c r="B716" i="8"/>
  <c r="B717" i="8"/>
  <c r="B718" i="8"/>
  <c r="B719" i="8"/>
  <c r="B720" i="8"/>
  <c r="B721" i="8"/>
  <c r="B722" i="8"/>
  <c r="E722" i="8" s="1"/>
  <c r="B723" i="8"/>
  <c r="E723" i="8" s="1"/>
  <c r="B724" i="8"/>
  <c r="B725" i="8"/>
  <c r="B726" i="8"/>
  <c r="B727" i="8"/>
  <c r="B728" i="8"/>
  <c r="E728" i="8" s="1"/>
  <c r="B729" i="8"/>
  <c r="B730" i="8"/>
  <c r="B731" i="8"/>
  <c r="B732" i="8"/>
  <c r="E732" i="8" s="1"/>
  <c r="B733" i="8"/>
  <c r="E733" i="8" s="1"/>
  <c r="B734" i="8"/>
  <c r="B735" i="8"/>
  <c r="B736" i="8"/>
  <c r="B737" i="8"/>
  <c r="B738" i="8"/>
  <c r="E738" i="8" s="1"/>
  <c r="B739" i="8"/>
  <c r="B740" i="8"/>
  <c r="B741" i="8"/>
  <c r="B742" i="8"/>
  <c r="E742" i="8" s="1"/>
  <c r="B743" i="8"/>
  <c r="E743" i="8" s="1"/>
  <c r="B744" i="8"/>
  <c r="B745" i="8"/>
  <c r="B746" i="8"/>
  <c r="B747" i="8"/>
  <c r="B748" i="8"/>
  <c r="E748" i="8" s="1"/>
  <c r="B749" i="8"/>
  <c r="E749" i="8" s="1"/>
  <c r="B750" i="8"/>
  <c r="B751" i="8"/>
  <c r="B752" i="8"/>
  <c r="E752" i="8" s="1"/>
  <c r="B753" i="8"/>
  <c r="E753" i="8" s="1"/>
  <c r="B754" i="8"/>
  <c r="B755" i="8"/>
  <c r="B756" i="8"/>
  <c r="B757" i="8"/>
  <c r="E757" i="8" s="1"/>
  <c r="B758" i="8"/>
  <c r="B759" i="8"/>
  <c r="E759" i="8" s="1"/>
  <c r="B760" i="8"/>
  <c r="E760" i="8" s="1"/>
  <c r="B761" i="8"/>
  <c r="B762" i="8"/>
  <c r="E762" i="8" s="1"/>
  <c r="B763" i="8"/>
  <c r="E763" i="8" s="1"/>
  <c r="B764" i="8"/>
  <c r="B765" i="8"/>
  <c r="B766" i="8"/>
  <c r="B767" i="8"/>
  <c r="E767" i="8" s="1"/>
  <c r="B768" i="8"/>
  <c r="E768" i="8" s="1"/>
  <c r="B769" i="8"/>
  <c r="B770" i="8"/>
  <c r="E770" i="8" s="1"/>
  <c r="B771" i="8"/>
  <c r="B772" i="8"/>
  <c r="B773" i="8"/>
  <c r="E773" i="8" s="1"/>
  <c r="B774" i="8"/>
  <c r="B775" i="8"/>
  <c r="B776" i="8"/>
  <c r="B777" i="8"/>
  <c r="B778" i="8"/>
  <c r="B779" i="8"/>
  <c r="E779" i="8" s="1"/>
  <c r="B780" i="8"/>
  <c r="E780" i="8" s="1"/>
  <c r="B781" i="8"/>
  <c r="B782" i="8"/>
  <c r="E782" i="8" s="1"/>
  <c r="B783" i="8"/>
  <c r="E783" i="8" s="1"/>
  <c r="B784" i="8"/>
  <c r="B785" i="8"/>
  <c r="B786" i="8"/>
  <c r="B787" i="8"/>
  <c r="E787" i="8" s="1"/>
  <c r="B788" i="8"/>
  <c r="E788" i="8" s="1"/>
  <c r="B789" i="8"/>
  <c r="B790" i="8"/>
  <c r="E790" i="8" s="1"/>
  <c r="B791" i="8"/>
  <c r="B792" i="8"/>
  <c r="B23" i="8"/>
  <c r="E192" i="8"/>
  <c r="E202" i="8"/>
  <c r="E212" i="8"/>
  <c r="E222" i="8"/>
  <c r="E232" i="8"/>
  <c r="E242" i="8"/>
  <c r="E252" i="8"/>
  <c r="E262" i="8"/>
  <c r="E272" i="8"/>
  <c r="E282" i="8"/>
  <c r="E292" i="8"/>
  <c r="E302" i="8"/>
  <c r="E312" i="8"/>
  <c r="E322" i="8"/>
  <c r="E332" i="8"/>
  <c r="E342" i="8"/>
  <c r="E352" i="8"/>
  <c r="E362" i="8"/>
  <c r="E372" i="8"/>
  <c r="E382" i="8"/>
  <c r="E422" i="8"/>
  <c r="E432" i="8"/>
  <c r="E442" i="8"/>
  <c r="E452" i="8"/>
  <c r="E472" i="8"/>
  <c r="E482" i="8"/>
  <c r="E550" i="8"/>
  <c r="E560" i="8"/>
  <c r="E562" i="8"/>
  <c r="E570" i="8"/>
  <c r="E580" i="8"/>
  <c r="E590" i="8"/>
  <c r="E600" i="8"/>
  <c r="E610" i="8"/>
  <c r="E612" i="8"/>
  <c r="E620" i="8"/>
  <c r="E630" i="8"/>
  <c r="E640" i="8"/>
  <c r="E650" i="8"/>
  <c r="E660" i="8"/>
  <c r="E662" i="8"/>
  <c r="E670" i="8"/>
  <c r="E680" i="8"/>
  <c r="E689" i="8"/>
  <c r="E690" i="8"/>
  <c r="E699" i="8"/>
  <c r="E700" i="8"/>
  <c r="E702" i="8"/>
  <c r="E711" i="8"/>
  <c r="E719" i="8"/>
  <c r="E720" i="8"/>
  <c r="E721" i="8"/>
  <c r="E729" i="8"/>
  <c r="E730" i="8"/>
  <c r="E731" i="8"/>
  <c r="E739" i="8"/>
  <c r="E740" i="8"/>
  <c r="E741" i="8"/>
  <c r="E750" i="8"/>
  <c r="E751" i="8"/>
  <c r="E772" i="8"/>
  <c r="E781" i="8"/>
  <c r="E789" i="8"/>
  <c r="E791" i="8"/>
  <c r="E792" i="8"/>
  <c r="E786" i="8"/>
  <c r="E785" i="8"/>
  <c r="E784" i="8"/>
  <c r="E776" i="8"/>
  <c r="E775" i="8"/>
  <c r="E774" i="8"/>
  <c r="E766" i="8"/>
  <c r="E765" i="8"/>
  <c r="E764" i="8"/>
  <c r="E758" i="8"/>
  <c r="E756" i="8"/>
  <c r="E755" i="8"/>
  <c r="E754" i="8"/>
  <c r="E746" i="8"/>
  <c r="E745" i="8"/>
  <c r="E744" i="8"/>
  <c r="E736" i="8"/>
  <c r="E735" i="8"/>
  <c r="E734" i="8"/>
  <c r="E726" i="8"/>
  <c r="E725" i="8"/>
  <c r="E724" i="8"/>
  <c r="E718" i="8"/>
  <c r="E716" i="8"/>
  <c r="E715" i="8"/>
  <c r="E714" i="8"/>
  <c r="E708" i="8"/>
  <c r="E706" i="8"/>
  <c r="E705" i="8"/>
  <c r="E704" i="8"/>
  <c r="E701" i="8"/>
  <c r="E696" i="8"/>
  <c r="E695" i="8"/>
  <c r="E694" i="8"/>
  <c r="E691" i="8"/>
  <c r="E688" i="8"/>
  <c r="E686" i="8"/>
  <c r="E685" i="8"/>
  <c r="E684" i="8"/>
  <c r="E681" i="8"/>
  <c r="E679" i="8"/>
  <c r="E678" i="8"/>
  <c r="E676" i="8"/>
  <c r="E675" i="8"/>
  <c r="E674" i="8"/>
  <c r="E671" i="8"/>
  <c r="E669" i="8"/>
  <c r="E668" i="8"/>
  <c r="E666" i="8"/>
  <c r="E665" i="8"/>
  <c r="E664" i="8"/>
  <c r="E663" i="8"/>
  <c r="E661" i="8"/>
  <c r="E659" i="8"/>
  <c r="E658" i="8"/>
  <c r="E657" i="8"/>
  <c r="E656" i="8"/>
  <c r="E655" i="8"/>
  <c r="E654" i="8"/>
  <c r="E651" i="8"/>
  <c r="E649" i="8"/>
  <c r="E648" i="8"/>
  <c r="E646" i="8"/>
  <c r="E645" i="8"/>
  <c r="E644" i="8"/>
  <c r="E641" i="8"/>
  <c r="E639" i="8"/>
  <c r="E638" i="8"/>
  <c r="E636" i="8"/>
  <c r="E635" i="8"/>
  <c r="E634" i="8"/>
  <c r="E631" i="8"/>
  <c r="E629" i="8"/>
  <c r="E628" i="8"/>
  <c r="E626" i="8"/>
  <c r="E625" i="8"/>
  <c r="E624" i="8"/>
  <c r="E621" i="8"/>
  <c r="E619" i="8"/>
  <c r="E618" i="8"/>
  <c r="E616" i="8"/>
  <c r="E615" i="8"/>
  <c r="E614" i="8"/>
  <c r="E611" i="8"/>
  <c r="E609" i="8"/>
  <c r="E608" i="8"/>
  <c r="E606" i="8"/>
  <c r="E605" i="8"/>
  <c r="E604" i="8"/>
  <c r="E601" i="8"/>
  <c r="E599" i="8"/>
  <c r="E598" i="8"/>
  <c r="E596" i="8"/>
  <c r="E595" i="8"/>
  <c r="E594" i="8"/>
  <c r="E591" i="8"/>
  <c r="E589" i="8"/>
  <c r="E588" i="8"/>
  <c r="E587" i="8"/>
  <c r="E586" i="8"/>
  <c r="E585" i="8"/>
  <c r="E584" i="8"/>
  <c r="E581" i="8"/>
  <c r="E579" i="8"/>
  <c r="E578" i="8"/>
  <c r="E576" i="8"/>
  <c r="E575" i="8"/>
  <c r="E574" i="8"/>
  <c r="E571" i="8"/>
  <c r="E569" i="8"/>
  <c r="E568" i="8"/>
  <c r="E566" i="8"/>
  <c r="E565" i="8"/>
  <c r="E564" i="8"/>
  <c r="E561" i="8"/>
  <c r="E559" i="8"/>
  <c r="E558" i="8"/>
  <c r="E556" i="8"/>
  <c r="E555" i="8"/>
  <c r="E554" i="8"/>
  <c r="E551" i="8"/>
  <c r="E549" i="8"/>
  <c r="E548" i="8"/>
  <c r="E546" i="8"/>
  <c r="E545" i="8"/>
  <c r="E544" i="8"/>
  <c r="E541" i="8"/>
  <c r="E540" i="8"/>
  <c r="E539" i="8"/>
  <c r="E538" i="8"/>
  <c r="E536" i="8"/>
  <c r="E535" i="8"/>
  <c r="E534" i="8"/>
  <c r="E531" i="8"/>
  <c r="E530" i="8"/>
  <c r="E529" i="8"/>
  <c r="E528" i="8"/>
  <c r="E526" i="8"/>
  <c r="E525" i="8"/>
  <c r="E524" i="8"/>
  <c r="E521" i="8"/>
  <c r="E520" i="8"/>
  <c r="E519" i="8"/>
  <c r="E518" i="8"/>
  <c r="E516" i="8"/>
  <c r="E515" i="8"/>
  <c r="E514" i="8"/>
  <c r="E511" i="8"/>
  <c r="E510" i="8"/>
  <c r="E509" i="8"/>
  <c r="E508" i="8"/>
  <c r="E506" i="8"/>
  <c r="E505" i="8"/>
  <c r="E504" i="8"/>
  <c r="E501" i="8"/>
  <c r="E500" i="8"/>
  <c r="E499" i="8"/>
  <c r="E498" i="8"/>
  <c r="E496" i="8"/>
  <c r="E495" i="8"/>
  <c r="E494" i="8"/>
  <c r="E491" i="8"/>
  <c r="E490" i="8"/>
  <c r="E489" i="8"/>
  <c r="E488" i="8"/>
  <c r="E486" i="8"/>
  <c r="E485" i="8"/>
  <c r="E484" i="8"/>
  <c r="E483" i="8"/>
  <c r="E481" i="8"/>
  <c r="E480" i="8"/>
  <c r="E479" i="8"/>
  <c r="E478" i="8"/>
  <c r="E476" i="8"/>
  <c r="E475" i="8"/>
  <c r="E474" i="8"/>
  <c r="E471" i="8"/>
  <c r="E470" i="8"/>
  <c r="E469" i="8"/>
  <c r="E468" i="8"/>
  <c r="E466" i="8"/>
  <c r="E465" i="8"/>
  <c r="E464" i="8"/>
  <c r="E461" i="8"/>
  <c r="E460" i="8"/>
  <c r="E459" i="8"/>
  <c r="E458" i="8"/>
  <c r="E456" i="8"/>
  <c r="E455" i="8"/>
  <c r="E454" i="8"/>
  <c r="E451" i="8"/>
  <c r="E450" i="8"/>
  <c r="E449" i="8"/>
  <c r="E448" i="8"/>
  <c r="E447" i="8"/>
  <c r="E446" i="8"/>
  <c r="E445" i="8"/>
  <c r="E444" i="8"/>
  <c r="E441" i="8"/>
  <c r="E440" i="8"/>
  <c r="E439" i="8"/>
  <c r="E438" i="8"/>
  <c r="E436" i="8"/>
  <c r="E435" i="8"/>
  <c r="E434" i="8"/>
  <c r="E431" i="8"/>
  <c r="E430" i="8"/>
  <c r="E429" i="8"/>
  <c r="E428" i="8"/>
  <c r="E426" i="8"/>
  <c r="E425" i="8"/>
  <c r="E424" i="8"/>
  <c r="E421" i="8"/>
  <c r="E420" i="8"/>
  <c r="E419" i="8"/>
  <c r="E418" i="8"/>
  <c r="E416" i="8"/>
  <c r="E415" i="8"/>
  <c r="E414" i="8"/>
  <c r="E411" i="8"/>
  <c r="E410" i="8"/>
  <c r="E409" i="8"/>
  <c r="E408" i="8"/>
  <c r="E406" i="8"/>
  <c r="E405" i="8"/>
  <c r="E404" i="8"/>
  <c r="E401" i="8"/>
  <c r="E400" i="8"/>
  <c r="E399" i="8"/>
  <c r="E398" i="8"/>
  <c r="E397" i="8"/>
  <c r="E396" i="8"/>
  <c r="E395" i="8"/>
  <c r="E394" i="8"/>
  <c r="E391" i="8"/>
  <c r="E390" i="8"/>
  <c r="E389" i="8"/>
  <c r="E388" i="8"/>
  <c r="E386" i="8"/>
  <c r="E385" i="8"/>
  <c r="E384" i="8"/>
  <c r="E383" i="8"/>
  <c r="E381" i="8"/>
  <c r="E380" i="8"/>
  <c r="E379" i="8"/>
  <c r="E378" i="8"/>
  <c r="E376" i="8"/>
  <c r="E375" i="8"/>
  <c r="E374" i="8"/>
  <c r="E371" i="8"/>
  <c r="E370" i="8"/>
  <c r="E369" i="8"/>
  <c r="E368" i="8"/>
  <c r="E366" i="8"/>
  <c r="E365" i="8"/>
  <c r="E364" i="8"/>
  <c r="E361" i="8"/>
  <c r="E360" i="8"/>
  <c r="E359" i="8"/>
  <c r="E358" i="8"/>
  <c r="E356" i="8"/>
  <c r="E355" i="8"/>
  <c r="E354" i="8"/>
  <c r="E351" i="8"/>
  <c r="E350" i="8"/>
  <c r="E349" i="8"/>
  <c r="E348" i="8"/>
  <c r="E346" i="8"/>
  <c r="E345" i="8"/>
  <c r="E344" i="8"/>
  <c r="E341" i="8"/>
  <c r="E340" i="8"/>
  <c r="E339" i="8"/>
  <c r="E338" i="8"/>
  <c r="E336" i="8"/>
  <c r="E335" i="8"/>
  <c r="E334" i="8"/>
  <c r="E331" i="8"/>
  <c r="E330" i="8"/>
  <c r="E329" i="8"/>
  <c r="E328" i="8"/>
  <c r="E326" i="8"/>
  <c r="E325" i="8"/>
  <c r="E324" i="8"/>
  <c r="E321" i="8"/>
  <c r="E320" i="8"/>
  <c r="E319" i="8"/>
  <c r="E318" i="8"/>
  <c r="E316" i="8"/>
  <c r="E315" i="8"/>
  <c r="E314" i="8"/>
  <c r="E311" i="8"/>
  <c r="E310" i="8"/>
  <c r="E309" i="8"/>
  <c r="E308" i="8"/>
  <c r="E306" i="8"/>
  <c r="E305" i="8"/>
  <c r="E304" i="8"/>
  <c r="E301" i="8"/>
  <c r="E300" i="8"/>
  <c r="E299" i="8"/>
  <c r="E298" i="8"/>
  <c r="E296" i="8"/>
  <c r="E295" i="8"/>
  <c r="E294" i="8"/>
  <c r="E291" i="8"/>
  <c r="E290" i="8"/>
  <c r="E289" i="8"/>
  <c r="E288" i="8"/>
  <c r="E286" i="8"/>
  <c r="E285" i="8"/>
  <c r="E284" i="8"/>
  <c r="E283" i="8"/>
  <c r="E281" i="8"/>
  <c r="E280" i="8"/>
  <c r="E279" i="8"/>
  <c r="E278" i="8"/>
  <c r="E276" i="8"/>
  <c r="E275" i="8"/>
  <c r="E274" i="8"/>
  <c r="E271" i="8"/>
  <c r="E270" i="8"/>
  <c r="E269" i="8"/>
  <c r="E268" i="8"/>
  <c r="E267" i="8"/>
  <c r="E266" i="8"/>
  <c r="E265" i="8"/>
  <c r="E264" i="8"/>
  <c r="E261" i="8"/>
  <c r="E260" i="8"/>
  <c r="E259" i="8"/>
  <c r="E258" i="8"/>
  <c r="E256" i="8"/>
  <c r="E255" i="8"/>
  <c r="E254" i="8"/>
  <c r="E251" i="8"/>
  <c r="E250" i="8"/>
  <c r="E249" i="8"/>
  <c r="E248" i="8"/>
  <c r="E246" i="8"/>
  <c r="E245" i="8"/>
  <c r="E244" i="8"/>
  <c r="E241" i="8"/>
  <c r="E240" i="8"/>
  <c r="E239" i="8"/>
  <c r="E238" i="8"/>
  <c r="E237" i="8"/>
  <c r="E236" i="8"/>
  <c r="E235" i="8"/>
  <c r="E234" i="8"/>
  <c r="E231" i="8"/>
  <c r="E230" i="8"/>
  <c r="E229" i="8"/>
  <c r="E228" i="8"/>
  <c r="E226" i="8"/>
  <c r="E225" i="8"/>
  <c r="E224" i="8"/>
  <c r="E221" i="8"/>
  <c r="E220" i="8"/>
  <c r="E219" i="8"/>
  <c r="E218" i="8"/>
  <c r="E217" i="8"/>
  <c r="E216" i="8"/>
  <c r="E215" i="8"/>
  <c r="E214" i="8"/>
  <c r="E211" i="8"/>
  <c r="E210" i="8"/>
  <c r="E209" i="8"/>
  <c r="E208" i="8"/>
  <c r="E206" i="8"/>
  <c r="E205" i="8"/>
  <c r="E204" i="8"/>
  <c r="E201" i="8"/>
  <c r="E200" i="8"/>
  <c r="E199" i="8"/>
  <c r="E198" i="8"/>
  <c r="E196" i="8"/>
  <c r="E195" i="8"/>
  <c r="E194" i="8"/>
  <c r="E191" i="8"/>
  <c r="E190" i="8"/>
  <c r="E189" i="8"/>
  <c r="E188" i="8"/>
  <c r="E187" i="8"/>
  <c r="E186" i="8"/>
  <c r="E185" i="8"/>
  <c r="E184" i="8"/>
  <c r="E183" i="8"/>
  <c r="E182" i="8"/>
  <c r="E181" i="8"/>
  <c r="E180" i="8"/>
  <c r="E179" i="8"/>
  <c r="E178" i="8"/>
  <c r="E177" i="8"/>
  <c r="E176" i="8"/>
  <c r="E175" i="8"/>
  <c r="E174" i="8"/>
  <c r="E173" i="8"/>
  <c r="E172" i="8"/>
  <c r="E171" i="8"/>
  <c r="E170" i="8"/>
  <c r="E169" i="8"/>
  <c r="E168" i="8"/>
  <c r="E167" i="8"/>
  <c r="E166" i="8"/>
  <c r="E165" i="8"/>
  <c r="E164" i="8"/>
  <c r="E163" i="8"/>
  <c r="E162" i="8"/>
  <c r="E161" i="8"/>
  <c r="E160" i="8"/>
  <c r="E159" i="8"/>
  <c r="E158" i="8"/>
  <c r="E157" i="8"/>
  <c r="E156" i="8"/>
  <c r="E155" i="8"/>
  <c r="E154" i="8"/>
  <c r="E153" i="8"/>
  <c r="E152" i="8"/>
  <c r="E151" i="8"/>
  <c r="E150" i="8"/>
  <c r="E149" i="8"/>
  <c r="E148" i="8"/>
  <c r="E147" i="8"/>
  <c r="E146" i="8"/>
  <c r="E145" i="8"/>
  <c r="E144" i="8"/>
  <c r="E143" i="8"/>
  <c r="E142" i="8"/>
  <c r="E141" i="8"/>
  <c r="E140" i="8"/>
  <c r="E139" i="8"/>
  <c r="E138" i="8"/>
  <c r="E137" i="8"/>
  <c r="E136" i="8"/>
  <c r="E135" i="8"/>
  <c r="E134" i="8"/>
  <c r="E133" i="8"/>
  <c r="E132" i="8"/>
  <c r="E131" i="8"/>
  <c r="E130" i="8"/>
  <c r="E129" i="8"/>
  <c r="E128" i="8"/>
  <c r="E127" i="8"/>
  <c r="E126" i="8"/>
  <c r="E125" i="8"/>
  <c r="E124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111" i="8"/>
  <c r="E110" i="8"/>
  <c r="E109" i="8"/>
  <c r="E108" i="8"/>
  <c r="E107" i="8"/>
  <c r="E106" i="8"/>
  <c r="E105" i="8"/>
  <c r="E104" i="8"/>
  <c r="E103" i="8"/>
  <c r="E102" i="8"/>
  <c r="E101" i="8"/>
  <c r="E100" i="8"/>
  <c r="E99" i="8"/>
  <c r="E98" i="8"/>
  <c r="E97" i="8"/>
  <c r="E96" i="8"/>
  <c r="E95" i="8"/>
  <c r="E94" i="8"/>
  <c r="E93" i="8"/>
  <c r="E92" i="8"/>
  <c r="E91" i="8"/>
  <c r="E90" i="8"/>
  <c r="E89" i="8"/>
  <c r="E88" i="8"/>
  <c r="E87" i="8"/>
  <c r="E86" i="8"/>
  <c r="E85" i="8"/>
  <c r="E84" i="8"/>
  <c r="E83" i="8"/>
  <c r="E82" i="8"/>
  <c r="E81" i="8"/>
  <c r="E80" i="8"/>
  <c r="E79" i="8"/>
  <c r="E78" i="8"/>
  <c r="E77" i="8"/>
  <c r="E76" i="8"/>
  <c r="E75" i="8"/>
  <c r="E74" i="8"/>
  <c r="E73" i="8"/>
  <c r="E72" i="8"/>
  <c r="E71" i="8"/>
  <c r="E70" i="8"/>
  <c r="E69" i="8"/>
  <c r="E68" i="8"/>
  <c r="E67" i="8"/>
  <c r="E66" i="8"/>
  <c r="E65" i="8"/>
  <c r="E64" i="8"/>
  <c r="E63" i="8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6" i="8"/>
  <c r="E25" i="8"/>
  <c r="E24" i="8"/>
  <c r="C90" i="7"/>
  <c r="E747" i="8" l="1"/>
  <c r="B18" i="8"/>
  <c r="D18" i="8" s="1"/>
  <c r="B48" i="7"/>
  <c r="B26" i="7"/>
  <c r="C26" i="7"/>
  <c r="D26" i="7"/>
  <c r="E26" i="7"/>
  <c r="F26" i="7"/>
  <c r="G26" i="7"/>
  <c r="H26" i="7"/>
  <c r="B30" i="7"/>
  <c r="C30" i="7"/>
  <c r="D30" i="7"/>
  <c r="E30" i="7"/>
  <c r="F30" i="7"/>
  <c r="G30" i="7"/>
  <c r="H30" i="7"/>
  <c r="B37" i="7"/>
  <c r="C37" i="7"/>
  <c r="D37" i="7"/>
  <c r="E37" i="7"/>
  <c r="F37" i="7"/>
  <c r="G37" i="7"/>
  <c r="B38" i="7"/>
  <c r="C38" i="7"/>
  <c r="D38" i="7"/>
  <c r="E38" i="7"/>
  <c r="F38" i="7"/>
  <c r="G38" i="7"/>
  <c r="B39" i="7"/>
  <c r="C39" i="7"/>
  <c r="D39" i="7"/>
  <c r="E39" i="7"/>
  <c r="F39" i="7"/>
  <c r="G39" i="7"/>
  <c r="B40" i="7"/>
  <c r="C40" i="7"/>
  <c r="D40" i="7"/>
  <c r="E40" i="7"/>
  <c r="F40" i="7"/>
  <c r="G40" i="7"/>
  <c r="B41" i="7"/>
  <c r="C41" i="7"/>
  <c r="D41" i="7"/>
  <c r="E41" i="7"/>
  <c r="F41" i="7"/>
  <c r="G41" i="7"/>
  <c r="B42" i="7"/>
  <c r="C42" i="7"/>
  <c r="D42" i="7"/>
  <c r="E42" i="7"/>
  <c r="F42" i="7"/>
  <c r="G42" i="7"/>
  <c r="B43" i="7"/>
  <c r="C43" i="7"/>
  <c r="D43" i="7"/>
  <c r="E43" i="7"/>
  <c r="F43" i="7"/>
  <c r="G43" i="7"/>
  <c r="B44" i="7"/>
  <c r="C44" i="7"/>
  <c r="D44" i="7"/>
  <c r="E44" i="7"/>
  <c r="F44" i="7"/>
  <c r="G44" i="7"/>
  <c r="B45" i="7"/>
  <c r="C45" i="7"/>
  <c r="D45" i="7"/>
  <c r="E45" i="7"/>
  <c r="F45" i="7"/>
  <c r="G45" i="7"/>
  <c r="B67" i="7"/>
  <c r="B74" i="7" s="1"/>
  <c r="C67" i="7"/>
  <c r="D67" i="7"/>
  <c r="E67" i="7"/>
  <c r="F67" i="7"/>
  <c r="G67" i="7"/>
  <c r="B68" i="7"/>
  <c r="C68" i="7"/>
  <c r="D68" i="7"/>
  <c r="E68" i="7"/>
  <c r="F68" i="7"/>
  <c r="G68" i="7"/>
  <c r="B69" i="7"/>
  <c r="C69" i="7"/>
  <c r="D69" i="7"/>
  <c r="E69" i="7"/>
  <c r="F69" i="7"/>
  <c r="G69" i="7"/>
  <c r="B70" i="7"/>
  <c r="C70" i="7"/>
  <c r="D70" i="7"/>
  <c r="E70" i="7"/>
  <c r="F70" i="7"/>
  <c r="G70" i="7"/>
  <c r="B71" i="7"/>
  <c r="C71" i="7"/>
  <c r="D71" i="7"/>
  <c r="E71" i="7"/>
  <c r="F71" i="7"/>
  <c r="G71" i="7"/>
  <c r="B90" i="7"/>
  <c r="B94" i="7"/>
  <c r="D90" i="7"/>
  <c r="E90" i="7"/>
  <c r="F90" i="7"/>
  <c r="G90" i="7"/>
  <c r="B91" i="7"/>
  <c r="C91" i="7"/>
  <c r="D91" i="7"/>
  <c r="E91" i="7"/>
  <c r="F91" i="7"/>
  <c r="G91" i="7"/>
  <c r="E23" i="8"/>
  <c r="B20" i="8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DCF0A74-AF23-E041-A047-223091D7217B}" name="data" type="6" refreshedVersion="8" background="1" saveData="1">
    <textPr codePage="10007" sourceFile="/Users/olesteep/Downloads/data.csv" tab="0" comma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<sst xmlns="http://schemas.openxmlformats.org/spreadsheetml/2006/main" count="2965" uniqueCount="124">
  <si>
    <t>Sex</t>
  </si>
  <si>
    <t>School Code</t>
  </si>
  <si>
    <t>Playing Years</t>
  </si>
  <si>
    <t>Playing Often</t>
  </si>
  <si>
    <t>Playing Hours</t>
  </si>
  <si>
    <t>Playing Games</t>
  </si>
  <si>
    <t>Parent Revenue</t>
  </si>
  <si>
    <t>Father Education</t>
  </si>
  <si>
    <t>Mother Education</t>
  </si>
  <si>
    <t>Grade</t>
  </si>
  <si>
    <t>Категориальные</t>
  </si>
  <si>
    <t>Количественные</t>
  </si>
  <si>
    <t>Номинальная</t>
  </si>
  <si>
    <t>Порядковая</t>
  </si>
  <si>
    <t>Относительная</t>
  </si>
  <si>
    <t>Фильтр</t>
  </si>
  <si>
    <t>Тип</t>
  </si>
  <si>
    <t>Шкала</t>
  </si>
  <si>
    <t>Да</t>
  </si>
  <si>
    <t>Названия строк</t>
  </si>
  <si>
    <t>Общий итог</t>
  </si>
  <si>
    <t>Количество по полю Sex</t>
  </si>
  <si>
    <t>(пусто)</t>
  </si>
  <si>
    <t>Количество по полю Grade</t>
  </si>
  <si>
    <t>&lt;6 или (пусто)</t>
  </si>
  <si>
    <t>6-16</t>
  </si>
  <si>
    <t>26-36</t>
  </si>
  <si>
    <t>36-46</t>
  </si>
  <si>
    <t>46-56</t>
  </si>
  <si>
    <t>56-66</t>
  </si>
  <si>
    <t>66-76</t>
  </si>
  <si>
    <t>76-86</t>
  </si>
  <si>
    <t>86-96</t>
  </si>
  <si>
    <t>96-106</t>
  </si>
  <si>
    <t>Количество по полю Playing Hours</t>
  </si>
  <si>
    <t>Количество по полю Parent Revenue</t>
  </si>
  <si>
    <t>Количество по полю School Code</t>
  </si>
  <si>
    <t>Количество по полю Playing Years</t>
  </si>
  <si>
    <t>Количество по полю Mother Education</t>
  </si>
  <si>
    <t>Количество по полю Father Education</t>
  </si>
  <si>
    <t>Нет</t>
  </si>
  <si>
    <t>Двухвыборочный t-тест с одинаковыми дисперсиями</t>
  </si>
  <si>
    <t>Переменная 1</t>
  </si>
  <si>
    <t>Переменная 2</t>
  </si>
  <si>
    <t>Среднее</t>
  </si>
  <si>
    <t>Дисперсия</t>
  </si>
  <si>
    <t>Наблюдения</t>
  </si>
  <si>
    <t>Объединенная дисперсия</t>
  </si>
  <si>
    <t>Гипотетическая разность средних</t>
  </si>
  <si>
    <t>df</t>
  </si>
  <si>
    <t>t-статистика</t>
  </si>
  <si>
    <t>P(T&lt;=t) одностороннее</t>
  </si>
  <si>
    <t>t критическое одностороннее</t>
  </si>
  <si>
    <t>P(T&lt;=t) двухстороннее</t>
  </si>
  <si>
    <t>t критическое двухстороннее</t>
  </si>
  <si>
    <t>Гипотеза 2</t>
  </si>
  <si>
    <t>Гипотеза 3</t>
  </si>
  <si>
    <t>Гипотеза 1</t>
  </si>
  <si>
    <t>Выбраны группы:</t>
  </si>
  <si>
    <t>малый стаж - 0, 1</t>
  </si>
  <si>
    <t>большой стаж - 2, 3, 4</t>
  </si>
  <si>
    <t>бедные - 0, 1</t>
  </si>
  <si>
    <t>обеспеченные - 3, 4</t>
  </si>
  <si>
    <t>Гипотеза 4</t>
  </si>
  <si>
    <t>Часто играющие (3, 4, 5)</t>
  </si>
  <si>
    <t>Редко играющие (0, 1, 2)</t>
  </si>
  <si>
    <t>Количество</t>
  </si>
  <si>
    <t>Школа 11</t>
  </si>
  <si>
    <t>Школа 10</t>
  </si>
  <si>
    <t>Школа 9</t>
  </si>
  <si>
    <t>z критическое двухстороннее</t>
  </si>
  <si>
    <t>P(Z&lt;=z) двухстороннее</t>
  </si>
  <si>
    <t>z критическое одностороннее</t>
  </si>
  <si>
    <t>P(Z&lt;=z) одностороннее</t>
  </si>
  <si>
    <t>z</t>
  </si>
  <si>
    <t>Известная дисперсия</t>
  </si>
  <si>
    <t>Двухвыборочный z-тест для средних</t>
  </si>
  <si>
    <t>Школа 8</t>
  </si>
  <si>
    <t>Школа 7</t>
  </si>
  <si>
    <t>Школа 6</t>
  </si>
  <si>
    <t>Школа 5</t>
  </si>
  <si>
    <t>Школа 4</t>
  </si>
  <si>
    <t>Школа 3</t>
  </si>
  <si>
    <t>Школа 2</t>
  </si>
  <si>
    <t>Школа 1</t>
  </si>
  <si>
    <t>Малообразованные матери (0, 1, 2)</t>
  </si>
  <si>
    <t>Малообразованные отцы (0, 1, 2)</t>
  </si>
  <si>
    <t>Пол 1</t>
  </si>
  <si>
    <t>Пол 0</t>
  </si>
  <si>
    <t>Редко играющие - 0, 1, 2</t>
  </si>
  <si>
    <t>Богатые - 3, 4</t>
  </si>
  <si>
    <t>Бедные - 0, 1</t>
  </si>
  <si>
    <t>Часто играющие - 3, 4, 5</t>
  </si>
  <si>
    <t>ХИ2ТЕСТ()</t>
  </si>
  <si>
    <t>Названия столбцов</t>
  </si>
  <si>
    <t>Количество по полю Playing Often</t>
  </si>
  <si>
    <t>Таблица ожидаемых значений</t>
  </si>
  <si>
    <t>10-11</t>
  </si>
  <si>
    <t>5-6</t>
  </si>
  <si>
    <t>Часы игры/Оценка</t>
  </si>
  <si>
    <t>Коэффициент Пирсона</t>
  </si>
  <si>
    <t>Ранг</t>
  </si>
  <si>
    <t>Коэффициент Спирмена</t>
  </si>
  <si>
    <t>di2</t>
  </si>
  <si>
    <t>t-критерий</t>
  </si>
  <si>
    <t>t-критическое</t>
  </si>
  <si>
    <t>Бедные</t>
  </si>
  <si>
    <t>Богатые</t>
  </si>
  <si>
    <t>Пол/Игровой стаж</t>
  </si>
  <si>
    <t>Стаж/Время</t>
  </si>
  <si>
    <t>Группа1</t>
  </si>
  <si>
    <t>Группа2</t>
  </si>
  <si>
    <t>Доход/Успеваемость</t>
  </si>
  <si>
    <t>Кач. Оценка</t>
  </si>
  <si>
    <t>Код/Частота</t>
  </si>
  <si>
    <t>Част. Игры</t>
  </si>
  <si>
    <t>0</t>
  </si>
  <si>
    <t>1</t>
  </si>
  <si>
    <t>Стаж</t>
  </si>
  <si>
    <t>Малый</t>
  </si>
  <si>
    <t>Большой</t>
  </si>
  <si>
    <t>Доход/Часто игра</t>
  </si>
  <si>
    <t>Мало</t>
  </si>
  <si>
    <t>Часто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</si>
</sst>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0"/>
  </numFmts>
  <fonts count="2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46">
    <xf numFmtId="0" fontId="0" fillId="0" borderId="0" xfId="0"/>
    <xf numFmtId="0" fontId="0" fillId="33" borderId="0" xfId="0" applyFill="1"/>
    <xf numFmtId="0" fontId="0" fillId="0" borderId="10" xfId="0" applyBorder="1"/>
    <xf numFmtId="0" fontId="18" fillId="0" borderId="10" xfId="0" applyFont="1" applyBorder="1"/>
    <xf numFmtId="0" fontId="0" fillId="33" borderId="10" xfId="0" applyFill="1" applyBorder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2" fontId="0" fillId="0" borderId="0" xfId="42" applyNumberFormat="1" applyFont="1" applyAlignment="1">
      <alignment horizontal="right"/>
    </xf>
    <xf numFmtId="2" fontId="0" fillId="0" borderId="0" xfId="0" applyNumberFormat="1"/>
    <xf numFmtId="10" fontId="0" fillId="0" borderId="0" xfId="0" applyNumberFormat="1"/>
    <xf numFmtId="0" fontId="16" fillId="0" borderId="0" xfId="0" applyFont="1"/>
    <xf numFmtId="164" fontId="0" fillId="0" borderId="0" xfId="0" applyNumberFormat="1"/>
    <xf numFmtId="0" fontId="0" fillId="0" borderId="11" xfId="0" applyBorder="1"/>
    <xf numFmtId="0" fontId="20" fillId="0" borderId="12" xfId="0" applyFont="1" applyBorder="1" applyAlignment="1">
      <alignment horizontal="center"/>
    </xf>
    <xf numFmtId="0" fontId="18" fillId="0" borderId="0" xfId="0" applyFont="1"/>
    <xf numFmtId="0" fontId="19" fillId="0" borderId="0" xfId="0" applyFont="1"/>
    <xf numFmtId="2" fontId="0" fillId="0" borderId="0" xfId="42" applyNumberFormat="1" applyFont="1" applyFill="1" applyAlignment="1">
      <alignment horizontal="right"/>
    </xf>
    <xf numFmtId="0" fontId="20" fillId="0" borderId="0" xfId="0" applyFont="1" applyAlignment="1">
      <alignment horizontal="center"/>
    </xf>
    <xf numFmtId="0" fontId="0" fillId="34" borderId="0" xfId="0" applyFill="1"/>
    <xf numFmtId="2" fontId="0" fillId="0" borderId="0" xfId="42" applyNumberFormat="1" applyFont="1" applyFill="1" applyBorder="1" applyAlignment="1">
      <alignment horizontal="right"/>
    </xf>
    <xf numFmtId="0" fontId="0" fillId="0" borderId="13" xfId="0" applyBorder="1"/>
    <xf numFmtId="0" fontId="0" fillId="0" borderId="14" xfId="0" applyBorder="1"/>
    <xf numFmtId="0" fontId="0" fillId="35" borderId="14" xfId="0" applyFill="1" applyBorder="1"/>
    <xf numFmtId="0" fontId="0" fillId="0" borderId="15" xfId="0" applyBorder="1"/>
    <xf numFmtId="0" fontId="0" fillId="0" borderId="16" xfId="0" applyBorder="1"/>
    <xf numFmtId="0" fontId="0" fillId="35" borderId="16" xfId="0" applyFill="1" applyBorder="1"/>
    <xf numFmtId="0" fontId="0" fillId="0" borderId="17" xfId="0" applyBorder="1"/>
    <xf numFmtId="0" fontId="0" fillId="0" borderId="18" xfId="0" applyBorder="1"/>
    <xf numFmtId="0" fontId="0" fillId="35" borderId="15" xfId="0" applyFill="1" applyBorder="1"/>
    <xf numFmtId="0" fontId="0" fillId="36" borderId="0" xfId="0" applyFill="1"/>
    <xf numFmtId="0" fontId="0" fillId="35" borderId="19" xfId="0" applyFill="1" applyBorder="1"/>
    <xf numFmtId="0" fontId="0" fillId="35" borderId="10" xfId="0" applyFill="1" applyBorder="1"/>
    <xf numFmtId="0" fontId="0" fillId="35" borderId="20" xfId="0" applyFill="1" applyBorder="1"/>
    <xf numFmtId="0" fontId="0" fillId="0" borderId="19" xfId="0" applyBorder="1"/>
    <xf numFmtId="0" fontId="0" fillId="35" borderId="21" xfId="0" applyFill="1" applyBorder="1"/>
    <xf numFmtId="0" fontId="0" fillId="0" borderId="22" xfId="0" applyBorder="1"/>
    <xf numFmtId="0" fontId="21" fillId="37" borderId="0" xfId="0" applyFont="1" applyFill="1"/>
    <xf numFmtId="0" fontId="16" fillId="37" borderId="0" xfId="0" applyFont="1" applyFill="1"/>
    <xf numFmtId="0" fontId="0" fillId="37" borderId="0" xfId="0" applyFill="1"/>
    <xf numFmtId="49" fontId="0" fillId="0" borderId="0" xfId="0" applyNumberFormat="1" applyAlignment="1">
      <alignment horizontal="right"/>
    </xf>
    <xf numFmtId="0" fontId="16" fillId="38" borderId="0" xfId="0" applyFont="1" applyFill="1"/>
    <xf numFmtId="0" fontId="0" fillId="39" borderId="0" xfId="0" applyFill="1"/>
    <xf numFmtId="0" fontId="18" fillId="39" borderId="0" xfId="0" applyFont="1" applyFill="1"/>
    <xf numFmtId="0" fontId="0" fillId="40" borderId="0" xfId="0" applyFill="1"/>
    <xf numFmtId="0" fontId="0" fillId="0" borderId="0" xfId="0" applyAlignment="1">
      <alignment horizontal="left" indent="1"/>
    </xf>
  </cellXfs>
  <cellStyles count="43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Финансовый" xfId="42" builtinId="3"/>
    <cellStyle name="Хороший" xfId="6" builtinId="26" customBuiltin="1"/>
  </cellStyles>
  <dxfs count="10">
    <dxf>
      <numFmt numFmtId="14" formatCode="0.00%"/>
    </dxf>
    <dxf>
      <numFmt numFmtId="164" formatCode="0.000"/>
    </dxf>
    <dxf>
      <numFmt numFmtId="14" formatCode="0.00%"/>
    </dxf>
    <dxf>
      <numFmt numFmtId="164" formatCode="0.000"/>
    </dxf>
    <dxf>
      <numFmt numFmtId="1" formatCode="0"/>
    </dxf>
    <dxf>
      <numFmt numFmtId="164" formatCode="0.000"/>
    </dxf>
    <dxf>
      <numFmt numFmtId="14" formatCode="0.00%"/>
    </dxf>
    <dxf>
      <numFmt numFmtId="164" formatCode="0.000"/>
    </dxf>
    <dxf>
      <numFmt numFmtId="14" formatCode="0.00%"/>
    </dxf>
    <dxf>
      <numFmt numFmtId="164" formatCode="0.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5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Распределение пола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v>Итог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E11-5B44-A2AD-AE543C326F8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E11-5B44-A2AD-AE543C326F87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7E11-5B44-A2AD-AE543C326F87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7E11-5B44-A2AD-AE543C326F8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2"/>
              <c:pt idx="0">
                <c:v>0</c:v>
              </c:pt>
              <c:pt idx="1">
                <c:v>1</c:v>
              </c:pt>
            </c:strLit>
          </c:cat>
          <c:val>
            <c:numLit>
              <c:formatCode>General</c:formatCode>
              <c:ptCount val="2"/>
              <c:pt idx="0">
                <c:v>386</c:v>
              </c:pt>
              <c:pt idx="1">
                <c:v>384</c:v>
              </c:pt>
            </c:numLit>
          </c:val>
          <c:extLst>
            <c:ext xmlns:c16="http://schemas.microsoft.com/office/drawing/2014/chart" uri="{C3380CC4-5D6E-409C-BE32-E72D297353CC}">
              <c16:uniqueId val="{00000004-7E11-5B44-A2AD-AE543C326F87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/>
              <a:t>Образование матери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</c:pivotFmt>
      <c:pivotFmt>
        <c:idx val="24"/>
      </c:pivotFmt>
      <c:pivotFmt>
        <c:idx val="25"/>
      </c:pivotFmt>
      <c:pivotFmt>
        <c:idx val="26"/>
      </c:pivotFmt>
      <c:pivotFmt>
        <c:idx val="27"/>
      </c:pivotFmt>
      <c:pivotFmt>
        <c:idx val="28"/>
      </c:pivotFmt>
      <c:pivotFmt>
        <c:idx val="29"/>
      </c:pivotFmt>
      <c:pivotFmt>
        <c:idx val="30"/>
      </c:pivotFmt>
      <c:pivotFmt>
        <c:idx val="31"/>
      </c:pivotFmt>
      <c:pivotFmt>
        <c:idx val="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</c:pivotFmt>
      <c:pivotFmt>
        <c:idx val="34"/>
      </c:pivotFmt>
      <c:pivotFmt>
        <c:idx val="35"/>
      </c:pivotFmt>
      <c:pivotFmt>
        <c:idx val="36"/>
      </c:pivotFmt>
      <c:pivotFmt>
        <c:idx val="37"/>
      </c:pivotFmt>
      <c:pivotFmt>
        <c:idx val="38"/>
      </c:pivotFmt>
      <c:pivotFmt>
        <c:idx val="39"/>
      </c:pivotFmt>
      <c:pivotFmt>
        <c:idx val="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</c:pivotFmt>
      <c:pivotFmt>
        <c:idx val="42"/>
      </c:pivotFmt>
      <c:pivotFmt>
        <c:idx val="43"/>
      </c:pivotFmt>
      <c:pivotFmt>
        <c:idx val="44"/>
      </c:pivotFmt>
      <c:pivotFmt>
        <c:idx val="45"/>
      </c:pivotFmt>
      <c:pivotFmt>
        <c:idx val="46"/>
      </c:pivotFmt>
      <c:pivotFmt>
        <c:idx val="47"/>
      </c:pivotFmt>
      <c:pivotFmt>
        <c:idx val="4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</c:pivotFmt>
      <c:pivotFmt>
        <c:idx val="50"/>
      </c:pivotFmt>
      <c:pivotFmt>
        <c:idx val="51"/>
      </c:pivotFmt>
      <c:pivotFmt>
        <c:idx val="52"/>
      </c:pivotFmt>
      <c:pivotFmt>
        <c:idx val="53"/>
      </c:pivotFmt>
      <c:pivotFmt>
        <c:idx val="54"/>
      </c:pivotFmt>
      <c:pivotFmt>
        <c:idx val="55"/>
      </c:pivotFmt>
      <c:pivotFmt>
        <c:idx val="5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</c:pivotFmt>
      <c:pivotFmt>
        <c:idx val="58"/>
      </c:pivotFmt>
      <c:pivotFmt>
        <c:idx val="59"/>
      </c:pivotFmt>
      <c:pivotFmt>
        <c:idx val="60"/>
      </c:pivotFmt>
      <c:pivotFmt>
        <c:idx val="61"/>
      </c:pivotFmt>
      <c:pivotFmt>
        <c:idx val="62"/>
      </c:pivotFmt>
      <c:pivotFmt>
        <c:idx val="63"/>
      </c:pivotFmt>
      <c:pivotFmt>
        <c:idx val="6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</c:pivotFmt>
      <c:pivotFmt>
        <c:idx val="66"/>
      </c:pivotFmt>
      <c:pivotFmt>
        <c:idx val="67"/>
      </c:pivotFmt>
      <c:pivotFmt>
        <c:idx val="68"/>
      </c:pivotFmt>
      <c:pivotFmt>
        <c:idx val="69"/>
      </c:pivotFmt>
      <c:pivotFmt>
        <c:idx val="70"/>
      </c:pivotFmt>
      <c:pivotFmt>
        <c:idx val="71"/>
      </c:pivotFmt>
      <c:pivotFmt>
        <c:idx val="7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</c:pivotFmt>
      <c:pivotFmt>
        <c:idx val="74"/>
      </c:pivotFmt>
      <c:pivotFmt>
        <c:idx val="75"/>
      </c:pivotFmt>
      <c:pivotFmt>
        <c:idx val="76"/>
      </c:pivotFmt>
      <c:pivotFmt>
        <c:idx val="77"/>
      </c:pivotFmt>
      <c:pivotFmt>
        <c:idx val="78"/>
      </c:pivotFmt>
      <c:pivotFmt>
        <c:idx val="79"/>
      </c:pivotFmt>
      <c:pivotFmt>
        <c:idx val="8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</c:pivotFmt>
      <c:pivotFmt>
        <c:idx val="82"/>
      </c:pivotFmt>
      <c:pivotFmt>
        <c:idx val="83"/>
      </c:pivotFmt>
      <c:pivotFmt>
        <c:idx val="84"/>
      </c:pivotFmt>
      <c:pivotFmt>
        <c:idx val="85"/>
      </c:pivotFmt>
      <c:pivotFmt>
        <c:idx val="86"/>
      </c:pivotFmt>
      <c:pivotFmt>
        <c:idx val="87"/>
      </c:pivotFmt>
      <c:pivotFmt>
        <c:idx val="8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</c:pivotFmt>
      <c:pivotFmt>
        <c:idx val="90"/>
      </c:pivotFmt>
      <c:pivotFmt>
        <c:idx val="91"/>
      </c:pivotFmt>
      <c:pivotFmt>
        <c:idx val="92"/>
      </c:pivotFmt>
      <c:pivotFmt>
        <c:idx val="93"/>
      </c:pivotFmt>
      <c:pivotFmt>
        <c:idx val="94"/>
      </c:pivotFmt>
      <c:pivotFmt>
        <c:idx val="95"/>
      </c:pivotFmt>
      <c:pivotFmt>
        <c:idx val="9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</c:pivotFmt>
      <c:pivotFmt>
        <c:idx val="98"/>
      </c:pivotFmt>
      <c:pivotFmt>
        <c:idx val="99"/>
      </c:pivotFmt>
      <c:pivotFmt>
        <c:idx val="100"/>
      </c:pivotFmt>
      <c:pivotFmt>
        <c:idx val="101"/>
      </c:pivotFmt>
      <c:pivotFmt>
        <c:idx val="102"/>
      </c:pivotFmt>
      <c:pivotFmt>
        <c:idx val="103"/>
      </c:pivotFmt>
      <c:pivotFmt>
        <c:idx val="10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</c:pivotFmt>
      <c:pivotFmt>
        <c:idx val="106"/>
      </c:pivotFmt>
      <c:pivotFmt>
        <c:idx val="107"/>
      </c:pivotFmt>
      <c:pivotFmt>
        <c:idx val="108"/>
      </c:pivotFmt>
      <c:pivotFmt>
        <c:idx val="109"/>
      </c:pivotFmt>
      <c:pivotFmt>
        <c:idx val="110"/>
      </c:pivotFmt>
      <c:pivotFmt>
        <c:idx val="111"/>
      </c:pivotFmt>
      <c:pivotFmt>
        <c:idx val="1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</c:pivotFmt>
      <c:pivotFmt>
        <c:idx val="114"/>
      </c:pivotFmt>
      <c:pivotFmt>
        <c:idx val="115"/>
      </c:pivotFmt>
      <c:pivotFmt>
        <c:idx val="116"/>
      </c:pivotFmt>
      <c:pivotFmt>
        <c:idx val="117"/>
      </c:pivotFmt>
      <c:pivotFmt>
        <c:idx val="118"/>
      </c:pivotFmt>
      <c:pivotFmt>
        <c:idx val="119"/>
      </c:pivotFmt>
      <c:pivotFmt>
        <c:idx val="1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</c:pivotFmt>
      <c:pivotFmt>
        <c:idx val="122"/>
      </c:pivotFmt>
      <c:pivotFmt>
        <c:idx val="123"/>
      </c:pivotFmt>
      <c:pivotFmt>
        <c:idx val="124"/>
      </c:pivotFmt>
      <c:pivotFmt>
        <c:idx val="125"/>
      </c:pivotFmt>
      <c:pivotFmt>
        <c:idx val="126"/>
      </c:pivotFmt>
      <c:pivotFmt>
        <c:idx val="127"/>
      </c:pivotFmt>
      <c:pivotFmt>
        <c:idx val="1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</c:pivotFmt>
      <c:pivotFmt>
        <c:idx val="130"/>
      </c:pivotFmt>
      <c:pivotFmt>
        <c:idx val="131"/>
      </c:pivotFmt>
      <c:pivotFmt>
        <c:idx val="132"/>
      </c:pivotFmt>
      <c:pivotFmt>
        <c:idx val="133"/>
      </c:pivotFmt>
      <c:pivotFmt>
        <c:idx val="134"/>
      </c:pivotFmt>
      <c:pivotFmt>
        <c:idx val="135"/>
      </c:pivotFmt>
      <c:pivotFmt>
        <c:idx val="1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</c:pivotFmt>
      <c:pivotFmt>
        <c:idx val="138"/>
      </c:pivotFmt>
      <c:pivotFmt>
        <c:idx val="139"/>
      </c:pivotFmt>
      <c:pivotFmt>
        <c:idx val="140"/>
      </c:pivotFmt>
      <c:pivotFmt>
        <c:idx val="141"/>
      </c:pivotFmt>
      <c:pivotFmt>
        <c:idx val="142"/>
      </c:pivotFmt>
      <c:pivotFmt>
        <c:idx val="143"/>
      </c:pivotFmt>
      <c:pivotFmt>
        <c:idx val="14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</c:pivotFmt>
      <c:pivotFmt>
        <c:idx val="146"/>
      </c:pivotFmt>
      <c:pivotFmt>
        <c:idx val="147"/>
      </c:pivotFmt>
      <c:pivotFmt>
        <c:idx val="148"/>
      </c:pivotFmt>
      <c:pivotFmt>
        <c:idx val="149"/>
      </c:pivotFmt>
      <c:pivotFmt>
        <c:idx val="150"/>
      </c:pivotFmt>
      <c:pivotFmt>
        <c:idx val="151"/>
      </c:pivotFmt>
      <c:pivotFmt>
        <c:idx val="15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</c:pivotFmt>
      <c:pivotFmt>
        <c:idx val="154"/>
      </c:pivotFmt>
      <c:pivotFmt>
        <c:idx val="155"/>
      </c:pivotFmt>
      <c:pivotFmt>
        <c:idx val="156"/>
      </c:pivotFmt>
      <c:pivotFmt>
        <c:idx val="157"/>
      </c:pivotFmt>
      <c:pivotFmt>
        <c:idx val="158"/>
      </c:pivotFmt>
      <c:pivotFmt>
        <c:idx val="159"/>
      </c:pivotFmt>
      <c:pivotFmt>
        <c:idx val="16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</c:pivotFmt>
      <c:pivotFmt>
        <c:idx val="162"/>
      </c:pivotFmt>
      <c:pivotFmt>
        <c:idx val="163"/>
      </c:pivotFmt>
      <c:pivotFmt>
        <c:idx val="164"/>
      </c:pivotFmt>
      <c:pivotFmt>
        <c:idx val="165"/>
      </c:pivotFmt>
      <c:pivotFmt>
        <c:idx val="166"/>
      </c:pivotFmt>
      <c:pivotFmt>
        <c:idx val="167"/>
      </c:pivotFmt>
      <c:pivotFmt>
        <c:idx val="16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</c:pivotFmt>
      <c:pivotFmt>
        <c:idx val="170"/>
      </c:pivotFmt>
      <c:pivotFmt>
        <c:idx val="171"/>
      </c:pivotFmt>
      <c:pivotFmt>
        <c:idx val="172"/>
      </c:pivotFmt>
      <c:pivotFmt>
        <c:idx val="173"/>
      </c:pivotFmt>
      <c:pivotFmt>
        <c:idx val="174"/>
      </c:pivotFmt>
      <c:pivotFmt>
        <c:idx val="175"/>
      </c:pivotFmt>
      <c:pivotFmt>
        <c:idx val="17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</c:pivotFmt>
      <c:pivotFmt>
        <c:idx val="178"/>
      </c:pivotFmt>
      <c:pivotFmt>
        <c:idx val="179"/>
      </c:pivotFmt>
      <c:pivotFmt>
        <c:idx val="180"/>
      </c:pivotFmt>
      <c:pivotFmt>
        <c:idx val="181"/>
      </c:pivotFmt>
      <c:pivotFmt>
        <c:idx val="182"/>
      </c:pivotFmt>
      <c:pivotFmt>
        <c:idx val="183"/>
      </c:pivotFmt>
      <c:pivotFmt>
        <c:idx val="18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</c:pivotFmt>
      <c:pivotFmt>
        <c:idx val="186"/>
      </c:pivotFmt>
      <c:pivotFmt>
        <c:idx val="187"/>
      </c:pivotFmt>
      <c:pivotFmt>
        <c:idx val="188"/>
      </c:pivotFmt>
      <c:pivotFmt>
        <c:idx val="189"/>
      </c:pivotFmt>
      <c:pivotFmt>
        <c:idx val="190"/>
      </c:pivotFmt>
      <c:pivotFmt>
        <c:idx val="191"/>
      </c:pivotFmt>
      <c:pivotFmt>
        <c:idx val="19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</c:pivotFmt>
      <c:pivotFmt>
        <c:idx val="194"/>
      </c:pivotFmt>
      <c:pivotFmt>
        <c:idx val="195"/>
      </c:pivotFmt>
      <c:pivotFmt>
        <c:idx val="196"/>
      </c:pivotFmt>
      <c:pivotFmt>
        <c:idx val="197"/>
      </c:pivotFmt>
      <c:pivotFmt>
        <c:idx val="198"/>
      </c:pivotFmt>
      <c:pivotFmt>
        <c:idx val="199"/>
      </c:pivotFmt>
      <c:pivotFmt>
        <c:idx val="20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</c:pivotFmt>
      <c:pivotFmt>
        <c:idx val="202"/>
      </c:pivotFmt>
      <c:pivotFmt>
        <c:idx val="203"/>
      </c:pivotFmt>
      <c:pivotFmt>
        <c:idx val="204"/>
      </c:pivotFmt>
      <c:pivotFmt>
        <c:idx val="205"/>
      </c:pivotFmt>
      <c:pivotFmt>
        <c:idx val="206"/>
      </c:pivotFmt>
      <c:pivotFmt>
        <c:idx val="207"/>
      </c:pivotFmt>
      <c:pivotFmt>
        <c:idx val="20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</c:pivotFmt>
      <c:pivotFmt>
        <c:idx val="210"/>
      </c:pivotFmt>
      <c:pivotFmt>
        <c:idx val="211"/>
      </c:pivotFmt>
      <c:pivotFmt>
        <c:idx val="212"/>
      </c:pivotFmt>
      <c:pivotFmt>
        <c:idx val="213"/>
      </c:pivotFmt>
      <c:pivotFmt>
        <c:idx val="214"/>
      </c:pivotFmt>
      <c:pivotFmt>
        <c:idx val="215"/>
      </c:pivotFmt>
      <c:pivotFmt>
        <c:idx val="2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</c:pivotFmt>
      <c:pivotFmt>
        <c:idx val="218"/>
      </c:pivotFmt>
      <c:pivotFmt>
        <c:idx val="219"/>
      </c:pivotFmt>
      <c:pivotFmt>
        <c:idx val="220"/>
      </c:pivotFmt>
      <c:pivotFmt>
        <c:idx val="221"/>
      </c:pivotFmt>
      <c:pivotFmt>
        <c:idx val="222"/>
      </c:pivotFmt>
      <c:pivotFmt>
        <c:idx val="223"/>
      </c:pivotFmt>
      <c:pivotFmt>
        <c:idx val="2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</c:pivotFmt>
      <c:pivotFmt>
        <c:idx val="226"/>
      </c:pivotFmt>
      <c:pivotFmt>
        <c:idx val="227"/>
      </c:pivotFmt>
      <c:pivotFmt>
        <c:idx val="228"/>
      </c:pivotFmt>
      <c:pivotFmt>
        <c:idx val="229"/>
      </c:pivotFmt>
      <c:pivotFmt>
        <c:idx val="230"/>
      </c:pivotFmt>
      <c:pivotFmt>
        <c:idx val="231"/>
      </c:pivotFmt>
      <c:pivotFmt>
        <c:idx val="2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"/>
      </c:pivotFmt>
      <c:pivotFmt>
        <c:idx val="234"/>
      </c:pivotFmt>
      <c:pivotFmt>
        <c:idx val="235"/>
      </c:pivotFmt>
      <c:pivotFmt>
        <c:idx val="236"/>
      </c:pivotFmt>
      <c:pivotFmt>
        <c:idx val="237"/>
      </c:pivotFmt>
      <c:pivotFmt>
        <c:idx val="238"/>
      </c:pivotFmt>
      <c:pivotFmt>
        <c:idx val="239"/>
      </c:pivotFmt>
      <c:pivotFmt>
        <c:idx val="2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"/>
      </c:pivotFmt>
      <c:pivotFmt>
        <c:idx val="242"/>
      </c:pivotFmt>
      <c:pivotFmt>
        <c:idx val="243"/>
      </c:pivotFmt>
      <c:pivotFmt>
        <c:idx val="244"/>
      </c:pivotFmt>
      <c:pivotFmt>
        <c:idx val="245"/>
      </c:pivotFmt>
      <c:pivotFmt>
        <c:idx val="246"/>
      </c:pivotFmt>
      <c:pivotFmt>
        <c:idx val="247"/>
      </c:pivotFmt>
      <c:pivotFmt>
        <c:idx val="24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"/>
      </c:pivotFmt>
      <c:pivotFmt>
        <c:idx val="250"/>
      </c:pivotFmt>
      <c:pivotFmt>
        <c:idx val="251"/>
      </c:pivotFmt>
      <c:pivotFmt>
        <c:idx val="252"/>
      </c:pivotFmt>
      <c:pivotFmt>
        <c:idx val="253"/>
      </c:pivotFmt>
      <c:pivotFmt>
        <c:idx val="254"/>
      </c:pivotFmt>
      <c:pivotFmt>
        <c:idx val="255"/>
      </c:pivotFmt>
      <c:pivotFmt>
        <c:idx val="25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7"/>
      </c:pivotFmt>
      <c:pivotFmt>
        <c:idx val="258"/>
      </c:pivotFmt>
      <c:pivotFmt>
        <c:idx val="259"/>
      </c:pivotFmt>
      <c:pivotFmt>
        <c:idx val="260"/>
      </c:pivotFmt>
      <c:pivotFmt>
        <c:idx val="261"/>
      </c:pivotFmt>
      <c:pivotFmt>
        <c:idx val="262"/>
      </c:pivotFmt>
      <c:pivotFmt>
        <c:idx val="263"/>
      </c:pivotFmt>
      <c:pivotFmt>
        <c:idx val="26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5"/>
      </c:pivotFmt>
      <c:pivotFmt>
        <c:idx val="266"/>
      </c:pivotFmt>
      <c:pivotFmt>
        <c:idx val="267"/>
      </c:pivotFmt>
      <c:pivotFmt>
        <c:idx val="268"/>
      </c:pivotFmt>
      <c:pivotFmt>
        <c:idx val="269"/>
      </c:pivotFmt>
      <c:pivotFmt>
        <c:idx val="270"/>
      </c:pivotFmt>
      <c:pivotFmt>
        <c:idx val="271"/>
      </c:pivotFmt>
      <c:pivotFmt>
        <c:idx val="27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3"/>
      </c:pivotFmt>
      <c:pivotFmt>
        <c:idx val="274"/>
      </c:pivotFmt>
      <c:pivotFmt>
        <c:idx val="275"/>
      </c:pivotFmt>
      <c:pivotFmt>
        <c:idx val="276"/>
      </c:pivotFmt>
      <c:pivotFmt>
        <c:idx val="277"/>
      </c:pivotFmt>
      <c:pivotFmt>
        <c:idx val="278"/>
      </c:pivotFmt>
      <c:pivotFmt>
        <c:idx val="279"/>
      </c:pivotFmt>
      <c:pivotFmt>
        <c:idx val="28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1"/>
      </c:pivotFmt>
      <c:pivotFmt>
        <c:idx val="282"/>
      </c:pivotFmt>
      <c:pivotFmt>
        <c:idx val="283"/>
      </c:pivotFmt>
      <c:pivotFmt>
        <c:idx val="284"/>
      </c:pivotFmt>
      <c:pivotFmt>
        <c:idx val="285"/>
      </c:pivotFmt>
      <c:pivotFmt>
        <c:idx val="286"/>
      </c:pivotFmt>
      <c:pivotFmt>
        <c:idx val="287"/>
      </c:pivotFmt>
      <c:pivotFmt>
        <c:idx val="28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9"/>
      </c:pivotFmt>
      <c:pivotFmt>
        <c:idx val="290"/>
      </c:pivotFmt>
      <c:pivotFmt>
        <c:idx val="291"/>
      </c:pivotFmt>
      <c:pivotFmt>
        <c:idx val="292"/>
      </c:pivotFmt>
      <c:pivotFmt>
        <c:idx val="293"/>
      </c:pivotFmt>
      <c:pivotFmt>
        <c:idx val="294"/>
      </c:pivotFmt>
      <c:pivotFmt>
        <c:idx val="295"/>
      </c:pivotFmt>
      <c:pivotFmt>
        <c:idx val="29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7"/>
      </c:pivotFmt>
      <c:pivotFmt>
        <c:idx val="298"/>
      </c:pivotFmt>
      <c:pivotFmt>
        <c:idx val="299"/>
      </c:pivotFmt>
      <c:pivotFmt>
        <c:idx val="300"/>
      </c:pivotFmt>
      <c:pivotFmt>
        <c:idx val="301"/>
      </c:pivotFmt>
      <c:pivotFmt>
        <c:idx val="302"/>
      </c:pivotFmt>
      <c:pivotFmt>
        <c:idx val="303"/>
      </c:pivotFmt>
      <c:pivotFmt>
        <c:idx val="30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5"/>
      </c:pivotFmt>
      <c:pivotFmt>
        <c:idx val="306"/>
      </c:pivotFmt>
      <c:pivotFmt>
        <c:idx val="307"/>
      </c:pivotFmt>
      <c:pivotFmt>
        <c:idx val="308"/>
      </c:pivotFmt>
      <c:pivotFmt>
        <c:idx val="309"/>
      </c:pivotFmt>
      <c:pivotFmt>
        <c:idx val="310"/>
      </c:pivotFmt>
      <c:pivotFmt>
        <c:idx val="311"/>
      </c:pivotFmt>
      <c:pivotFmt>
        <c:idx val="3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3"/>
      </c:pivotFmt>
      <c:pivotFmt>
        <c:idx val="314"/>
      </c:pivotFmt>
      <c:pivotFmt>
        <c:idx val="315"/>
      </c:pivotFmt>
      <c:pivotFmt>
        <c:idx val="316"/>
      </c:pivotFmt>
      <c:pivotFmt>
        <c:idx val="317"/>
      </c:pivotFmt>
      <c:pivotFmt>
        <c:idx val="318"/>
      </c:pivotFmt>
      <c:pivotFmt>
        <c:idx val="319"/>
      </c:pivotFmt>
      <c:pivotFmt>
        <c:idx val="3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1"/>
      </c:pivotFmt>
      <c:pivotFmt>
        <c:idx val="322"/>
      </c:pivotFmt>
      <c:pivotFmt>
        <c:idx val="323"/>
      </c:pivotFmt>
      <c:pivotFmt>
        <c:idx val="324"/>
      </c:pivotFmt>
      <c:pivotFmt>
        <c:idx val="325"/>
      </c:pivotFmt>
      <c:pivotFmt>
        <c:idx val="326"/>
      </c:pivotFmt>
      <c:pivotFmt>
        <c:idx val="327"/>
      </c:pivotFmt>
      <c:pivotFmt>
        <c:idx val="3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9"/>
      </c:pivotFmt>
      <c:pivotFmt>
        <c:idx val="330"/>
      </c:pivotFmt>
      <c:pivotFmt>
        <c:idx val="331"/>
      </c:pivotFmt>
      <c:pivotFmt>
        <c:idx val="332"/>
      </c:pivotFmt>
      <c:pivotFmt>
        <c:idx val="333"/>
      </c:pivotFmt>
      <c:pivotFmt>
        <c:idx val="334"/>
      </c:pivotFmt>
      <c:pivotFmt>
        <c:idx val="335"/>
      </c:pivotFmt>
      <c:pivotFmt>
        <c:idx val="3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7"/>
      </c:pivotFmt>
      <c:pivotFmt>
        <c:idx val="338"/>
      </c:pivotFmt>
      <c:pivotFmt>
        <c:idx val="339"/>
      </c:pivotFmt>
      <c:pivotFmt>
        <c:idx val="340"/>
      </c:pivotFmt>
      <c:pivotFmt>
        <c:idx val="341"/>
      </c:pivotFmt>
      <c:pivotFmt>
        <c:idx val="342"/>
      </c:pivotFmt>
      <c:pivotFmt>
        <c:idx val="343"/>
      </c:pivotFmt>
      <c:pivotFmt>
        <c:idx val="34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5"/>
      </c:pivotFmt>
      <c:pivotFmt>
        <c:idx val="346"/>
      </c:pivotFmt>
      <c:pivotFmt>
        <c:idx val="347"/>
      </c:pivotFmt>
      <c:pivotFmt>
        <c:idx val="348"/>
      </c:pivotFmt>
      <c:pivotFmt>
        <c:idx val="349"/>
      </c:pivotFmt>
      <c:pivotFmt>
        <c:idx val="350"/>
      </c:pivotFmt>
      <c:pivotFmt>
        <c:idx val="351"/>
      </c:pivotFmt>
      <c:pivotFmt>
        <c:idx val="35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3"/>
      </c:pivotFmt>
      <c:pivotFmt>
        <c:idx val="354"/>
      </c:pivotFmt>
      <c:pivotFmt>
        <c:idx val="355"/>
      </c:pivotFmt>
      <c:pivotFmt>
        <c:idx val="356"/>
      </c:pivotFmt>
      <c:pivotFmt>
        <c:idx val="357"/>
      </c:pivotFmt>
      <c:pivotFmt>
        <c:idx val="358"/>
      </c:pivotFmt>
      <c:pivotFmt>
        <c:idx val="359"/>
      </c:pivotFmt>
      <c:pivotFmt>
        <c:idx val="36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1"/>
      </c:pivotFmt>
      <c:pivotFmt>
        <c:idx val="362"/>
      </c:pivotFmt>
      <c:pivotFmt>
        <c:idx val="363"/>
      </c:pivotFmt>
      <c:pivotFmt>
        <c:idx val="364"/>
      </c:pivotFmt>
      <c:pivotFmt>
        <c:idx val="365"/>
      </c:pivotFmt>
      <c:pivotFmt>
        <c:idx val="366"/>
      </c:pivotFmt>
      <c:pivotFmt>
        <c:idx val="367"/>
      </c:pivotFmt>
      <c:pivotFmt>
        <c:idx val="36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9"/>
      </c:pivotFmt>
      <c:pivotFmt>
        <c:idx val="370"/>
      </c:pivotFmt>
      <c:pivotFmt>
        <c:idx val="371"/>
      </c:pivotFmt>
      <c:pivotFmt>
        <c:idx val="372"/>
      </c:pivotFmt>
      <c:pivotFmt>
        <c:idx val="373"/>
      </c:pivotFmt>
      <c:pivotFmt>
        <c:idx val="374"/>
      </c:pivotFmt>
      <c:pivotFmt>
        <c:idx val="375"/>
      </c:pivotFmt>
      <c:pivotFmt>
        <c:idx val="37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7"/>
      </c:pivotFmt>
      <c:pivotFmt>
        <c:idx val="378"/>
      </c:pivotFmt>
      <c:pivotFmt>
        <c:idx val="379"/>
      </c:pivotFmt>
      <c:pivotFmt>
        <c:idx val="380"/>
      </c:pivotFmt>
      <c:pivotFmt>
        <c:idx val="381"/>
      </c:pivotFmt>
      <c:pivotFmt>
        <c:idx val="382"/>
      </c:pivotFmt>
      <c:pivotFmt>
        <c:idx val="383"/>
      </c:pivotFmt>
      <c:pivotFmt>
        <c:idx val="38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5"/>
      </c:pivotFmt>
      <c:pivotFmt>
        <c:idx val="386"/>
      </c:pivotFmt>
      <c:pivotFmt>
        <c:idx val="387"/>
      </c:pivotFmt>
      <c:pivotFmt>
        <c:idx val="388"/>
      </c:pivotFmt>
      <c:pivotFmt>
        <c:idx val="389"/>
      </c:pivotFmt>
      <c:pivotFmt>
        <c:idx val="390"/>
      </c:pivotFmt>
      <c:pivotFmt>
        <c:idx val="391"/>
      </c:pivotFmt>
      <c:pivotFmt>
        <c:idx val="39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3"/>
      </c:pivotFmt>
      <c:pivotFmt>
        <c:idx val="394"/>
      </c:pivotFmt>
      <c:pivotFmt>
        <c:idx val="395"/>
      </c:pivotFmt>
      <c:pivotFmt>
        <c:idx val="396"/>
      </c:pivotFmt>
      <c:pivotFmt>
        <c:idx val="397"/>
      </c:pivotFmt>
      <c:pivotFmt>
        <c:idx val="398"/>
      </c:pivotFmt>
      <c:pivotFmt>
        <c:idx val="399"/>
      </c:pivotFmt>
      <c:pivotFmt>
        <c:idx val="40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1"/>
      </c:pivotFmt>
      <c:pivotFmt>
        <c:idx val="402"/>
      </c:pivotFmt>
      <c:pivotFmt>
        <c:idx val="403"/>
      </c:pivotFmt>
      <c:pivotFmt>
        <c:idx val="404"/>
      </c:pivotFmt>
      <c:pivotFmt>
        <c:idx val="405"/>
      </c:pivotFmt>
      <c:pivotFmt>
        <c:idx val="406"/>
      </c:pivotFmt>
      <c:pivotFmt>
        <c:idx val="407"/>
      </c:pivotFmt>
      <c:pivotFmt>
        <c:idx val="40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9"/>
      </c:pivotFmt>
      <c:pivotFmt>
        <c:idx val="410"/>
      </c:pivotFmt>
      <c:pivotFmt>
        <c:idx val="411"/>
      </c:pivotFmt>
      <c:pivotFmt>
        <c:idx val="412"/>
      </c:pivotFmt>
      <c:pivotFmt>
        <c:idx val="413"/>
      </c:pivotFmt>
      <c:pivotFmt>
        <c:idx val="414"/>
      </c:pivotFmt>
      <c:pivotFmt>
        <c:idx val="415"/>
      </c:pivotFmt>
      <c:pivotFmt>
        <c:idx val="4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7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8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9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Итог</c:v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7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</c:strLit>
          </c:cat>
          <c:val>
            <c:numLit>
              <c:formatCode>General</c:formatCode>
              <c:ptCount val="7"/>
              <c:pt idx="0">
                <c:v>1.2987012987012987E-3</c:v>
              </c:pt>
              <c:pt idx="1">
                <c:v>3.5064935064935063E-2</c:v>
              </c:pt>
              <c:pt idx="2">
                <c:v>0.21428571428571427</c:v>
              </c:pt>
              <c:pt idx="3">
                <c:v>0.25844155844155842</c:v>
              </c:pt>
              <c:pt idx="4">
                <c:v>0.31818181818181818</c:v>
              </c:pt>
              <c:pt idx="5">
                <c:v>0.13766233766233765</c:v>
              </c:pt>
              <c:pt idx="6">
                <c:v>3.5064935064935063E-2</c:v>
              </c:pt>
            </c:numLit>
          </c:val>
          <c:extLst>
            <c:ext xmlns:c16="http://schemas.microsoft.com/office/drawing/2014/chart" uri="{C3380CC4-5D6E-409C-BE32-E72D297353CC}">
              <c16:uniqueId val="{00000000-718B-E04C-8D0D-0063DF1F549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695300560"/>
        <c:axId val="853962559"/>
      </c:barChart>
      <c:catAx>
        <c:axId val="695300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3962559"/>
        <c:crosses val="autoZero"/>
        <c:auto val="1"/>
        <c:lblAlgn val="ctr"/>
        <c:lblOffset val="100"/>
        <c:noMultiLvlLbl val="0"/>
      </c:catAx>
      <c:valAx>
        <c:axId val="853962559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300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/>
              <a:t>Образование отца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</c:pivotFmt>
      <c:pivotFmt>
        <c:idx val="24"/>
      </c:pivotFmt>
      <c:pivotFmt>
        <c:idx val="25"/>
      </c:pivotFmt>
      <c:pivotFmt>
        <c:idx val="26"/>
      </c:pivotFmt>
      <c:pivotFmt>
        <c:idx val="27"/>
      </c:pivotFmt>
      <c:pivotFmt>
        <c:idx val="28"/>
      </c:pivotFmt>
      <c:pivotFmt>
        <c:idx val="29"/>
      </c:pivotFmt>
      <c:pivotFmt>
        <c:idx val="30"/>
      </c:pivotFmt>
      <c:pivotFmt>
        <c:idx val="31"/>
      </c:pivotFmt>
      <c:pivotFmt>
        <c:idx val="3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Итог</c:v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7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</c:strLit>
          </c:cat>
          <c:val>
            <c:numLit>
              <c:formatCode>General</c:formatCode>
              <c:ptCount val="7"/>
              <c:pt idx="0">
                <c:v>5.1948051948051948E-3</c:v>
              </c:pt>
              <c:pt idx="1">
                <c:v>7.7922077922077922E-3</c:v>
              </c:pt>
              <c:pt idx="2">
                <c:v>0.15974025974025974</c:v>
              </c:pt>
              <c:pt idx="3">
                <c:v>0.23116883116883116</c:v>
              </c:pt>
              <c:pt idx="4">
                <c:v>0.34025974025974026</c:v>
              </c:pt>
              <c:pt idx="5">
                <c:v>0.19870129870129871</c:v>
              </c:pt>
              <c:pt idx="6">
                <c:v>5.7142857142857141E-2</c:v>
              </c:pt>
            </c:numLit>
          </c:val>
          <c:extLst>
            <c:ext xmlns:c16="http://schemas.microsoft.com/office/drawing/2014/chart" uri="{C3380CC4-5D6E-409C-BE32-E72D297353CC}">
              <c16:uniqueId val="{00000000-D003-1B4F-A0DD-3D728944E5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553700287"/>
        <c:axId val="651939327"/>
      </c:barChart>
      <c:catAx>
        <c:axId val="553700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1939327"/>
        <c:crosses val="autoZero"/>
        <c:auto val="1"/>
        <c:lblAlgn val="ctr"/>
        <c:lblOffset val="100"/>
        <c:noMultiLvlLbl val="0"/>
      </c:catAx>
      <c:valAx>
        <c:axId val="651939327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3700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/>
              <a:t>Игровое время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Итог</c:v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dLbl>
              <c:idx val="0"/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65BD-3146-AC72-EBF7CB61CBAA}"/>
                </c:ext>
              </c:extLst>
            </c:dLbl>
            <c:dLbl>
              <c:idx val="1"/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65BD-3146-AC72-EBF7CB61CBAA}"/>
                </c:ext>
              </c:extLst>
            </c:dLbl>
            <c:dLbl>
              <c:idx val="2"/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65BD-3146-AC72-EBF7CB61CBAA}"/>
                </c:ext>
              </c:extLst>
            </c:dLbl>
            <c:dLbl>
              <c:idx val="3"/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65BD-3146-AC72-EBF7CB61CBAA}"/>
                </c:ext>
              </c:extLst>
            </c:dLbl>
            <c:dLbl>
              <c:idx val="4"/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65BD-3146-AC72-EBF7CB61CBAA}"/>
                </c:ext>
              </c:extLst>
            </c:dLbl>
            <c:dLbl>
              <c:idx val="5"/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65BD-3146-AC72-EBF7CB61CBA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6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</c:strLit>
          </c:cat>
          <c:val>
            <c:numLit>
              <c:formatCode>General</c:formatCode>
              <c:ptCount val="6"/>
              <c:pt idx="0">
                <c:v>0.29480519480519479</c:v>
              </c:pt>
              <c:pt idx="1">
                <c:v>0.25064935064935062</c:v>
              </c:pt>
              <c:pt idx="2">
                <c:v>0.23506493506493506</c:v>
              </c:pt>
              <c:pt idx="3">
                <c:v>0.14675324675324675</c:v>
              </c:pt>
              <c:pt idx="4">
                <c:v>3.6363636363636362E-2</c:v>
              </c:pt>
              <c:pt idx="5">
                <c:v>3.6363636363636362E-2</c:v>
              </c:pt>
            </c:numLit>
          </c:val>
          <c:extLst>
            <c:ext xmlns:c16="http://schemas.microsoft.com/office/drawing/2014/chart" uri="{C3380CC4-5D6E-409C-BE32-E72D297353CC}">
              <c16:uniqueId val="{00000000-65BD-3146-AC72-EBF7CB61CB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553674255"/>
        <c:axId val="553922143"/>
      </c:barChart>
      <c:catAx>
        <c:axId val="553674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3922143"/>
        <c:crosses val="autoZero"/>
        <c:auto val="1"/>
        <c:lblAlgn val="ctr"/>
        <c:lblOffset val="100"/>
        <c:noMultiLvlLbl val="0"/>
      </c:catAx>
      <c:valAx>
        <c:axId val="553922143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3674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/>
              <a:t>Достаток родителей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Итог</c:v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dLbl>
              <c:idx val="0"/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A391-F343-A755-70E630527D7E}"/>
                </c:ext>
              </c:extLst>
            </c:dLbl>
            <c:dLbl>
              <c:idx val="1"/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A391-F343-A755-70E630527D7E}"/>
                </c:ext>
              </c:extLst>
            </c:dLbl>
            <c:dLbl>
              <c:idx val="2"/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A391-F343-A755-70E630527D7E}"/>
                </c:ext>
              </c:extLst>
            </c:dLbl>
            <c:dLbl>
              <c:idx val="3"/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A391-F343-A755-70E630527D7E}"/>
                </c:ext>
              </c:extLst>
            </c:dLbl>
            <c:dLbl>
              <c:idx val="4"/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A391-F343-A755-70E630527D7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</c:strLit>
          </c:cat>
          <c:val>
            <c:numLit>
              <c:formatCode>General</c:formatCode>
              <c:ptCount val="5"/>
              <c:pt idx="0">
                <c:v>0.11818181818181818</c:v>
              </c:pt>
              <c:pt idx="1">
                <c:v>0.24025974025974026</c:v>
              </c:pt>
              <c:pt idx="2">
                <c:v>0.39220779220779223</c:v>
              </c:pt>
              <c:pt idx="3">
                <c:v>0.18441558441558442</c:v>
              </c:pt>
              <c:pt idx="4">
                <c:v>6.4935064935064929E-2</c:v>
              </c:pt>
            </c:numLit>
          </c:val>
          <c:extLst>
            <c:ext xmlns:c16="http://schemas.microsoft.com/office/drawing/2014/chart" uri="{C3380CC4-5D6E-409C-BE32-E72D297353CC}">
              <c16:uniqueId val="{00000000-A391-F343-A755-70E630527D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493972367"/>
        <c:axId val="593102767"/>
      </c:barChart>
      <c:catAx>
        <c:axId val="49397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102767"/>
        <c:crosses val="autoZero"/>
        <c:auto val="1"/>
        <c:lblAlgn val="ctr"/>
        <c:lblOffset val="100"/>
        <c:noMultiLvlLbl val="0"/>
      </c:catAx>
      <c:valAx>
        <c:axId val="593102767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972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/>
              <a:t>Код школы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Итог</c:v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7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(пусто)</c:v>
              </c:pt>
            </c:strLit>
          </c:cat>
          <c:val>
            <c:numLit>
              <c:formatCode>General</c:formatCode>
              <c:ptCount val="7"/>
              <c:pt idx="0">
                <c:v>0.29480519480519479</c:v>
              </c:pt>
              <c:pt idx="1">
                <c:v>0.14935064935064934</c:v>
              </c:pt>
              <c:pt idx="2">
                <c:v>9.350649350649351E-2</c:v>
              </c:pt>
              <c:pt idx="3">
                <c:v>0.14545454545454545</c:v>
              </c:pt>
              <c:pt idx="4">
                <c:v>0.11428571428571428</c:v>
              </c:pt>
              <c:pt idx="5">
                <c:v>0.20259740259740261</c:v>
              </c:pt>
              <c:pt idx="6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ECAB-1047-BCC0-53AAA88F99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706625519"/>
        <c:axId val="631054127"/>
      </c:barChart>
      <c:catAx>
        <c:axId val="706625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054127"/>
        <c:crosses val="autoZero"/>
        <c:auto val="1"/>
        <c:lblAlgn val="ctr"/>
        <c:lblOffset val="100"/>
        <c:noMultiLvlLbl val="0"/>
      </c:catAx>
      <c:valAx>
        <c:axId val="631054127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6625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/>
              <a:t>Игровой стаж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Итог</c:v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6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(пусто)</c:v>
              </c:pt>
            </c:strLit>
          </c:cat>
          <c:val>
            <c:numLit>
              <c:formatCode>General</c:formatCode>
              <c:ptCount val="6"/>
              <c:pt idx="0">
                <c:v>0.29480519480519479</c:v>
              </c:pt>
              <c:pt idx="1">
                <c:v>0.25064935064935062</c:v>
              </c:pt>
              <c:pt idx="2">
                <c:v>0.17792207792207793</c:v>
              </c:pt>
              <c:pt idx="3">
                <c:v>0.12857142857142856</c:v>
              </c:pt>
              <c:pt idx="4">
                <c:v>0.14805194805194805</c:v>
              </c:pt>
              <c:pt idx="5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DC65-5847-B9D5-F452F44F02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1715175295"/>
        <c:axId val="1734328911"/>
      </c:barChart>
      <c:catAx>
        <c:axId val="1715175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4328911"/>
        <c:crosses val="autoZero"/>
        <c:auto val="1"/>
        <c:lblAlgn val="ctr"/>
        <c:lblOffset val="100"/>
        <c:noMultiLvlLbl val="0"/>
      </c:catAx>
      <c:valAx>
        <c:axId val="1734328911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5175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/>
              <a:t>Оценка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Итог</c:v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0"/>
              <c:pt idx="0">
                <c:v>&lt;6 или (пусто)</c:v>
              </c:pt>
              <c:pt idx="1">
                <c:v>6-16</c:v>
              </c:pt>
              <c:pt idx="2">
                <c:v>26-36</c:v>
              </c:pt>
              <c:pt idx="3">
                <c:v>36-46</c:v>
              </c:pt>
              <c:pt idx="4">
                <c:v>46-56</c:v>
              </c:pt>
              <c:pt idx="5">
                <c:v>56-66</c:v>
              </c:pt>
              <c:pt idx="6">
                <c:v>66-76</c:v>
              </c:pt>
              <c:pt idx="7">
                <c:v>76-86</c:v>
              </c:pt>
              <c:pt idx="8">
                <c:v>86-96</c:v>
              </c:pt>
              <c:pt idx="9">
                <c:v>96-106</c:v>
              </c:pt>
            </c:strLit>
          </c:cat>
          <c:val>
            <c:numLit>
              <c:formatCode>General</c:formatCode>
              <c:ptCount val="10"/>
              <c:pt idx="0">
                <c:v>0</c:v>
              </c:pt>
              <c:pt idx="1">
                <c:v>1.2987012987012987E-3</c:v>
              </c:pt>
              <c:pt idx="2">
                <c:v>1.2987012987012987E-3</c:v>
              </c:pt>
              <c:pt idx="3">
                <c:v>3.6363636363636362E-2</c:v>
              </c:pt>
              <c:pt idx="4">
                <c:v>9.7402597402597407E-2</c:v>
              </c:pt>
              <c:pt idx="5">
                <c:v>0.13116883116883116</c:v>
              </c:pt>
              <c:pt idx="6">
                <c:v>0.19740259740259741</c:v>
              </c:pt>
              <c:pt idx="7">
                <c:v>0.17532467532467533</c:v>
              </c:pt>
              <c:pt idx="8">
                <c:v>0.19090909090909092</c:v>
              </c:pt>
              <c:pt idx="9">
                <c:v>0.16883116883116883</c:v>
              </c:pt>
            </c:numLit>
          </c:val>
          <c:extLst>
            <c:ext xmlns:c16="http://schemas.microsoft.com/office/drawing/2014/chart" uri="{C3380CC4-5D6E-409C-BE32-E72D297353CC}">
              <c16:uniqueId val="{00000000-6337-0C4D-8B78-0ABE654285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1375337839"/>
        <c:axId val="1485761167"/>
      </c:barChart>
      <c:catAx>
        <c:axId val="1375337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761167"/>
        <c:crosses val="autoZero"/>
        <c:auto val="1"/>
        <c:lblAlgn val="ctr"/>
        <c:lblOffset val="100"/>
        <c:noMultiLvlLbl val="0"/>
      </c:catAx>
      <c:valAx>
        <c:axId val="1485761167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5337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Зависимость Балл</a:t>
            </a:r>
            <a:r>
              <a:rPr lang="en-US"/>
              <a:t>/</a:t>
            </a:r>
            <a:r>
              <a:rPr lang="ru-RU"/>
              <a:t>Часов</a:t>
            </a:r>
            <a:r>
              <a:rPr lang="ru-RU" baseline="0"/>
              <a:t> игры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gameandgrade!$J$1</c:f>
              <c:strCache>
                <c:ptCount val="1"/>
                <c:pt idx="0">
                  <c:v>Grade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gameandgrade!$I$2:$I$773</c:f>
              <c:numCache>
                <c:formatCode>General</c:formatCode>
                <c:ptCount val="772"/>
                <c:pt idx="0">
                  <c:v>2</c:v>
                </c:pt>
                <c:pt idx="1">
                  <c:v>1</c:v>
                </c:pt>
                <c:pt idx="2">
                  <c:v>0</c:v>
                </c:pt>
                <c:pt idx="3">
                  <c:v>5</c:v>
                </c:pt>
                <c:pt idx="4">
                  <c:v>2</c:v>
                </c:pt>
                <c:pt idx="5">
                  <c:v>4</c:v>
                </c:pt>
                <c:pt idx="6">
                  <c:v>1</c:v>
                </c:pt>
                <c:pt idx="7">
                  <c:v>3</c:v>
                </c:pt>
                <c:pt idx="8">
                  <c:v>3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3</c:v>
                </c:pt>
                <c:pt idx="13">
                  <c:v>2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3</c:v>
                </c:pt>
                <c:pt idx="20">
                  <c:v>2</c:v>
                </c:pt>
                <c:pt idx="21">
                  <c:v>0</c:v>
                </c:pt>
                <c:pt idx="22">
                  <c:v>0</c:v>
                </c:pt>
                <c:pt idx="23">
                  <c:v>3</c:v>
                </c:pt>
                <c:pt idx="24">
                  <c:v>4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1</c:v>
                </c:pt>
                <c:pt idx="29">
                  <c:v>1</c:v>
                </c:pt>
                <c:pt idx="30">
                  <c:v>0</c:v>
                </c:pt>
                <c:pt idx="31">
                  <c:v>1</c:v>
                </c:pt>
                <c:pt idx="32">
                  <c:v>3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2</c:v>
                </c:pt>
                <c:pt idx="41">
                  <c:v>1</c:v>
                </c:pt>
                <c:pt idx="42">
                  <c:v>1</c:v>
                </c:pt>
                <c:pt idx="43">
                  <c:v>2</c:v>
                </c:pt>
                <c:pt idx="44">
                  <c:v>1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5</c:v>
                </c:pt>
                <c:pt idx="49">
                  <c:v>5</c:v>
                </c:pt>
                <c:pt idx="50">
                  <c:v>3</c:v>
                </c:pt>
                <c:pt idx="51">
                  <c:v>4</c:v>
                </c:pt>
                <c:pt idx="52">
                  <c:v>3</c:v>
                </c:pt>
                <c:pt idx="53">
                  <c:v>2</c:v>
                </c:pt>
                <c:pt idx="54">
                  <c:v>2</c:v>
                </c:pt>
                <c:pt idx="55">
                  <c:v>4</c:v>
                </c:pt>
                <c:pt idx="56">
                  <c:v>5</c:v>
                </c:pt>
                <c:pt idx="57">
                  <c:v>2</c:v>
                </c:pt>
                <c:pt idx="58">
                  <c:v>2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1</c:v>
                </c:pt>
                <c:pt idx="63">
                  <c:v>1</c:v>
                </c:pt>
                <c:pt idx="64">
                  <c:v>3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3</c:v>
                </c:pt>
                <c:pt idx="69">
                  <c:v>5</c:v>
                </c:pt>
                <c:pt idx="70">
                  <c:v>1</c:v>
                </c:pt>
                <c:pt idx="71">
                  <c:v>1</c:v>
                </c:pt>
                <c:pt idx="72">
                  <c:v>2</c:v>
                </c:pt>
                <c:pt idx="73">
                  <c:v>0</c:v>
                </c:pt>
                <c:pt idx="74">
                  <c:v>3</c:v>
                </c:pt>
                <c:pt idx="75">
                  <c:v>2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3</c:v>
                </c:pt>
                <c:pt idx="82">
                  <c:v>2</c:v>
                </c:pt>
                <c:pt idx="83">
                  <c:v>1</c:v>
                </c:pt>
                <c:pt idx="84">
                  <c:v>2</c:v>
                </c:pt>
                <c:pt idx="85">
                  <c:v>3</c:v>
                </c:pt>
                <c:pt idx="86">
                  <c:v>2</c:v>
                </c:pt>
                <c:pt idx="87">
                  <c:v>4</c:v>
                </c:pt>
                <c:pt idx="88">
                  <c:v>3</c:v>
                </c:pt>
                <c:pt idx="89">
                  <c:v>2</c:v>
                </c:pt>
                <c:pt idx="90">
                  <c:v>1</c:v>
                </c:pt>
                <c:pt idx="91">
                  <c:v>4</c:v>
                </c:pt>
                <c:pt idx="92">
                  <c:v>3</c:v>
                </c:pt>
                <c:pt idx="93">
                  <c:v>4</c:v>
                </c:pt>
                <c:pt idx="94">
                  <c:v>2</c:v>
                </c:pt>
                <c:pt idx="95">
                  <c:v>1</c:v>
                </c:pt>
                <c:pt idx="96">
                  <c:v>1</c:v>
                </c:pt>
                <c:pt idx="97">
                  <c:v>5</c:v>
                </c:pt>
                <c:pt idx="98">
                  <c:v>2</c:v>
                </c:pt>
                <c:pt idx="99">
                  <c:v>1</c:v>
                </c:pt>
                <c:pt idx="100">
                  <c:v>1</c:v>
                </c:pt>
                <c:pt idx="101">
                  <c:v>2</c:v>
                </c:pt>
                <c:pt idx="102">
                  <c:v>3</c:v>
                </c:pt>
                <c:pt idx="103">
                  <c:v>3</c:v>
                </c:pt>
                <c:pt idx="104">
                  <c:v>3</c:v>
                </c:pt>
                <c:pt idx="105">
                  <c:v>3</c:v>
                </c:pt>
                <c:pt idx="106">
                  <c:v>3</c:v>
                </c:pt>
                <c:pt idx="107">
                  <c:v>1</c:v>
                </c:pt>
                <c:pt idx="108">
                  <c:v>1</c:v>
                </c:pt>
                <c:pt idx="109">
                  <c:v>2</c:v>
                </c:pt>
                <c:pt idx="110">
                  <c:v>1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1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2</c:v>
                </c:pt>
                <c:pt idx="123">
                  <c:v>2</c:v>
                </c:pt>
                <c:pt idx="124">
                  <c:v>3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3</c:v>
                </c:pt>
                <c:pt idx="132">
                  <c:v>2</c:v>
                </c:pt>
                <c:pt idx="133">
                  <c:v>2</c:v>
                </c:pt>
                <c:pt idx="134">
                  <c:v>4</c:v>
                </c:pt>
                <c:pt idx="135">
                  <c:v>2</c:v>
                </c:pt>
                <c:pt idx="136">
                  <c:v>4</c:v>
                </c:pt>
                <c:pt idx="137">
                  <c:v>1</c:v>
                </c:pt>
                <c:pt idx="138">
                  <c:v>2</c:v>
                </c:pt>
                <c:pt idx="139">
                  <c:v>5</c:v>
                </c:pt>
                <c:pt idx="140">
                  <c:v>5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3</c:v>
                </c:pt>
                <c:pt idx="145">
                  <c:v>2</c:v>
                </c:pt>
                <c:pt idx="146">
                  <c:v>2</c:v>
                </c:pt>
                <c:pt idx="147">
                  <c:v>2</c:v>
                </c:pt>
                <c:pt idx="148">
                  <c:v>4</c:v>
                </c:pt>
                <c:pt idx="149">
                  <c:v>2</c:v>
                </c:pt>
                <c:pt idx="150">
                  <c:v>2</c:v>
                </c:pt>
                <c:pt idx="151">
                  <c:v>1</c:v>
                </c:pt>
                <c:pt idx="152">
                  <c:v>0</c:v>
                </c:pt>
                <c:pt idx="153">
                  <c:v>0</c:v>
                </c:pt>
                <c:pt idx="154">
                  <c:v>1</c:v>
                </c:pt>
                <c:pt idx="155">
                  <c:v>3</c:v>
                </c:pt>
                <c:pt idx="156">
                  <c:v>1</c:v>
                </c:pt>
                <c:pt idx="157">
                  <c:v>1</c:v>
                </c:pt>
                <c:pt idx="158">
                  <c:v>0</c:v>
                </c:pt>
                <c:pt idx="159">
                  <c:v>2</c:v>
                </c:pt>
                <c:pt idx="160">
                  <c:v>2</c:v>
                </c:pt>
                <c:pt idx="161">
                  <c:v>2</c:v>
                </c:pt>
                <c:pt idx="162">
                  <c:v>1</c:v>
                </c:pt>
                <c:pt idx="163">
                  <c:v>3</c:v>
                </c:pt>
                <c:pt idx="164">
                  <c:v>1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3</c:v>
                </c:pt>
                <c:pt idx="171">
                  <c:v>1</c:v>
                </c:pt>
                <c:pt idx="172">
                  <c:v>1</c:v>
                </c:pt>
                <c:pt idx="173">
                  <c:v>2</c:v>
                </c:pt>
                <c:pt idx="174">
                  <c:v>1</c:v>
                </c:pt>
                <c:pt idx="175">
                  <c:v>1</c:v>
                </c:pt>
                <c:pt idx="176">
                  <c:v>2</c:v>
                </c:pt>
                <c:pt idx="177">
                  <c:v>2</c:v>
                </c:pt>
                <c:pt idx="178">
                  <c:v>1</c:v>
                </c:pt>
                <c:pt idx="179">
                  <c:v>2</c:v>
                </c:pt>
                <c:pt idx="180">
                  <c:v>2</c:v>
                </c:pt>
                <c:pt idx="181">
                  <c:v>1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1</c:v>
                </c:pt>
                <c:pt idx="187">
                  <c:v>2</c:v>
                </c:pt>
                <c:pt idx="188">
                  <c:v>1</c:v>
                </c:pt>
                <c:pt idx="189">
                  <c:v>3</c:v>
                </c:pt>
                <c:pt idx="190">
                  <c:v>3</c:v>
                </c:pt>
                <c:pt idx="191">
                  <c:v>1</c:v>
                </c:pt>
                <c:pt idx="192">
                  <c:v>1</c:v>
                </c:pt>
                <c:pt idx="193">
                  <c:v>3</c:v>
                </c:pt>
                <c:pt idx="194">
                  <c:v>2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2</c:v>
                </c:pt>
                <c:pt idx="200">
                  <c:v>3</c:v>
                </c:pt>
                <c:pt idx="201">
                  <c:v>1</c:v>
                </c:pt>
                <c:pt idx="202">
                  <c:v>2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3</c:v>
                </c:pt>
                <c:pt idx="207">
                  <c:v>5</c:v>
                </c:pt>
                <c:pt idx="208">
                  <c:v>0</c:v>
                </c:pt>
                <c:pt idx="209">
                  <c:v>0</c:v>
                </c:pt>
                <c:pt idx="210">
                  <c:v>2</c:v>
                </c:pt>
                <c:pt idx="211">
                  <c:v>1</c:v>
                </c:pt>
                <c:pt idx="212">
                  <c:v>1</c:v>
                </c:pt>
                <c:pt idx="213">
                  <c:v>0</c:v>
                </c:pt>
                <c:pt idx="214">
                  <c:v>1</c:v>
                </c:pt>
                <c:pt idx="215">
                  <c:v>1</c:v>
                </c:pt>
                <c:pt idx="216">
                  <c:v>2</c:v>
                </c:pt>
                <c:pt idx="217">
                  <c:v>0</c:v>
                </c:pt>
                <c:pt idx="218">
                  <c:v>4</c:v>
                </c:pt>
                <c:pt idx="219">
                  <c:v>0</c:v>
                </c:pt>
                <c:pt idx="220">
                  <c:v>2</c:v>
                </c:pt>
                <c:pt idx="221">
                  <c:v>2</c:v>
                </c:pt>
                <c:pt idx="222">
                  <c:v>2</c:v>
                </c:pt>
                <c:pt idx="223">
                  <c:v>1</c:v>
                </c:pt>
                <c:pt idx="224">
                  <c:v>2</c:v>
                </c:pt>
                <c:pt idx="225">
                  <c:v>3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3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3</c:v>
                </c:pt>
                <c:pt idx="243">
                  <c:v>1</c:v>
                </c:pt>
                <c:pt idx="244">
                  <c:v>1</c:v>
                </c:pt>
                <c:pt idx="245">
                  <c:v>2</c:v>
                </c:pt>
                <c:pt idx="246">
                  <c:v>3</c:v>
                </c:pt>
                <c:pt idx="247">
                  <c:v>4</c:v>
                </c:pt>
                <c:pt idx="248">
                  <c:v>2</c:v>
                </c:pt>
                <c:pt idx="249">
                  <c:v>1</c:v>
                </c:pt>
                <c:pt idx="250">
                  <c:v>2</c:v>
                </c:pt>
                <c:pt idx="251">
                  <c:v>2</c:v>
                </c:pt>
                <c:pt idx="252">
                  <c:v>2</c:v>
                </c:pt>
                <c:pt idx="253">
                  <c:v>1</c:v>
                </c:pt>
                <c:pt idx="254">
                  <c:v>2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5</c:v>
                </c:pt>
                <c:pt idx="260">
                  <c:v>3</c:v>
                </c:pt>
                <c:pt idx="261">
                  <c:v>2</c:v>
                </c:pt>
                <c:pt idx="262">
                  <c:v>5</c:v>
                </c:pt>
                <c:pt idx="263">
                  <c:v>5</c:v>
                </c:pt>
                <c:pt idx="264">
                  <c:v>2</c:v>
                </c:pt>
                <c:pt idx="265">
                  <c:v>2</c:v>
                </c:pt>
                <c:pt idx="266">
                  <c:v>1</c:v>
                </c:pt>
                <c:pt idx="267">
                  <c:v>2</c:v>
                </c:pt>
                <c:pt idx="268">
                  <c:v>1</c:v>
                </c:pt>
                <c:pt idx="269">
                  <c:v>3</c:v>
                </c:pt>
                <c:pt idx="270">
                  <c:v>2</c:v>
                </c:pt>
                <c:pt idx="271">
                  <c:v>1</c:v>
                </c:pt>
                <c:pt idx="272">
                  <c:v>1</c:v>
                </c:pt>
                <c:pt idx="273">
                  <c:v>2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2</c:v>
                </c:pt>
                <c:pt idx="278">
                  <c:v>1</c:v>
                </c:pt>
                <c:pt idx="279">
                  <c:v>2</c:v>
                </c:pt>
                <c:pt idx="280">
                  <c:v>1</c:v>
                </c:pt>
                <c:pt idx="281">
                  <c:v>4</c:v>
                </c:pt>
                <c:pt idx="282">
                  <c:v>3</c:v>
                </c:pt>
                <c:pt idx="283">
                  <c:v>3</c:v>
                </c:pt>
                <c:pt idx="284">
                  <c:v>2</c:v>
                </c:pt>
                <c:pt idx="285">
                  <c:v>1</c:v>
                </c:pt>
                <c:pt idx="286">
                  <c:v>1</c:v>
                </c:pt>
                <c:pt idx="287">
                  <c:v>0</c:v>
                </c:pt>
                <c:pt idx="288">
                  <c:v>0</c:v>
                </c:pt>
                <c:pt idx="289">
                  <c:v>1</c:v>
                </c:pt>
                <c:pt idx="290">
                  <c:v>3</c:v>
                </c:pt>
                <c:pt idx="291">
                  <c:v>1</c:v>
                </c:pt>
                <c:pt idx="292">
                  <c:v>0</c:v>
                </c:pt>
                <c:pt idx="293">
                  <c:v>0</c:v>
                </c:pt>
                <c:pt idx="294">
                  <c:v>2</c:v>
                </c:pt>
                <c:pt idx="295">
                  <c:v>2</c:v>
                </c:pt>
                <c:pt idx="296">
                  <c:v>2</c:v>
                </c:pt>
                <c:pt idx="297">
                  <c:v>0</c:v>
                </c:pt>
                <c:pt idx="298">
                  <c:v>2</c:v>
                </c:pt>
                <c:pt idx="299">
                  <c:v>2</c:v>
                </c:pt>
                <c:pt idx="300">
                  <c:v>3</c:v>
                </c:pt>
                <c:pt idx="301">
                  <c:v>3</c:v>
                </c:pt>
                <c:pt idx="302">
                  <c:v>3</c:v>
                </c:pt>
                <c:pt idx="303">
                  <c:v>2</c:v>
                </c:pt>
                <c:pt idx="304">
                  <c:v>0</c:v>
                </c:pt>
                <c:pt idx="305">
                  <c:v>2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3</c:v>
                </c:pt>
                <c:pt idx="320">
                  <c:v>2</c:v>
                </c:pt>
                <c:pt idx="321">
                  <c:v>3</c:v>
                </c:pt>
                <c:pt idx="322">
                  <c:v>1</c:v>
                </c:pt>
                <c:pt idx="323">
                  <c:v>5</c:v>
                </c:pt>
                <c:pt idx="324">
                  <c:v>1</c:v>
                </c:pt>
                <c:pt idx="325">
                  <c:v>1</c:v>
                </c:pt>
                <c:pt idx="326">
                  <c:v>3</c:v>
                </c:pt>
                <c:pt idx="327">
                  <c:v>3</c:v>
                </c:pt>
                <c:pt idx="328">
                  <c:v>1</c:v>
                </c:pt>
                <c:pt idx="329">
                  <c:v>2</c:v>
                </c:pt>
                <c:pt idx="330">
                  <c:v>1</c:v>
                </c:pt>
                <c:pt idx="331">
                  <c:v>1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1</c:v>
                </c:pt>
                <c:pt idx="337">
                  <c:v>4</c:v>
                </c:pt>
                <c:pt idx="338">
                  <c:v>3</c:v>
                </c:pt>
                <c:pt idx="339">
                  <c:v>3</c:v>
                </c:pt>
                <c:pt idx="340">
                  <c:v>3</c:v>
                </c:pt>
                <c:pt idx="341">
                  <c:v>3</c:v>
                </c:pt>
                <c:pt idx="342">
                  <c:v>3</c:v>
                </c:pt>
                <c:pt idx="343">
                  <c:v>1</c:v>
                </c:pt>
                <c:pt idx="344">
                  <c:v>2</c:v>
                </c:pt>
                <c:pt idx="345">
                  <c:v>3</c:v>
                </c:pt>
                <c:pt idx="346">
                  <c:v>2</c:v>
                </c:pt>
                <c:pt idx="347">
                  <c:v>2</c:v>
                </c:pt>
                <c:pt idx="348">
                  <c:v>3</c:v>
                </c:pt>
                <c:pt idx="349">
                  <c:v>2</c:v>
                </c:pt>
                <c:pt idx="350">
                  <c:v>2</c:v>
                </c:pt>
                <c:pt idx="351">
                  <c:v>2</c:v>
                </c:pt>
                <c:pt idx="352">
                  <c:v>5</c:v>
                </c:pt>
                <c:pt idx="353">
                  <c:v>2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0</c:v>
                </c:pt>
                <c:pt idx="358">
                  <c:v>0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3</c:v>
                </c:pt>
                <c:pt idx="363">
                  <c:v>0</c:v>
                </c:pt>
                <c:pt idx="364">
                  <c:v>3</c:v>
                </c:pt>
                <c:pt idx="365">
                  <c:v>1</c:v>
                </c:pt>
                <c:pt idx="366">
                  <c:v>3</c:v>
                </c:pt>
                <c:pt idx="367">
                  <c:v>2</c:v>
                </c:pt>
                <c:pt idx="368">
                  <c:v>0</c:v>
                </c:pt>
                <c:pt idx="369">
                  <c:v>1</c:v>
                </c:pt>
                <c:pt idx="370">
                  <c:v>0</c:v>
                </c:pt>
                <c:pt idx="371">
                  <c:v>1</c:v>
                </c:pt>
                <c:pt idx="372">
                  <c:v>1</c:v>
                </c:pt>
                <c:pt idx="373">
                  <c:v>3</c:v>
                </c:pt>
                <c:pt idx="374">
                  <c:v>0</c:v>
                </c:pt>
                <c:pt idx="375">
                  <c:v>4</c:v>
                </c:pt>
                <c:pt idx="376">
                  <c:v>3</c:v>
                </c:pt>
                <c:pt idx="377">
                  <c:v>2</c:v>
                </c:pt>
                <c:pt idx="378">
                  <c:v>3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2</c:v>
                </c:pt>
                <c:pt idx="393">
                  <c:v>3</c:v>
                </c:pt>
                <c:pt idx="394">
                  <c:v>5</c:v>
                </c:pt>
                <c:pt idx="395">
                  <c:v>3</c:v>
                </c:pt>
                <c:pt idx="396">
                  <c:v>2</c:v>
                </c:pt>
                <c:pt idx="397">
                  <c:v>3</c:v>
                </c:pt>
                <c:pt idx="398">
                  <c:v>1</c:v>
                </c:pt>
                <c:pt idx="399">
                  <c:v>1</c:v>
                </c:pt>
                <c:pt idx="400">
                  <c:v>2</c:v>
                </c:pt>
                <c:pt idx="401">
                  <c:v>3</c:v>
                </c:pt>
                <c:pt idx="402">
                  <c:v>4</c:v>
                </c:pt>
                <c:pt idx="403">
                  <c:v>2</c:v>
                </c:pt>
                <c:pt idx="404">
                  <c:v>2</c:v>
                </c:pt>
                <c:pt idx="405">
                  <c:v>1</c:v>
                </c:pt>
                <c:pt idx="406">
                  <c:v>2</c:v>
                </c:pt>
                <c:pt idx="407">
                  <c:v>3</c:v>
                </c:pt>
                <c:pt idx="408">
                  <c:v>1</c:v>
                </c:pt>
                <c:pt idx="409">
                  <c:v>2</c:v>
                </c:pt>
                <c:pt idx="410">
                  <c:v>2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1</c:v>
                </c:pt>
                <c:pt idx="415">
                  <c:v>5</c:v>
                </c:pt>
                <c:pt idx="416">
                  <c:v>4</c:v>
                </c:pt>
                <c:pt idx="417">
                  <c:v>5</c:v>
                </c:pt>
                <c:pt idx="418">
                  <c:v>3</c:v>
                </c:pt>
                <c:pt idx="419">
                  <c:v>3</c:v>
                </c:pt>
                <c:pt idx="420">
                  <c:v>2</c:v>
                </c:pt>
                <c:pt idx="421">
                  <c:v>1</c:v>
                </c:pt>
                <c:pt idx="422">
                  <c:v>2</c:v>
                </c:pt>
                <c:pt idx="423">
                  <c:v>2</c:v>
                </c:pt>
                <c:pt idx="424">
                  <c:v>2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3</c:v>
                </c:pt>
                <c:pt idx="429">
                  <c:v>1</c:v>
                </c:pt>
                <c:pt idx="430">
                  <c:v>1</c:v>
                </c:pt>
                <c:pt idx="431">
                  <c:v>0</c:v>
                </c:pt>
                <c:pt idx="432">
                  <c:v>1</c:v>
                </c:pt>
                <c:pt idx="433">
                  <c:v>1</c:v>
                </c:pt>
                <c:pt idx="434">
                  <c:v>5</c:v>
                </c:pt>
                <c:pt idx="435">
                  <c:v>2</c:v>
                </c:pt>
                <c:pt idx="436">
                  <c:v>0</c:v>
                </c:pt>
                <c:pt idx="437">
                  <c:v>2</c:v>
                </c:pt>
                <c:pt idx="438">
                  <c:v>2</c:v>
                </c:pt>
                <c:pt idx="439">
                  <c:v>0</c:v>
                </c:pt>
                <c:pt idx="440">
                  <c:v>4</c:v>
                </c:pt>
                <c:pt idx="441">
                  <c:v>2</c:v>
                </c:pt>
                <c:pt idx="442">
                  <c:v>5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2</c:v>
                </c:pt>
                <c:pt idx="460">
                  <c:v>1</c:v>
                </c:pt>
                <c:pt idx="461">
                  <c:v>1</c:v>
                </c:pt>
                <c:pt idx="462">
                  <c:v>3</c:v>
                </c:pt>
                <c:pt idx="463">
                  <c:v>3</c:v>
                </c:pt>
                <c:pt idx="464">
                  <c:v>2</c:v>
                </c:pt>
                <c:pt idx="465">
                  <c:v>1</c:v>
                </c:pt>
                <c:pt idx="466">
                  <c:v>2</c:v>
                </c:pt>
                <c:pt idx="467">
                  <c:v>1</c:v>
                </c:pt>
                <c:pt idx="468">
                  <c:v>1</c:v>
                </c:pt>
                <c:pt idx="469">
                  <c:v>2</c:v>
                </c:pt>
                <c:pt idx="470">
                  <c:v>0</c:v>
                </c:pt>
                <c:pt idx="471">
                  <c:v>3</c:v>
                </c:pt>
                <c:pt idx="472">
                  <c:v>2</c:v>
                </c:pt>
                <c:pt idx="473">
                  <c:v>2</c:v>
                </c:pt>
                <c:pt idx="474">
                  <c:v>2</c:v>
                </c:pt>
                <c:pt idx="475">
                  <c:v>1</c:v>
                </c:pt>
                <c:pt idx="476">
                  <c:v>2</c:v>
                </c:pt>
                <c:pt idx="477">
                  <c:v>2</c:v>
                </c:pt>
                <c:pt idx="478">
                  <c:v>3</c:v>
                </c:pt>
                <c:pt idx="479">
                  <c:v>1</c:v>
                </c:pt>
                <c:pt idx="480">
                  <c:v>1</c:v>
                </c:pt>
                <c:pt idx="481">
                  <c:v>3</c:v>
                </c:pt>
                <c:pt idx="482">
                  <c:v>2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3</c:v>
                </c:pt>
                <c:pt idx="487">
                  <c:v>2</c:v>
                </c:pt>
                <c:pt idx="488">
                  <c:v>1</c:v>
                </c:pt>
                <c:pt idx="489">
                  <c:v>1</c:v>
                </c:pt>
                <c:pt idx="490">
                  <c:v>3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1</c:v>
                </c:pt>
                <c:pt idx="498">
                  <c:v>2</c:v>
                </c:pt>
                <c:pt idx="499">
                  <c:v>1</c:v>
                </c:pt>
                <c:pt idx="500">
                  <c:v>5</c:v>
                </c:pt>
                <c:pt idx="501">
                  <c:v>3</c:v>
                </c:pt>
                <c:pt idx="502">
                  <c:v>0</c:v>
                </c:pt>
                <c:pt idx="503">
                  <c:v>0</c:v>
                </c:pt>
                <c:pt idx="504">
                  <c:v>3</c:v>
                </c:pt>
                <c:pt idx="505">
                  <c:v>3</c:v>
                </c:pt>
                <c:pt idx="506">
                  <c:v>3</c:v>
                </c:pt>
                <c:pt idx="507">
                  <c:v>3</c:v>
                </c:pt>
                <c:pt idx="508">
                  <c:v>1</c:v>
                </c:pt>
                <c:pt idx="509">
                  <c:v>1</c:v>
                </c:pt>
                <c:pt idx="510">
                  <c:v>2</c:v>
                </c:pt>
                <c:pt idx="511">
                  <c:v>1</c:v>
                </c:pt>
                <c:pt idx="512">
                  <c:v>1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1</c:v>
                </c:pt>
                <c:pt idx="519">
                  <c:v>2</c:v>
                </c:pt>
                <c:pt idx="520">
                  <c:v>2</c:v>
                </c:pt>
                <c:pt idx="521">
                  <c:v>1</c:v>
                </c:pt>
                <c:pt idx="522">
                  <c:v>1</c:v>
                </c:pt>
                <c:pt idx="523">
                  <c:v>5</c:v>
                </c:pt>
                <c:pt idx="524">
                  <c:v>1</c:v>
                </c:pt>
                <c:pt idx="525">
                  <c:v>2</c:v>
                </c:pt>
                <c:pt idx="526">
                  <c:v>2</c:v>
                </c:pt>
                <c:pt idx="527">
                  <c:v>0</c:v>
                </c:pt>
                <c:pt idx="528">
                  <c:v>0</c:v>
                </c:pt>
                <c:pt idx="529">
                  <c:v>1</c:v>
                </c:pt>
                <c:pt idx="530">
                  <c:v>4</c:v>
                </c:pt>
                <c:pt idx="531">
                  <c:v>2</c:v>
                </c:pt>
                <c:pt idx="532">
                  <c:v>2</c:v>
                </c:pt>
                <c:pt idx="533">
                  <c:v>2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1</c:v>
                </c:pt>
                <c:pt idx="551">
                  <c:v>2</c:v>
                </c:pt>
                <c:pt idx="552">
                  <c:v>1</c:v>
                </c:pt>
                <c:pt idx="553">
                  <c:v>1</c:v>
                </c:pt>
                <c:pt idx="554">
                  <c:v>5</c:v>
                </c:pt>
                <c:pt idx="555">
                  <c:v>3</c:v>
                </c:pt>
                <c:pt idx="556">
                  <c:v>3</c:v>
                </c:pt>
                <c:pt idx="557">
                  <c:v>1</c:v>
                </c:pt>
                <c:pt idx="558">
                  <c:v>2</c:v>
                </c:pt>
                <c:pt idx="559">
                  <c:v>1</c:v>
                </c:pt>
                <c:pt idx="560">
                  <c:v>2</c:v>
                </c:pt>
                <c:pt idx="561">
                  <c:v>3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4</c:v>
                </c:pt>
                <c:pt idx="569">
                  <c:v>4</c:v>
                </c:pt>
                <c:pt idx="570">
                  <c:v>3</c:v>
                </c:pt>
                <c:pt idx="571">
                  <c:v>3</c:v>
                </c:pt>
                <c:pt idx="572">
                  <c:v>1</c:v>
                </c:pt>
                <c:pt idx="573">
                  <c:v>2</c:v>
                </c:pt>
                <c:pt idx="574">
                  <c:v>1</c:v>
                </c:pt>
                <c:pt idx="575">
                  <c:v>3</c:v>
                </c:pt>
                <c:pt idx="576">
                  <c:v>1</c:v>
                </c:pt>
                <c:pt idx="577">
                  <c:v>2</c:v>
                </c:pt>
                <c:pt idx="578">
                  <c:v>1</c:v>
                </c:pt>
                <c:pt idx="579">
                  <c:v>1</c:v>
                </c:pt>
                <c:pt idx="580">
                  <c:v>2</c:v>
                </c:pt>
                <c:pt idx="581">
                  <c:v>2</c:v>
                </c:pt>
                <c:pt idx="582">
                  <c:v>3</c:v>
                </c:pt>
                <c:pt idx="583">
                  <c:v>3</c:v>
                </c:pt>
                <c:pt idx="584">
                  <c:v>1</c:v>
                </c:pt>
                <c:pt idx="585">
                  <c:v>2</c:v>
                </c:pt>
                <c:pt idx="586">
                  <c:v>3</c:v>
                </c:pt>
                <c:pt idx="587">
                  <c:v>1</c:v>
                </c:pt>
                <c:pt idx="588">
                  <c:v>0</c:v>
                </c:pt>
                <c:pt idx="589">
                  <c:v>0</c:v>
                </c:pt>
                <c:pt idx="590">
                  <c:v>2</c:v>
                </c:pt>
                <c:pt idx="591">
                  <c:v>2</c:v>
                </c:pt>
                <c:pt idx="592">
                  <c:v>2</c:v>
                </c:pt>
                <c:pt idx="593">
                  <c:v>0</c:v>
                </c:pt>
                <c:pt idx="594">
                  <c:v>0</c:v>
                </c:pt>
                <c:pt idx="595">
                  <c:v>4</c:v>
                </c:pt>
                <c:pt idx="596">
                  <c:v>2</c:v>
                </c:pt>
                <c:pt idx="597">
                  <c:v>3</c:v>
                </c:pt>
                <c:pt idx="598">
                  <c:v>1</c:v>
                </c:pt>
                <c:pt idx="599">
                  <c:v>1</c:v>
                </c:pt>
                <c:pt idx="600">
                  <c:v>3</c:v>
                </c:pt>
                <c:pt idx="601">
                  <c:v>3</c:v>
                </c:pt>
                <c:pt idx="602">
                  <c:v>3</c:v>
                </c:pt>
                <c:pt idx="603">
                  <c:v>0</c:v>
                </c:pt>
                <c:pt idx="604">
                  <c:v>1</c:v>
                </c:pt>
                <c:pt idx="605">
                  <c:v>1</c:v>
                </c:pt>
                <c:pt idx="606">
                  <c:v>5</c:v>
                </c:pt>
                <c:pt idx="607">
                  <c:v>3</c:v>
                </c:pt>
                <c:pt idx="608">
                  <c:v>2</c:v>
                </c:pt>
                <c:pt idx="609">
                  <c:v>2</c:v>
                </c:pt>
                <c:pt idx="610">
                  <c:v>0</c:v>
                </c:pt>
                <c:pt idx="611">
                  <c:v>0</c:v>
                </c:pt>
                <c:pt idx="612">
                  <c:v>2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2</c:v>
                </c:pt>
                <c:pt idx="622">
                  <c:v>2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3</c:v>
                </c:pt>
                <c:pt idx="628">
                  <c:v>0</c:v>
                </c:pt>
                <c:pt idx="629">
                  <c:v>0</c:v>
                </c:pt>
                <c:pt idx="630">
                  <c:v>2</c:v>
                </c:pt>
                <c:pt idx="631">
                  <c:v>2</c:v>
                </c:pt>
                <c:pt idx="632">
                  <c:v>4</c:v>
                </c:pt>
                <c:pt idx="633">
                  <c:v>2</c:v>
                </c:pt>
                <c:pt idx="634">
                  <c:v>2</c:v>
                </c:pt>
                <c:pt idx="635">
                  <c:v>2</c:v>
                </c:pt>
                <c:pt idx="636">
                  <c:v>2</c:v>
                </c:pt>
                <c:pt idx="637">
                  <c:v>2</c:v>
                </c:pt>
                <c:pt idx="638">
                  <c:v>0</c:v>
                </c:pt>
                <c:pt idx="639">
                  <c:v>1</c:v>
                </c:pt>
                <c:pt idx="640">
                  <c:v>0</c:v>
                </c:pt>
                <c:pt idx="641">
                  <c:v>2</c:v>
                </c:pt>
                <c:pt idx="642">
                  <c:v>1</c:v>
                </c:pt>
                <c:pt idx="643">
                  <c:v>1</c:v>
                </c:pt>
                <c:pt idx="644">
                  <c:v>0</c:v>
                </c:pt>
                <c:pt idx="645">
                  <c:v>0</c:v>
                </c:pt>
                <c:pt idx="646">
                  <c:v>3</c:v>
                </c:pt>
                <c:pt idx="647">
                  <c:v>2</c:v>
                </c:pt>
                <c:pt idx="648">
                  <c:v>3</c:v>
                </c:pt>
                <c:pt idx="649">
                  <c:v>2</c:v>
                </c:pt>
                <c:pt idx="650">
                  <c:v>2</c:v>
                </c:pt>
                <c:pt idx="651">
                  <c:v>0</c:v>
                </c:pt>
                <c:pt idx="652">
                  <c:v>2</c:v>
                </c:pt>
                <c:pt idx="653">
                  <c:v>2</c:v>
                </c:pt>
                <c:pt idx="654">
                  <c:v>1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4</c:v>
                </c:pt>
                <c:pt idx="659">
                  <c:v>2</c:v>
                </c:pt>
                <c:pt idx="660">
                  <c:v>3</c:v>
                </c:pt>
                <c:pt idx="661">
                  <c:v>1</c:v>
                </c:pt>
                <c:pt idx="662">
                  <c:v>5</c:v>
                </c:pt>
                <c:pt idx="663">
                  <c:v>0</c:v>
                </c:pt>
                <c:pt idx="664">
                  <c:v>0</c:v>
                </c:pt>
                <c:pt idx="665">
                  <c:v>1</c:v>
                </c:pt>
                <c:pt idx="666">
                  <c:v>2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1</c:v>
                </c:pt>
                <c:pt idx="702">
                  <c:v>1</c:v>
                </c:pt>
                <c:pt idx="703">
                  <c:v>3</c:v>
                </c:pt>
                <c:pt idx="704">
                  <c:v>5</c:v>
                </c:pt>
                <c:pt idx="705">
                  <c:v>2</c:v>
                </c:pt>
                <c:pt idx="706">
                  <c:v>1</c:v>
                </c:pt>
                <c:pt idx="707">
                  <c:v>2</c:v>
                </c:pt>
                <c:pt idx="708">
                  <c:v>2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3</c:v>
                </c:pt>
                <c:pt idx="715">
                  <c:v>1</c:v>
                </c:pt>
                <c:pt idx="716">
                  <c:v>2</c:v>
                </c:pt>
                <c:pt idx="717">
                  <c:v>2</c:v>
                </c:pt>
                <c:pt idx="718">
                  <c:v>2</c:v>
                </c:pt>
                <c:pt idx="719">
                  <c:v>2</c:v>
                </c:pt>
                <c:pt idx="720">
                  <c:v>5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2</c:v>
                </c:pt>
                <c:pt idx="730">
                  <c:v>4</c:v>
                </c:pt>
                <c:pt idx="731">
                  <c:v>4</c:v>
                </c:pt>
                <c:pt idx="732">
                  <c:v>3</c:v>
                </c:pt>
                <c:pt idx="733">
                  <c:v>4</c:v>
                </c:pt>
                <c:pt idx="734">
                  <c:v>3</c:v>
                </c:pt>
                <c:pt idx="735">
                  <c:v>2</c:v>
                </c:pt>
                <c:pt idx="736">
                  <c:v>3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2</c:v>
                </c:pt>
                <c:pt idx="741">
                  <c:v>3</c:v>
                </c:pt>
                <c:pt idx="742">
                  <c:v>2</c:v>
                </c:pt>
                <c:pt idx="743">
                  <c:v>2</c:v>
                </c:pt>
                <c:pt idx="744">
                  <c:v>1</c:v>
                </c:pt>
                <c:pt idx="745">
                  <c:v>1</c:v>
                </c:pt>
                <c:pt idx="746">
                  <c:v>3</c:v>
                </c:pt>
                <c:pt idx="747">
                  <c:v>3</c:v>
                </c:pt>
                <c:pt idx="748">
                  <c:v>2</c:v>
                </c:pt>
                <c:pt idx="749">
                  <c:v>2</c:v>
                </c:pt>
                <c:pt idx="750">
                  <c:v>2</c:v>
                </c:pt>
                <c:pt idx="751">
                  <c:v>5</c:v>
                </c:pt>
                <c:pt idx="752">
                  <c:v>5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2</c:v>
                </c:pt>
                <c:pt idx="757">
                  <c:v>4</c:v>
                </c:pt>
                <c:pt idx="758">
                  <c:v>2</c:v>
                </c:pt>
                <c:pt idx="759">
                  <c:v>3</c:v>
                </c:pt>
                <c:pt idx="760">
                  <c:v>2</c:v>
                </c:pt>
                <c:pt idx="761">
                  <c:v>2</c:v>
                </c:pt>
                <c:pt idx="762">
                  <c:v>2</c:v>
                </c:pt>
                <c:pt idx="763">
                  <c:v>1</c:v>
                </c:pt>
                <c:pt idx="764">
                  <c:v>3</c:v>
                </c:pt>
                <c:pt idx="765">
                  <c:v>1</c:v>
                </c:pt>
                <c:pt idx="766">
                  <c:v>3</c:v>
                </c:pt>
                <c:pt idx="767">
                  <c:v>2</c:v>
                </c:pt>
                <c:pt idx="768">
                  <c:v>2</c:v>
                </c:pt>
                <c:pt idx="769">
                  <c:v>3</c:v>
                </c:pt>
              </c:numCache>
            </c:numRef>
          </c:xVal>
          <c:yVal>
            <c:numRef>
              <c:f>gameandgrade!$J$2:$J$773</c:f>
              <c:numCache>
                <c:formatCode>0.00</c:formatCode>
                <c:ptCount val="772"/>
                <c:pt idx="0">
                  <c:v>6</c:v>
                </c:pt>
                <c:pt idx="1">
                  <c:v>60</c:v>
                </c:pt>
                <c:pt idx="2">
                  <c:v>36.5</c:v>
                </c:pt>
                <c:pt idx="3">
                  <c:v>40</c:v>
                </c:pt>
                <c:pt idx="4">
                  <c:v>40</c:v>
                </c:pt>
                <c:pt idx="5">
                  <c:v>40</c:v>
                </c:pt>
                <c:pt idx="6">
                  <c:v>80</c:v>
                </c:pt>
                <c:pt idx="7">
                  <c:v>85</c:v>
                </c:pt>
                <c:pt idx="8">
                  <c:v>85</c:v>
                </c:pt>
                <c:pt idx="9">
                  <c:v>86</c:v>
                </c:pt>
                <c:pt idx="10">
                  <c:v>90</c:v>
                </c:pt>
                <c:pt idx="11">
                  <c:v>90</c:v>
                </c:pt>
                <c:pt idx="12">
                  <c:v>90</c:v>
                </c:pt>
                <c:pt idx="13">
                  <c:v>42.35</c:v>
                </c:pt>
                <c:pt idx="14">
                  <c:v>42.5</c:v>
                </c:pt>
                <c:pt idx="15">
                  <c:v>90</c:v>
                </c:pt>
                <c:pt idx="16">
                  <c:v>97</c:v>
                </c:pt>
                <c:pt idx="17">
                  <c:v>45</c:v>
                </c:pt>
                <c:pt idx="18">
                  <c:v>45</c:v>
                </c:pt>
                <c:pt idx="19">
                  <c:v>97</c:v>
                </c:pt>
                <c:pt idx="20">
                  <c:v>98.5</c:v>
                </c:pt>
                <c:pt idx="21">
                  <c:v>45</c:v>
                </c:pt>
                <c:pt idx="22">
                  <c:v>45</c:v>
                </c:pt>
                <c:pt idx="23">
                  <c:v>45</c:v>
                </c:pt>
                <c:pt idx="24">
                  <c:v>45</c:v>
                </c:pt>
                <c:pt idx="25">
                  <c:v>45</c:v>
                </c:pt>
                <c:pt idx="26">
                  <c:v>45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46.5</c:v>
                </c:pt>
                <c:pt idx="31">
                  <c:v>100</c:v>
                </c:pt>
                <c:pt idx="32">
                  <c:v>100</c:v>
                </c:pt>
                <c:pt idx="33">
                  <c:v>50</c:v>
                </c:pt>
                <c:pt idx="34">
                  <c:v>50</c:v>
                </c:pt>
                <c:pt idx="35">
                  <c:v>50</c:v>
                </c:pt>
                <c:pt idx="36">
                  <c:v>50</c:v>
                </c:pt>
                <c:pt idx="37">
                  <c:v>50</c:v>
                </c:pt>
                <c:pt idx="38">
                  <c:v>50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50</c:v>
                </c:pt>
                <c:pt idx="47">
                  <c:v>50</c:v>
                </c:pt>
                <c:pt idx="48">
                  <c:v>50</c:v>
                </c:pt>
                <c:pt idx="49">
                  <c:v>50</c:v>
                </c:pt>
                <c:pt idx="50">
                  <c:v>50</c:v>
                </c:pt>
                <c:pt idx="51">
                  <c:v>50</c:v>
                </c:pt>
                <c:pt idx="52">
                  <c:v>50</c:v>
                </c:pt>
                <c:pt idx="53">
                  <c:v>50</c:v>
                </c:pt>
                <c:pt idx="54">
                  <c:v>50</c:v>
                </c:pt>
                <c:pt idx="55">
                  <c:v>50</c:v>
                </c:pt>
                <c:pt idx="56">
                  <c:v>50</c:v>
                </c:pt>
                <c:pt idx="57">
                  <c:v>50</c:v>
                </c:pt>
                <c:pt idx="58">
                  <c:v>50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  <c:pt idx="70">
                  <c:v>33</c:v>
                </c:pt>
                <c:pt idx="71">
                  <c:v>52</c:v>
                </c:pt>
                <c:pt idx="72">
                  <c:v>52</c:v>
                </c:pt>
                <c:pt idx="73">
                  <c:v>53</c:v>
                </c:pt>
                <c:pt idx="74">
                  <c:v>40</c:v>
                </c:pt>
                <c:pt idx="75">
                  <c:v>40</c:v>
                </c:pt>
                <c:pt idx="76">
                  <c:v>55</c:v>
                </c:pt>
                <c:pt idx="77">
                  <c:v>55</c:v>
                </c:pt>
                <c:pt idx="78">
                  <c:v>55</c:v>
                </c:pt>
                <c:pt idx="79">
                  <c:v>55</c:v>
                </c:pt>
                <c:pt idx="80">
                  <c:v>55</c:v>
                </c:pt>
                <c:pt idx="81">
                  <c:v>55</c:v>
                </c:pt>
                <c:pt idx="82">
                  <c:v>55</c:v>
                </c:pt>
                <c:pt idx="83">
                  <c:v>55</c:v>
                </c:pt>
                <c:pt idx="84">
                  <c:v>55</c:v>
                </c:pt>
                <c:pt idx="85">
                  <c:v>40</c:v>
                </c:pt>
                <c:pt idx="86">
                  <c:v>40</c:v>
                </c:pt>
                <c:pt idx="87">
                  <c:v>40</c:v>
                </c:pt>
                <c:pt idx="88">
                  <c:v>55</c:v>
                </c:pt>
                <c:pt idx="89">
                  <c:v>55</c:v>
                </c:pt>
                <c:pt idx="90">
                  <c:v>55</c:v>
                </c:pt>
                <c:pt idx="91">
                  <c:v>55</c:v>
                </c:pt>
                <c:pt idx="92">
                  <c:v>55</c:v>
                </c:pt>
                <c:pt idx="93">
                  <c:v>55</c:v>
                </c:pt>
                <c:pt idx="94">
                  <c:v>55</c:v>
                </c:pt>
                <c:pt idx="95">
                  <c:v>55</c:v>
                </c:pt>
                <c:pt idx="96">
                  <c:v>45</c:v>
                </c:pt>
                <c:pt idx="97">
                  <c:v>45</c:v>
                </c:pt>
                <c:pt idx="98">
                  <c:v>50</c:v>
                </c:pt>
                <c:pt idx="99">
                  <c:v>50</c:v>
                </c:pt>
                <c:pt idx="100">
                  <c:v>50</c:v>
                </c:pt>
                <c:pt idx="101">
                  <c:v>50</c:v>
                </c:pt>
                <c:pt idx="102">
                  <c:v>50</c:v>
                </c:pt>
                <c:pt idx="103">
                  <c:v>50</c:v>
                </c:pt>
                <c:pt idx="104">
                  <c:v>50</c:v>
                </c:pt>
                <c:pt idx="105">
                  <c:v>50</c:v>
                </c:pt>
                <c:pt idx="106">
                  <c:v>56</c:v>
                </c:pt>
                <c:pt idx="107">
                  <c:v>50.6</c:v>
                </c:pt>
                <c:pt idx="108">
                  <c:v>53</c:v>
                </c:pt>
                <c:pt idx="109">
                  <c:v>53</c:v>
                </c:pt>
                <c:pt idx="110">
                  <c:v>57.75</c:v>
                </c:pt>
                <c:pt idx="111">
                  <c:v>59</c:v>
                </c:pt>
                <c:pt idx="112">
                  <c:v>59.69</c:v>
                </c:pt>
                <c:pt idx="113">
                  <c:v>60</c:v>
                </c:pt>
                <c:pt idx="114">
                  <c:v>60</c:v>
                </c:pt>
                <c:pt idx="115">
                  <c:v>60</c:v>
                </c:pt>
                <c:pt idx="116">
                  <c:v>60</c:v>
                </c:pt>
                <c:pt idx="117">
                  <c:v>60</c:v>
                </c:pt>
                <c:pt idx="118">
                  <c:v>60</c:v>
                </c:pt>
                <c:pt idx="119">
                  <c:v>60</c:v>
                </c:pt>
                <c:pt idx="120">
                  <c:v>60</c:v>
                </c:pt>
                <c:pt idx="121">
                  <c:v>55</c:v>
                </c:pt>
                <c:pt idx="122">
                  <c:v>55</c:v>
                </c:pt>
                <c:pt idx="123">
                  <c:v>55</c:v>
                </c:pt>
                <c:pt idx="124">
                  <c:v>55</c:v>
                </c:pt>
                <c:pt idx="125">
                  <c:v>60</c:v>
                </c:pt>
                <c:pt idx="126">
                  <c:v>60</c:v>
                </c:pt>
                <c:pt idx="127">
                  <c:v>60</c:v>
                </c:pt>
                <c:pt idx="128">
                  <c:v>60</c:v>
                </c:pt>
                <c:pt idx="129">
                  <c:v>60</c:v>
                </c:pt>
                <c:pt idx="130">
                  <c:v>60</c:v>
                </c:pt>
                <c:pt idx="131">
                  <c:v>60</c:v>
                </c:pt>
                <c:pt idx="132">
                  <c:v>60</c:v>
                </c:pt>
                <c:pt idx="133">
                  <c:v>60</c:v>
                </c:pt>
                <c:pt idx="134">
                  <c:v>60</c:v>
                </c:pt>
                <c:pt idx="135">
                  <c:v>60</c:v>
                </c:pt>
                <c:pt idx="136">
                  <c:v>60</c:v>
                </c:pt>
                <c:pt idx="137">
                  <c:v>60</c:v>
                </c:pt>
                <c:pt idx="138">
                  <c:v>60</c:v>
                </c:pt>
                <c:pt idx="139">
                  <c:v>60</c:v>
                </c:pt>
                <c:pt idx="140">
                  <c:v>60</c:v>
                </c:pt>
                <c:pt idx="141">
                  <c:v>55</c:v>
                </c:pt>
                <c:pt idx="142">
                  <c:v>55.5</c:v>
                </c:pt>
                <c:pt idx="143">
                  <c:v>56</c:v>
                </c:pt>
                <c:pt idx="144">
                  <c:v>60</c:v>
                </c:pt>
                <c:pt idx="145">
                  <c:v>60</c:v>
                </c:pt>
                <c:pt idx="146">
                  <c:v>60</c:v>
                </c:pt>
                <c:pt idx="147">
                  <c:v>60.5</c:v>
                </c:pt>
                <c:pt idx="148">
                  <c:v>60.5</c:v>
                </c:pt>
                <c:pt idx="149">
                  <c:v>62</c:v>
                </c:pt>
                <c:pt idx="150">
                  <c:v>61</c:v>
                </c:pt>
                <c:pt idx="151">
                  <c:v>61</c:v>
                </c:pt>
                <c:pt idx="152">
                  <c:v>62</c:v>
                </c:pt>
                <c:pt idx="153">
                  <c:v>62</c:v>
                </c:pt>
                <c:pt idx="154">
                  <c:v>62</c:v>
                </c:pt>
                <c:pt idx="155">
                  <c:v>63</c:v>
                </c:pt>
                <c:pt idx="156">
                  <c:v>62</c:v>
                </c:pt>
                <c:pt idx="157">
                  <c:v>65</c:v>
                </c:pt>
                <c:pt idx="158">
                  <c:v>63</c:v>
                </c:pt>
                <c:pt idx="159">
                  <c:v>63</c:v>
                </c:pt>
                <c:pt idx="160">
                  <c:v>63</c:v>
                </c:pt>
                <c:pt idx="161">
                  <c:v>63</c:v>
                </c:pt>
                <c:pt idx="162">
                  <c:v>65</c:v>
                </c:pt>
                <c:pt idx="163">
                  <c:v>64</c:v>
                </c:pt>
                <c:pt idx="164">
                  <c:v>65</c:v>
                </c:pt>
                <c:pt idx="165">
                  <c:v>64.75</c:v>
                </c:pt>
                <c:pt idx="166">
                  <c:v>65</c:v>
                </c:pt>
                <c:pt idx="167">
                  <c:v>65</c:v>
                </c:pt>
                <c:pt idx="168">
                  <c:v>65</c:v>
                </c:pt>
                <c:pt idx="169">
                  <c:v>65</c:v>
                </c:pt>
                <c:pt idx="170">
                  <c:v>65</c:v>
                </c:pt>
                <c:pt idx="171">
                  <c:v>65</c:v>
                </c:pt>
                <c:pt idx="172">
                  <c:v>65</c:v>
                </c:pt>
                <c:pt idx="173">
                  <c:v>65</c:v>
                </c:pt>
                <c:pt idx="174">
                  <c:v>65</c:v>
                </c:pt>
                <c:pt idx="175">
                  <c:v>65</c:v>
                </c:pt>
                <c:pt idx="176">
                  <c:v>65.5</c:v>
                </c:pt>
                <c:pt idx="177">
                  <c:v>66</c:v>
                </c:pt>
                <c:pt idx="178">
                  <c:v>67</c:v>
                </c:pt>
                <c:pt idx="179">
                  <c:v>70</c:v>
                </c:pt>
                <c:pt idx="180">
                  <c:v>70</c:v>
                </c:pt>
                <c:pt idx="181">
                  <c:v>70</c:v>
                </c:pt>
                <c:pt idx="182">
                  <c:v>65</c:v>
                </c:pt>
                <c:pt idx="183">
                  <c:v>65</c:v>
                </c:pt>
                <c:pt idx="184">
                  <c:v>65</c:v>
                </c:pt>
                <c:pt idx="185">
                  <c:v>65</c:v>
                </c:pt>
                <c:pt idx="186">
                  <c:v>65</c:v>
                </c:pt>
                <c:pt idx="187">
                  <c:v>65</c:v>
                </c:pt>
                <c:pt idx="188">
                  <c:v>65</c:v>
                </c:pt>
                <c:pt idx="189">
                  <c:v>65</c:v>
                </c:pt>
                <c:pt idx="190">
                  <c:v>65</c:v>
                </c:pt>
                <c:pt idx="191">
                  <c:v>65</c:v>
                </c:pt>
                <c:pt idx="192">
                  <c:v>70</c:v>
                </c:pt>
                <c:pt idx="193">
                  <c:v>70</c:v>
                </c:pt>
                <c:pt idx="194">
                  <c:v>70</c:v>
                </c:pt>
                <c:pt idx="195">
                  <c:v>70</c:v>
                </c:pt>
                <c:pt idx="196">
                  <c:v>70</c:v>
                </c:pt>
                <c:pt idx="197">
                  <c:v>70</c:v>
                </c:pt>
                <c:pt idx="198">
                  <c:v>70</c:v>
                </c:pt>
                <c:pt idx="199">
                  <c:v>70</c:v>
                </c:pt>
                <c:pt idx="200">
                  <c:v>70</c:v>
                </c:pt>
                <c:pt idx="201">
                  <c:v>70</c:v>
                </c:pt>
                <c:pt idx="202">
                  <c:v>70</c:v>
                </c:pt>
                <c:pt idx="203">
                  <c:v>70</c:v>
                </c:pt>
                <c:pt idx="204">
                  <c:v>65.5</c:v>
                </c:pt>
                <c:pt idx="205">
                  <c:v>72.5</c:v>
                </c:pt>
                <c:pt idx="206">
                  <c:v>75</c:v>
                </c:pt>
                <c:pt idx="207">
                  <c:v>66</c:v>
                </c:pt>
                <c:pt idx="208">
                  <c:v>67</c:v>
                </c:pt>
                <c:pt idx="209">
                  <c:v>67</c:v>
                </c:pt>
                <c:pt idx="210">
                  <c:v>75</c:v>
                </c:pt>
                <c:pt idx="211">
                  <c:v>75</c:v>
                </c:pt>
                <c:pt idx="212">
                  <c:v>75</c:v>
                </c:pt>
                <c:pt idx="213">
                  <c:v>67</c:v>
                </c:pt>
                <c:pt idx="214">
                  <c:v>75</c:v>
                </c:pt>
                <c:pt idx="215">
                  <c:v>75.5</c:v>
                </c:pt>
                <c:pt idx="216">
                  <c:v>67.5</c:v>
                </c:pt>
                <c:pt idx="217">
                  <c:v>67.5</c:v>
                </c:pt>
                <c:pt idx="218">
                  <c:v>67.5</c:v>
                </c:pt>
                <c:pt idx="219">
                  <c:v>68</c:v>
                </c:pt>
                <c:pt idx="220">
                  <c:v>77</c:v>
                </c:pt>
                <c:pt idx="221">
                  <c:v>68</c:v>
                </c:pt>
                <c:pt idx="222">
                  <c:v>68</c:v>
                </c:pt>
                <c:pt idx="223">
                  <c:v>68</c:v>
                </c:pt>
                <c:pt idx="224">
                  <c:v>68</c:v>
                </c:pt>
                <c:pt idx="225">
                  <c:v>69</c:v>
                </c:pt>
                <c:pt idx="226">
                  <c:v>70</c:v>
                </c:pt>
                <c:pt idx="227">
                  <c:v>70</c:v>
                </c:pt>
                <c:pt idx="228">
                  <c:v>70</c:v>
                </c:pt>
                <c:pt idx="229">
                  <c:v>70</c:v>
                </c:pt>
                <c:pt idx="230">
                  <c:v>70</c:v>
                </c:pt>
                <c:pt idx="231">
                  <c:v>70</c:v>
                </c:pt>
                <c:pt idx="232">
                  <c:v>70</c:v>
                </c:pt>
                <c:pt idx="233">
                  <c:v>70</c:v>
                </c:pt>
                <c:pt idx="234">
                  <c:v>70</c:v>
                </c:pt>
                <c:pt idx="235">
                  <c:v>70</c:v>
                </c:pt>
                <c:pt idx="236">
                  <c:v>70</c:v>
                </c:pt>
                <c:pt idx="237">
                  <c:v>70</c:v>
                </c:pt>
                <c:pt idx="238">
                  <c:v>80</c:v>
                </c:pt>
                <c:pt idx="239">
                  <c:v>80</c:v>
                </c:pt>
                <c:pt idx="240">
                  <c:v>80</c:v>
                </c:pt>
                <c:pt idx="241">
                  <c:v>80</c:v>
                </c:pt>
                <c:pt idx="242">
                  <c:v>80</c:v>
                </c:pt>
                <c:pt idx="243">
                  <c:v>81</c:v>
                </c:pt>
                <c:pt idx="244">
                  <c:v>83</c:v>
                </c:pt>
                <c:pt idx="245">
                  <c:v>85</c:v>
                </c:pt>
                <c:pt idx="246">
                  <c:v>85</c:v>
                </c:pt>
                <c:pt idx="247">
                  <c:v>85</c:v>
                </c:pt>
                <c:pt idx="248">
                  <c:v>85.3</c:v>
                </c:pt>
                <c:pt idx="249">
                  <c:v>86</c:v>
                </c:pt>
                <c:pt idx="250">
                  <c:v>87</c:v>
                </c:pt>
                <c:pt idx="251">
                  <c:v>88</c:v>
                </c:pt>
                <c:pt idx="252">
                  <c:v>88</c:v>
                </c:pt>
                <c:pt idx="253">
                  <c:v>90</c:v>
                </c:pt>
                <c:pt idx="254">
                  <c:v>90</c:v>
                </c:pt>
                <c:pt idx="255">
                  <c:v>70</c:v>
                </c:pt>
                <c:pt idx="256">
                  <c:v>70</c:v>
                </c:pt>
                <c:pt idx="257">
                  <c:v>70</c:v>
                </c:pt>
                <c:pt idx="258">
                  <c:v>70</c:v>
                </c:pt>
                <c:pt idx="259">
                  <c:v>70</c:v>
                </c:pt>
                <c:pt idx="260">
                  <c:v>70</c:v>
                </c:pt>
                <c:pt idx="261">
                  <c:v>70</c:v>
                </c:pt>
                <c:pt idx="262">
                  <c:v>70</c:v>
                </c:pt>
                <c:pt idx="263">
                  <c:v>70</c:v>
                </c:pt>
                <c:pt idx="264">
                  <c:v>70</c:v>
                </c:pt>
                <c:pt idx="265">
                  <c:v>70</c:v>
                </c:pt>
                <c:pt idx="266">
                  <c:v>70</c:v>
                </c:pt>
                <c:pt idx="267">
                  <c:v>70</c:v>
                </c:pt>
                <c:pt idx="268">
                  <c:v>70</c:v>
                </c:pt>
                <c:pt idx="269">
                  <c:v>70</c:v>
                </c:pt>
                <c:pt idx="270">
                  <c:v>90</c:v>
                </c:pt>
                <c:pt idx="271">
                  <c:v>90</c:v>
                </c:pt>
                <c:pt idx="272">
                  <c:v>93</c:v>
                </c:pt>
                <c:pt idx="273">
                  <c:v>93</c:v>
                </c:pt>
                <c:pt idx="274">
                  <c:v>95</c:v>
                </c:pt>
                <c:pt idx="275">
                  <c:v>98</c:v>
                </c:pt>
                <c:pt idx="276">
                  <c:v>40</c:v>
                </c:pt>
                <c:pt idx="277">
                  <c:v>40</c:v>
                </c:pt>
                <c:pt idx="278">
                  <c:v>42.5</c:v>
                </c:pt>
                <c:pt idx="279">
                  <c:v>43</c:v>
                </c:pt>
                <c:pt idx="280">
                  <c:v>45</c:v>
                </c:pt>
                <c:pt idx="281">
                  <c:v>45.5</c:v>
                </c:pt>
                <c:pt idx="282">
                  <c:v>48</c:v>
                </c:pt>
                <c:pt idx="283">
                  <c:v>50</c:v>
                </c:pt>
                <c:pt idx="284">
                  <c:v>50</c:v>
                </c:pt>
                <c:pt idx="285">
                  <c:v>50</c:v>
                </c:pt>
                <c:pt idx="286">
                  <c:v>50</c:v>
                </c:pt>
                <c:pt idx="287">
                  <c:v>70.5</c:v>
                </c:pt>
                <c:pt idx="288">
                  <c:v>70.5</c:v>
                </c:pt>
                <c:pt idx="289">
                  <c:v>50</c:v>
                </c:pt>
                <c:pt idx="290">
                  <c:v>50</c:v>
                </c:pt>
                <c:pt idx="291">
                  <c:v>50</c:v>
                </c:pt>
                <c:pt idx="292">
                  <c:v>72</c:v>
                </c:pt>
                <c:pt idx="293">
                  <c:v>72</c:v>
                </c:pt>
                <c:pt idx="294">
                  <c:v>72</c:v>
                </c:pt>
                <c:pt idx="295">
                  <c:v>72</c:v>
                </c:pt>
                <c:pt idx="296">
                  <c:v>55</c:v>
                </c:pt>
                <c:pt idx="297">
                  <c:v>72.5</c:v>
                </c:pt>
                <c:pt idx="298">
                  <c:v>55</c:v>
                </c:pt>
                <c:pt idx="299">
                  <c:v>55.3</c:v>
                </c:pt>
                <c:pt idx="300">
                  <c:v>57</c:v>
                </c:pt>
                <c:pt idx="301">
                  <c:v>73</c:v>
                </c:pt>
                <c:pt idx="302">
                  <c:v>74</c:v>
                </c:pt>
                <c:pt idx="303">
                  <c:v>60</c:v>
                </c:pt>
                <c:pt idx="304">
                  <c:v>74</c:v>
                </c:pt>
                <c:pt idx="305">
                  <c:v>74</c:v>
                </c:pt>
                <c:pt idx="306">
                  <c:v>75</c:v>
                </c:pt>
                <c:pt idx="307">
                  <c:v>75</c:v>
                </c:pt>
                <c:pt idx="308">
                  <c:v>75</c:v>
                </c:pt>
                <c:pt idx="309">
                  <c:v>75</c:v>
                </c:pt>
                <c:pt idx="310">
                  <c:v>75</c:v>
                </c:pt>
                <c:pt idx="311">
                  <c:v>75</c:v>
                </c:pt>
                <c:pt idx="312">
                  <c:v>75</c:v>
                </c:pt>
                <c:pt idx="313">
                  <c:v>75</c:v>
                </c:pt>
                <c:pt idx="314">
                  <c:v>75</c:v>
                </c:pt>
                <c:pt idx="315">
                  <c:v>75</c:v>
                </c:pt>
                <c:pt idx="316">
                  <c:v>75</c:v>
                </c:pt>
                <c:pt idx="317">
                  <c:v>75</c:v>
                </c:pt>
                <c:pt idx="318">
                  <c:v>75</c:v>
                </c:pt>
                <c:pt idx="319">
                  <c:v>75</c:v>
                </c:pt>
                <c:pt idx="320">
                  <c:v>60</c:v>
                </c:pt>
                <c:pt idx="321">
                  <c:v>60</c:v>
                </c:pt>
                <c:pt idx="322">
                  <c:v>60</c:v>
                </c:pt>
                <c:pt idx="323">
                  <c:v>60</c:v>
                </c:pt>
                <c:pt idx="324">
                  <c:v>60</c:v>
                </c:pt>
                <c:pt idx="325">
                  <c:v>62</c:v>
                </c:pt>
                <c:pt idx="326">
                  <c:v>64</c:v>
                </c:pt>
                <c:pt idx="327">
                  <c:v>65</c:v>
                </c:pt>
                <c:pt idx="328">
                  <c:v>65</c:v>
                </c:pt>
                <c:pt idx="329">
                  <c:v>65</c:v>
                </c:pt>
                <c:pt idx="330">
                  <c:v>65</c:v>
                </c:pt>
                <c:pt idx="331">
                  <c:v>65</c:v>
                </c:pt>
                <c:pt idx="332">
                  <c:v>75</c:v>
                </c:pt>
                <c:pt idx="333">
                  <c:v>75</c:v>
                </c:pt>
                <c:pt idx="334">
                  <c:v>75</c:v>
                </c:pt>
                <c:pt idx="335">
                  <c:v>75</c:v>
                </c:pt>
                <c:pt idx="336">
                  <c:v>75</c:v>
                </c:pt>
                <c:pt idx="337">
                  <c:v>75</c:v>
                </c:pt>
                <c:pt idx="338">
                  <c:v>75</c:v>
                </c:pt>
                <c:pt idx="339">
                  <c:v>75</c:v>
                </c:pt>
                <c:pt idx="340">
                  <c:v>75</c:v>
                </c:pt>
                <c:pt idx="341">
                  <c:v>75</c:v>
                </c:pt>
                <c:pt idx="342">
                  <c:v>75</c:v>
                </c:pt>
                <c:pt idx="343">
                  <c:v>75</c:v>
                </c:pt>
                <c:pt idx="344">
                  <c:v>75</c:v>
                </c:pt>
                <c:pt idx="345">
                  <c:v>65</c:v>
                </c:pt>
                <c:pt idx="346">
                  <c:v>65</c:v>
                </c:pt>
                <c:pt idx="347">
                  <c:v>65</c:v>
                </c:pt>
                <c:pt idx="348">
                  <c:v>65</c:v>
                </c:pt>
                <c:pt idx="349">
                  <c:v>65</c:v>
                </c:pt>
                <c:pt idx="350">
                  <c:v>65</c:v>
                </c:pt>
                <c:pt idx="351">
                  <c:v>65</c:v>
                </c:pt>
                <c:pt idx="352">
                  <c:v>65</c:v>
                </c:pt>
                <c:pt idx="353">
                  <c:v>67</c:v>
                </c:pt>
                <c:pt idx="354">
                  <c:v>67</c:v>
                </c:pt>
                <c:pt idx="355">
                  <c:v>67.2</c:v>
                </c:pt>
                <c:pt idx="356">
                  <c:v>70</c:v>
                </c:pt>
                <c:pt idx="357">
                  <c:v>75.599999999999994</c:v>
                </c:pt>
                <c:pt idx="358">
                  <c:v>76</c:v>
                </c:pt>
                <c:pt idx="359">
                  <c:v>76</c:v>
                </c:pt>
                <c:pt idx="360">
                  <c:v>76</c:v>
                </c:pt>
                <c:pt idx="361">
                  <c:v>70</c:v>
                </c:pt>
                <c:pt idx="362">
                  <c:v>76.5</c:v>
                </c:pt>
                <c:pt idx="363">
                  <c:v>77</c:v>
                </c:pt>
                <c:pt idx="364">
                  <c:v>77</c:v>
                </c:pt>
                <c:pt idx="365">
                  <c:v>77</c:v>
                </c:pt>
                <c:pt idx="366">
                  <c:v>70</c:v>
                </c:pt>
                <c:pt idx="367">
                  <c:v>70</c:v>
                </c:pt>
                <c:pt idx="368">
                  <c:v>77.5</c:v>
                </c:pt>
                <c:pt idx="369">
                  <c:v>77.5</c:v>
                </c:pt>
                <c:pt idx="370">
                  <c:v>77.5</c:v>
                </c:pt>
                <c:pt idx="371">
                  <c:v>70</c:v>
                </c:pt>
                <c:pt idx="372">
                  <c:v>70</c:v>
                </c:pt>
                <c:pt idx="373">
                  <c:v>70</c:v>
                </c:pt>
                <c:pt idx="374">
                  <c:v>78.5</c:v>
                </c:pt>
                <c:pt idx="375">
                  <c:v>70</c:v>
                </c:pt>
                <c:pt idx="376">
                  <c:v>79</c:v>
                </c:pt>
                <c:pt idx="377">
                  <c:v>70</c:v>
                </c:pt>
                <c:pt idx="378">
                  <c:v>79.8</c:v>
                </c:pt>
                <c:pt idx="379">
                  <c:v>80</c:v>
                </c:pt>
                <c:pt idx="380">
                  <c:v>80</c:v>
                </c:pt>
                <c:pt idx="381">
                  <c:v>80</c:v>
                </c:pt>
                <c:pt idx="382">
                  <c:v>80</c:v>
                </c:pt>
                <c:pt idx="383">
                  <c:v>80</c:v>
                </c:pt>
                <c:pt idx="384">
                  <c:v>80</c:v>
                </c:pt>
                <c:pt idx="385">
                  <c:v>80</c:v>
                </c:pt>
                <c:pt idx="386">
                  <c:v>80</c:v>
                </c:pt>
                <c:pt idx="387">
                  <c:v>80</c:v>
                </c:pt>
                <c:pt idx="388">
                  <c:v>80</c:v>
                </c:pt>
                <c:pt idx="389">
                  <c:v>80</c:v>
                </c:pt>
                <c:pt idx="390">
                  <c:v>80</c:v>
                </c:pt>
                <c:pt idx="391">
                  <c:v>80</c:v>
                </c:pt>
                <c:pt idx="392">
                  <c:v>80</c:v>
                </c:pt>
                <c:pt idx="393">
                  <c:v>80</c:v>
                </c:pt>
                <c:pt idx="394">
                  <c:v>80</c:v>
                </c:pt>
                <c:pt idx="395">
                  <c:v>80</c:v>
                </c:pt>
                <c:pt idx="396">
                  <c:v>80</c:v>
                </c:pt>
                <c:pt idx="397">
                  <c:v>80</c:v>
                </c:pt>
                <c:pt idx="398">
                  <c:v>80</c:v>
                </c:pt>
                <c:pt idx="399">
                  <c:v>80</c:v>
                </c:pt>
                <c:pt idx="400">
                  <c:v>70</c:v>
                </c:pt>
                <c:pt idx="401">
                  <c:v>70</c:v>
                </c:pt>
                <c:pt idx="402">
                  <c:v>71</c:v>
                </c:pt>
                <c:pt idx="403">
                  <c:v>72.099999999999994</c:v>
                </c:pt>
                <c:pt idx="404">
                  <c:v>72.5</c:v>
                </c:pt>
                <c:pt idx="405">
                  <c:v>75</c:v>
                </c:pt>
                <c:pt idx="406">
                  <c:v>75</c:v>
                </c:pt>
                <c:pt idx="407">
                  <c:v>75</c:v>
                </c:pt>
                <c:pt idx="408">
                  <c:v>75</c:v>
                </c:pt>
                <c:pt idx="409">
                  <c:v>75</c:v>
                </c:pt>
                <c:pt idx="410">
                  <c:v>75</c:v>
                </c:pt>
                <c:pt idx="411">
                  <c:v>80</c:v>
                </c:pt>
                <c:pt idx="412">
                  <c:v>80</c:v>
                </c:pt>
                <c:pt idx="413">
                  <c:v>80</c:v>
                </c:pt>
                <c:pt idx="414">
                  <c:v>80</c:v>
                </c:pt>
                <c:pt idx="415">
                  <c:v>80</c:v>
                </c:pt>
                <c:pt idx="416">
                  <c:v>80</c:v>
                </c:pt>
                <c:pt idx="417">
                  <c:v>80</c:v>
                </c:pt>
                <c:pt idx="418">
                  <c:v>75</c:v>
                </c:pt>
                <c:pt idx="419">
                  <c:v>75</c:v>
                </c:pt>
                <c:pt idx="420">
                  <c:v>75</c:v>
                </c:pt>
                <c:pt idx="421">
                  <c:v>75</c:v>
                </c:pt>
                <c:pt idx="422">
                  <c:v>75</c:v>
                </c:pt>
                <c:pt idx="423">
                  <c:v>77</c:v>
                </c:pt>
                <c:pt idx="424">
                  <c:v>78</c:v>
                </c:pt>
                <c:pt idx="425">
                  <c:v>78</c:v>
                </c:pt>
                <c:pt idx="426">
                  <c:v>78</c:v>
                </c:pt>
                <c:pt idx="427">
                  <c:v>79</c:v>
                </c:pt>
                <c:pt idx="428">
                  <c:v>80</c:v>
                </c:pt>
                <c:pt idx="429">
                  <c:v>80</c:v>
                </c:pt>
                <c:pt idx="430">
                  <c:v>80.33</c:v>
                </c:pt>
                <c:pt idx="431">
                  <c:v>80.5</c:v>
                </c:pt>
                <c:pt idx="432">
                  <c:v>80</c:v>
                </c:pt>
                <c:pt idx="433">
                  <c:v>80</c:v>
                </c:pt>
                <c:pt idx="434">
                  <c:v>82</c:v>
                </c:pt>
                <c:pt idx="435">
                  <c:v>82</c:v>
                </c:pt>
                <c:pt idx="436">
                  <c:v>82.2</c:v>
                </c:pt>
                <c:pt idx="437">
                  <c:v>80</c:v>
                </c:pt>
                <c:pt idx="438">
                  <c:v>80</c:v>
                </c:pt>
                <c:pt idx="439">
                  <c:v>83</c:v>
                </c:pt>
                <c:pt idx="440">
                  <c:v>80</c:v>
                </c:pt>
                <c:pt idx="441">
                  <c:v>83.5</c:v>
                </c:pt>
                <c:pt idx="442">
                  <c:v>83.5</c:v>
                </c:pt>
                <c:pt idx="443">
                  <c:v>84</c:v>
                </c:pt>
                <c:pt idx="444">
                  <c:v>85</c:v>
                </c:pt>
                <c:pt idx="445">
                  <c:v>85</c:v>
                </c:pt>
                <c:pt idx="446">
                  <c:v>85</c:v>
                </c:pt>
                <c:pt idx="447">
                  <c:v>85</c:v>
                </c:pt>
                <c:pt idx="448">
                  <c:v>85</c:v>
                </c:pt>
                <c:pt idx="449">
                  <c:v>85</c:v>
                </c:pt>
                <c:pt idx="450">
                  <c:v>85</c:v>
                </c:pt>
                <c:pt idx="451">
                  <c:v>85</c:v>
                </c:pt>
                <c:pt idx="452">
                  <c:v>85</c:v>
                </c:pt>
                <c:pt idx="453">
                  <c:v>85</c:v>
                </c:pt>
                <c:pt idx="454">
                  <c:v>85</c:v>
                </c:pt>
                <c:pt idx="455">
                  <c:v>85</c:v>
                </c:pt>
                <c:pt idx="456">
                  <c:v>85</c:v>
                </c:pt>
                <c:pt idx="457">
                  <c:v>85</c:v>
                </c:pt>
                <c:pt idx="458">
                  <c:v>85</c:v>
                </c:pt>
                <c:pt idx="459">
                  <c:v>85</c:v>
                </c:pt>
                <c:pt idx="460">
                  <c:v>85</c:v>
                </c:pt>
                <c:pt idx="461">
                  <c:v>85</c:v>
                </c:pt>
                <c:pt idx="462">
                  <c:v>80</c:v>
                </c:pt>
                <c:pt idx="463">
                  <c:v>80</c:v>
                </c:pt>
                <c:pt idx="464">
                  <c:v>80</c:v>
                </c:pt>
                <c:pt idx="465">
                  <c:v>80</c:v>
                </c:pt>
                <c:pt idx="466">
                  <c:v>80</c:v>
                </c:pt>
                <c:pt idx="467">
                  <c:v>82.5</c:v>
                </c:pt>
                <c:pt idx="468">
                  <c:v>82.5</c:v>
                </c:pt>
                <c:pt idx="469">
                  <c:v>85</c:v>
                </c:pt>
                <c:pt idx="470">
                  <c:v>85</c:v>
                </c:pt>
                <c:pt idx="471">
                  <c:v>85</c:v>
                </c:pt>
                <c:pt idx="472">
                  <c:v>85</c:v>
                </c:pt>
                <c:pt idx="473">
                  <c:v>85</c:v>
                </c:pt>
                <c:pt idx="474">
                  <c:v>85</c:v>
                </c:pt>
                <c:pt idx="475">
                  <c:v>85</c:v>
                </c:pt>
                <c:pt idx="476">
                  <c:v>85</c:v>
                </c:pt>
                <c:pt idx="477">
                  <c:v>85</c:v>
                </c:pt>
                <c:pt idx="478">
                  <c:v>85</c:v>
                </c:pt>
                <c:pt idx="479">
                  <c:v>85</c:v>
                </c:pt>
                <c:pt idx="480">
                  <c:v>85</c:v>
                </c:pt>
                <c:pt idx="481">
                  <c:v>85</c:v>
                </c:pt>
                <c:pt idx="482">
                  <c:v>85</c:v>
                </c:pt>
                <c:pt idx="483">
                  <c:v>85</c:v>
                </c:pt>
                <c:pt idx="484">
                  <c:v>86</c:v>
                </c:pt>
                <c:pt idx="485">
                  <c:v>87</c:v>
                </c:pt>
                <c:pt idx="486">
                  <c:v>87</c:v>
                </c:pt>
                <c:pt idx="487">
                  <c:v>87</c:v>
                </c:pt>
                <c:pt idx="488">
                  <c:v>87</c:v>
                </c:pt>
                <c:pt idx="489">
                  <c:v>87</c:v>
                </c:pt>
                <c:pt idx="490">
                  <c:v>88</c:v>
                </c:pt>
                <c:pt idx="491">
                  <c:v>85.5</c:v>
                </c:pt>
                <c:pt idx="492">
                  <c:v>85.5</c:v>
                </c:pt>
                <c:pt idx="493">
                  <c:v>86</c:v>
                </c:pt>
                <c:pt idx="494">
                  <c:v>86</c:v>
                </c:pt>
                <c:pt idx="495">
                  <c:v>86</c:v>
                </c:pt>
                <c:pt idx="496">
                  <c:v>86</c:v>
                </c:pt>
                <c:pt idx="497">
                  <c:v>88</c:v>
                </c:pt>
                <c:pt idx="498">
                  <c:v>88</c:v>
                </c:pt>
                <c:pt idx="499">
                  <c:v>88</c:v>
                </c:pt>
                <c:pt idx="500">
                  <c:v>88</c:v>
                </c:pt>
                <c:pt idx="501">
                  <c:v>89</c:v>
                </c:pt>
                <c:pt idx="502">
                  <c:v>87</c:v>
                </c:pt>
                <c:pt idx="503">
                  <c:v>87</c:v>
                </c:pt>
                <c:pt idx="504">
                  <c:v>89</c:v>
                </c:pt>
                <c:pt idx="505">
                  <c:v>90</c:v>
                </c:pt>
                <c:pt idx="506">
                  <c:v>90</c:v>
                </c:pt>
                <c:pt idx="507">
                  <c:v>90</c:v>
                </c:pt>
                <c:pt idx="508">
                  <c:v>90</c:v>
                </c:pt>
                <c:pt idx="509">
                  <c:v>87</c:v>
                </c:pt>
                <c:pt idx="510">
                  <c:v>87</c:v>
                </c:pt>
                <c:pt idx="511">
                  <c:v>90</c:v>
                </c:pt>
                <c:pt idx="512">
                  <c:v>90</c:v>
                </c:pt>
                <c:pt idx="513">
                  <c:v>87.5</c:v>
                </c:pt>
                <c:pt idx="514">
                  <c:v>87.5</c:v>
                </c:pt>
                <c:pt idx="515">
                  <c:v>87.5</c:v>
                </c:pt>
                <c:pt idx="516">
                  <c:v>88</c:v>
                </c:pt>
                <c:pt idx="517">
                  <c:v>88</c:v>
                </c:pt>
                <c:pt idx="518">
                  <c:v>90</c:v>
                </c:pt>
                <c:pt idx="519">
                  <c:v>90</c:v>
                </c:pt>
                <c:pt idx="520">
                  <c:v>90</c:v>
                </c:pt>
                <c:pt idx="521">
                  <c:v>90.5</c:v>
                </c:pt>
                <c:pt idx="522">
                  <c:v>91</c:v>
                </c:pt>
                <c:pt idx="523">
                  <c:v>88</c:v>
                </c:pt>
                <c:pt idx="524">
                  <c:v>92.5</c:v>
                </c:pt>
                <c:pt idx="525">
                  <c:v>93</c:v>
                </c:pt>
                <c:pt idx="526">
                  <c:v>93</c:v>
                </c:pt>
                <c:pt idx="527">
                  <c:v>89</c:v>
                </c:pt>
                <c:pt idx="528">
                  <c:v>89</c:v>
                </c:pt>
                <c:pt idx="529">
                  <c:v>89</c:v>
                </c:pt>
                <c:pt idx="530">
                  <c:v>89</c:v>
                </c:pt>
                <c:pt idx="531">
                  <c:v>93</c:v>
                </c:pt>
                <c:pt idx="532">
                  <c:v>95</c:v>
                </c:pt>
                <c:pt idx="533">
                  <c:v>95</c:v>
                </c:pt>
                <c:pt idx="534">
                  <c:v>90</c:v>
                </c:pt>
                <c:pt idx="535">
                  <c:v>90</c:v>
                </c:pt>
                <c:pt idx="536">
                  <c:v>90</c:v>
                </c:pt>
                <c:pt idx="537">
                  <c:v>90</c:v>
                </c:pt>
                <c:pt idx="538">
                  <c:v>90</c:v>
                </c:pt>
                <c:pt idx="539">
                  <c:v>90</c:v>
                </c:pt>
                <c:pt idx="540">
                  <c:v>90</c:v>
                </c:pt>
                <c:pt idx="541">
                  <c:v>90</c:v>
                </c:pt>
                <c:pt idx="542">
                  <c:v>90</c:v>
                </c:pt>
                <c:pt idx="543">
                  <c:v>90</c:v>
                </c:pt>
                <c:pt idx="544">
                  <c:v>90</c:v>
                </c:pt>
                <c:pt idx="545">
                  <c:v>90</c:v>
                </c:pt>
                <c:pt idx="546">
                  <c:v>90</c:v>
                </c:pt>
                <c:pt idx="547">
                  <c:v>90</c:v>
                </c:pt>
                <c:pt idx="548">
                  <c:v>90</c:v>
                </c:pt>
                <c:pt idx="549">
                  <c:v>90</c:v>
                </c:pt>
                <c:pt idx="550">
                  <c:v>90</c:v>
                </c:pt>
                <c:pt idx="551">
                  <c:v>90</c:v>
                </c:pt>
                <c:pt idx="552">
                  <c:v>90</c:v>
                </c:pt>
                <c:pt idx="553">
                  <c:v>95</c:v>
                </c:pt>
                <c:pt idx="554">
                  <c:v>95</c:v>
                </c:pt>
                <c:pt idx="555">
                  <c:v>95.5</c:v>
                </c:pt>
                <c:pt idx="556">
                  <c:v>96</c:v>
                </c:pt>
                <c:pt idx="557">
                  <c:v>96.5</c:v>
                </c:pt>
                <c:pt idx="558">
                  <c:v>97</c:v>
                </c:pt>
                <c:pt idx="559">
                  <c:v>98</c:v>
                </c:pt>
                <c:pt idx="560">
                  <c:v>100</c:v>
                </c:pt>
                <c:pt idx="561">
                  <c:v>100</c:v>
                </c:pt>
                <c:pt idx="562">
                  <c:v>100</c:v>
                </c:pt>
                <c:pt idx="563">
                  <c:v>100</c:v>
                </c:pt>
                <c:pt idx="564">
                  <c:v>100</c:v>
                </c:pt>
                <c:pt idx="565">
                  <c:v>90</c:v>
                </c:pt>
                <c:pt idx="566">
                  <c:v>90</c:v>
                </c:pt>
                <c:pt idx="567">
                  <c:v>90</c:v>
                </c:pt>
                <c:pt idx="568">
                  <c:v>90</c:v>
                </c:pt>
                <c:pt idx="569">
                  <c:v>90</c:v>
                </c:pt>
                <c:pt idx="570">
                  <c:v>90</c:v>
                </c:pt>
                <c:pt idx="571">
                  <c:v>90</c:v>
                </c:pt>
                <c:pt idx="572">
                  <c:v>90</c:v>
                </c:pt>
                <c:pt idx="573">
                  <c:v>100</c:v>
                </c:pt>
                <c:pt idx="574">
                  <c:v>100</c:v>
                </c:pt>
                <c:pt idx="575">
                  <c:v>45</c:v>
                </c:pt>
                <c:pt idx="576">
                  <c:v>50</c:v>
                </c:pt>
                <c:pt idx="577">
                  <c:v>50</c:v>
                </c:pt>
                <c:pt idx="578">
                  <c:v>50</c:v>
                </c:pt>
                <c:pt idx="579">
                  <c:v>55</c:v>
                </c:pt>
                <c:pt idx="580">
                  <c:v>55</c:v>
                </c:pt>
                <c:pt idx="581">
                  <c:v>55.5</c:v>
                </c:pt>
                <c:pt idx="582">
                  <c:v>56.5</c:v>
                </c:pt>
                <c:pt idx="583">
                  <c:v>57</c:v>
                </c:pt>
                <c:pt idx="584">
                  <c:v>60</c:v>
                </c:pt>
                <c:pt idx="585">
                  <c:v>65</c:v>
                </c:pt>
                <c:pt idx="586">
                  <c:v>65</c:v>
                </c:pt>
                <c:pt idx="587">
                  <c:v>90.7</c:v>
                </c:pt>
                <c:pt idx="588">
                  <c:v>90.8</c:v>
                </c:pt>
                <c:pt idx="589">
                  <c:v>91</c:v>
                </c:pt>
                <c:pt idx="590">
                  <c:v>67</c:v>
                </c:pt>
                <c:pt idx="591">
                  <c:v>91</c:v>
                </c:pt>
                <c:pt idx="592">
                  <c:v>68</c:v>
                </c:pt>
                <c:pt idx="593">
                  <c:v>92</c:v>
                </c:pt>
                <c:pt idx="594">
                  <c:v>92</c:v>
                </c:pt>
                <c:pt idx="595">
                  <c:v>92</c:v>
                </c:pt>
                <c:pt idx="596">
                  <c:v>92</c:v>
                </c:pt>
                <c:pt idx="597">
                  <c:v>70</c:v>
                </c:pt>
                <c:pt idx="598">
                  <c:v>92.5</c:v>
                </c:pt>
                <c:pt idx="599">
                  <c:v>70</c:v>
                </c:pt>
                <c:pt idx="600">
                  <c:v>92.5</c:v>
                </c:pt>
                <c:pt idx="601">
                  <c:v>92.5</c:v>
                </c:pt>
                <c:pt idx="602">
                  <c:v>70</c:v>
                </c:pt>
                <c:pt idx="603">
                  <c:v>92.6</c:v>
                </c:pt>
                <c:pt idx="604">
                  <c:v>70</c:v>
                </c:pt>
                <c:pt idx="605">
                  <c:v>70</c:v>
                </c:pt>
                <c:pt idx="606">
                  <c:v>70</c:v>
                </c:pt>
                <c:pt idx="607">
                  <c:v>70</c:v>
                </c:pt>
                <c:pt idx="608">
                  <c:v>71</c:v>
                </c:pt>
                <c:pt idx="609">
                  <c:v>71</c:v>
                </c:pt>
                <c:pt idx="610">
                  <c:v>94</c:v>
                </c:pt>
                <c:pt idx="611">
                  <c:v>94</c:v>
                </c:pt>
                <c:pt idx="612">
                  <c:v>74</c:v>
                </c:pt>
                <c:pt idx="613">
                  <c:v>94.5</c:v>
                </c:pt>
                <c:pt idx="614">
                  <c:v>95</c:v>
                </c:pt>
                <c:pt idx="615">
                  <c:v>95</c:v>
                </c:pt>
                <c:pt idx="616">
                  <c:v>95</c:v>
                </c:pt>
                <c:pt idx="617">
                  <c:v>95</c:v>
                </c:pt>
                <c:pt idx="618">
                  <c:v>95</c:v>
                </c:pt>
                <c:pt idx="619">
                  <c:v>95</c:v>
                </c:pt>
                <c:pt idx="620">
                  <c:v>95</c:v>
                </c:pt>
                <c:pt idx="621">
                  <c:v>95</c:v>
                </c:pt>
                <c:pt idx="622">
                  <c:v>95</c:v>
                </c:pt>
                <c:pt idx="623">
                  <c:v>75</c:v>
                </c:pt>
                <c:pt idx="624">
                  <c:v>75</c:v>
                </c:pt>
                <c:pt idx="625">
                  <c:v>75</c:v>
                </c:pt>
                <c:pt idx="626">
                  <c:v>75</c:v>
                </c:pt>
                <c:pt idx="627">
                  <c:v>75</c:v>
                </c:pt>
                <c:pt idx="628">
                  <c:v>95</c:v>
                </c:pt>
                <c:pt idx="629">
                  <c:v>95</c:v>
                </c:pt>
                <c:pt idx="630">
                  <c:v>95</c:v>
                </c:pt>
                <c:pt idx="631">
                  <c:v>95</c:v>
                </c:pt>
                <c:pt idx="632">
                  <c:v>95</c:v>
                </c:pt>
                <c:pt idx="633">
                  <c:v>75</c:v>
                </c:pt>
                <c:pt idx="634">
                  <c:v>76</c:v>
                </c:pt>
                <c:pt idx="635">
                  <c:v>79</c:v>
                </c:pt>
                <c:pt idx="636">
                  <c:v>80</c:v>
                </c:pt>
                <c:pt idx="637">
                  <c:v>95.24</c:v>
                </c:pt>
                <c:pt idx="638">
                  <c:v>95.33</c:v>
                </c:pt>
                <c:pt idx="639">
                  <c:v>80</c:v>
                </c:pt>
                <c:pt idx="640">
                  <c:v>96</c:v>
                </c:pt>
                <c:pt idx="641">
                  <c:v>80.5</c:v>
                </c:pt>
                <c:pt idx="642">
                  <c:v>96.5</c:v>
                </c:pt>
                <c:pt idx="643">
                  <c:v>85</c:v>
                </c:pt>
                <c:pt idx="644">
                  <c:v>97</c:v>
                </c:pt>
                <c:pt idx="645">
                  <c:v>97</c:v>
                </c:pt>
                <c:pt idx="646">
                  <c:v>85</c:v>
                </c:pt>
                <c:pt idx="647">
                  <c:v>85</c:v>
                </c:pt>
                <c:pt idx="648">
                  <c:v>85</c:v>
                </c:pt>
                <c:pt idx="649">
                  <c:v>86.7</c:v>
                </c:pt>
                <c:pt idx="650">
                  <c:v>97.66</c:v>
                </c:pt>
                <c:pt idx="651">
                  <c:v>98</c:v>
                </c:pt>
                <c:pt idx="652">
                  <c:v>87</c:v>
                </c:pt>
                <c:pt idx="653">
                  <c:v>88</c:v>
                </c:pt>
                <c:pt idx="654">
                  <c:v>89.5</c:v>
                </c:pt>
                <c:pt idx="655">
                  <c:v>98</c:v>
                </c:pt>
                <c:pt idx="656">
                  <c:v>98</c:v>
                </c:pt>
                <c:pt idx="657">
                  <c:v>98</c:v>
                </c:pt>
                <c:pt idx="658">
                  <c:v>98</c:v>
                </c:pt>
                <c:pt idx="659">
                  <c:v>90</c:v>
                </c:pt>
                <c:pt idx="660">
                  <c:v>90</c:v>
                </c:pt>
                <c:pt idx="661">
                  <c:v>90</c:v>
                </c:pt>
                <c:pt idx="662">
                  <c:v>90</c:v>
                </c:pt>
                <c:pt idx="663">
                  <c:v>99</c:v>
                </c:pt>
                <c:pt idx="664">
                  <c:v>99</c:v>
                </c:pt>
                <c:pt idx="665">
                  <c:v>99</c:v>
                </c:pt>
                <c:pt idx="666">
                  <c:v>90</c:v>
                </c:pt>
                <c:pt idx="667">
                  <c:v>100</c:v>
                </c:pt>
                <c:pt idx="668">
                  <c:v>100</c:v>
                </c:pt>
                <c:pt idx="669">
                  <c:v>100</c:v>
                </c:pt>
                <c:pt idx="670">
                  <c:v>100</c:v>
                </c:pt>
                <c:pt idx="671">
                  <c:v>100</c:v>
                </c:pt>
                <c:pt idx="672">
                  <c:v>100</c:v>
                </c:pt>
                <c:pt idx="673">
                  <c:v>100</c:v>
                </c:pt>
                <c:pt idx="674">
                  <c:v>100</c:v>
                </c:pt>
                <c:pt idx="675">
                  <c:v>100</c:v>
                </c:pt>
                <c:pt idx="676">
                  <c:v>100</c:v>
                </c:pt>
                <c:pt idx="677">
                  <c:v>100</c:v>
                </c:pt>
                <c:pt idx="678">
                  <c:v>100</c:v>
                </c:pt>
                <c:pt idx="679">
                  <c:v>100</c:v>
                </c:pt>
                <c:pt idx="680">
                  <c:v>100</c:v>
                </c:pt>
                <c:pt idx="681">
                  <c:v>100</c:v>
                </c:pt>
                <c:pt idx="682">
                  <c:v>100</c:v>
                </c:pt>
                <c:pt idx="683">
                  <c:v>100</c:v>
                </c:pt>
                <c:pt idx="684">
                  <c:v>100</c:v>
                </c:pt>
                <c:pt idx="685">
                  <c:v>100</c:v>
                </c:pt>
                <c:pt idx="686">
                  <c:v>100</c:v>
                </c:pt>
                <c:pt idx="687">
                  <c:v>100</c:v>
                </c:pt>
                <c:pt idx="688">
                  <c:v>100</c:v>
                </c:pt>
                <c:pt idx="689">
                  <c:v>100</c:v>
                </c:pt>
                <c:pt idx="690">
                  <c:v>100</c:v>
                </c:pt>
                <c:pt idx="691">
                  <c:v>100</c:v>
                </c:pt>
                <c:pt idx="692">
                  <c:v>100</c:v>
                </c:pt>
                <c:pt idx="693">
                  <c:v>100</c:v>
                </c:pt>
                <c:pt idx="694">
                  <c:v>100</c:v>
                </c:pt>
                <c:pt idx="695">
                  <c:v>100</c:v>
                </c:pt>
                <c:pt idx="696">
                  <c:v>100</c:v>
                </c:pt>
                <c:pt idx="697">
                  <c:v>100</c:v>
                </c:pt>
                <c:pt idx="698">
                  <c:v>100</c:v>
                </c:pt>
                <c:pt idx="699">
                  <c:v>100</c:v>
                </c:pt>
                <c:pt idx="700">
                  <c:v>100</c:v>
                </c:pt>
                <c:pt idx="701">
                  <c:v>100</c:v>
                </c:pt>
                <c:pt idx="702">
                  <c:v>100</c:v>
                </c:pt>
                <c:pt idx="703">
                  <c:v>91</c:v>
                </c:pt>
                <c:pt idx="704">
                  <c:v>92</c:v>
                </c:pt>
                <c:pt idx="705">
                  <c:v>92.5</c:v>
                </c:pt>
                <c:pt idx="706">
                  <c:v>94.5</c:v>
                </c:pt>
                <c:pt idx="707">
                  <c:v>95</c:v>
                </c:pt>
                <c:pt idx="708">
                  <c:v>95</c:v>
                </c:pt>
                <c:pt idx="709">
                  <c:v>97.5</c:v>
                </c:pt>
                <c:pt idx="710">
                  <c:v>98</c:v>
                </c:pt>
                <c:pt idx="711">
                  <c:v>98</c:v>
                </c:pt>
                <c:pt idx="712">
                  <c:v>98</c:v>
                </c:pt>
                <c:pt idx="713">
                  <c:v>98.5</c:v>
                </c:pt>
                <c:pt idx="714">
                  <c:v>99</c:v>
                </c:pt>
                <c:pt idx="715">
                  <c:v>100</c:v>
                </c:pt>
                <c:pt idx="716">
                  <c:v>100</c:v>
                </c:pt>
                <c:pt idx="717">
                  <c:v>100</c:v>
                </c:pt>
                <c:pt idx="718">
                  <c:v>100</c:v>
                </c:pt>
                <c:pt idx="719">
                  <c:v>49.53</c:v>
                </c:pt>
                <c:pt idx="720">
                  <c:v>70</c:v>
                </c:pt>
                <c:pt idx="721">
                  <c:v>100</c:v>
                </c:pt>
                <c:pt idx="722">
                  <c:v>100</c:v>
                </c:pt>
                <c:pt idx="723">
                  <c:v>100</c:v>
                </c:pt>
                <c:pt idx="724">
                  <c:v>100</c:v>
                </c:pt>
                <c:pt idx="725">
                  <c:v>100</c:v>
                </c:pt>
                <c:pt idx="726">
                  <c:v>100</c:v>
                </c:pt>
                <c:pt idx="727">
                  <c:v>100</c:v>
                </c:pt>
                <c:pt idx="728">
                  <c:v>100</c:v>
                </c:pt>
                <c:pt idx="729">
                  <c:v>100</c:v>
                </c:pt>
                <c:pt idx="730">
                  <c:v>100</c:v>
                </c:pt>
                <c:pt idx="731">
                  <c:v>100</c:v>
                </c:pt>
                <c:pt idx="732">
                  <c:v>100</c:v>
                </c:pt>
                <c:pt idx="733">
                  <c:v>100</c:v>
                </c:pt>
                <c:pt idx="734">
                  <c:v>100</c:v>
                </c:pt>
                <c:pt idx="735">
                  <c:v>100</c:v>
                </c:pt>
                <c:pt idx="736">
                  <c:v>100</c:v>
                </c:pt>
                <c:pt idx="737">
                  <c:v>100</c:v>
                </c:pt>
                <c:pt idx="738">
                  <c:v>100</c:v>
                </c:pt>
                <c:pt idx="739">
                  <c:v>100</c:v>
                </c:pt>
                <c:pt idx="740">
                  <c:v>100</c:v>
                </c:pt>
                <c:pt idx="741">
                  <c:v>100</c:v>
                </c:pt>
                <c:pt idx="742">
                  <c:v>100</c:v>
                </c:pt>
                <c:pt idx="743">
                  <c:v>72.5</c:v>
                </c:pt>
                <c:pt idx="744">
                  <c:v>75</c:v>
                </c:pt>
                <c:pt idx="745">
                  <c:v>80</c:v>
                </c:pt>
                <c:pt idx="746">
                  <c:v>80</c:v>
                </c:pt>
                <c:pt idx="747">
                  <c:v>80</c:v>
                </c:pt>
                <c:pt idx="748">
                  <c:v>85</c:v>
                </c:pt>
                <c:pt idx="749">
                  <c:v>85</c:v>
                </c:pt>
                <c:pt idx="750">
                  <c:v>85</c:v>
                </c:pt>
                <c:pt idx="751">
                  <c:v>85</c:v>
                </c:pt>
                <c:pt idx="752">
                  <c:v>86</c:v>
                </c:pt>
                <c:pt idx="753">
                  <c:v>90</c:v>
                </c:pt>
                <c:pt idx="754">
                  <c:v>90</c:v>
                </c:pt>
                <c:pt idx="755">
                  <c:v>90</c:v>
                </c:pt>
                <c:pt idx="756">
                  <c:v>93.5</c:v>
                </c:pt>
                <c:pt idx="757">
                  <c:v>95</c:v>
                </c:pt>
                <c:pt idx="758">
                  <c:v>95</c:v>
                </c:pt>
                <c:pt idx="759">
                  <c:v>100</c:v>
                </c:pt>
                <c:pt idx="760">
                  <c:v>100</c:v>
                </c:pt>
                <c:pt idx="761">
                  <c:v>100</c:v>
                </c:pt>
                <c:pt idx="762">
                  <c:v>100</c:v>
                </c:pt>
                <c:pt idx="763">
                  <c:v>100</c:v>
                </c:pt>
                <c:pt idx="764">
                  <c:v>100</c:v>
                </c:pt>
                <c:pt idx="765">
                  <c:v>100</c:v>
                </c:pt>
                <c:pt idx="766">
                  <c:v>100</c:v>
                </c:pt>
                <c:pt idx="767">
                  <c:v>100</c:v>
                </c:pt>
                <c:pt idx="768">
                  <c:v>100</c:v>
                </c:pt>
                <c:pt idx="76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D9-414A-805D-DB6D37B900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6352912"/>
        <c:axId val="1166354640"/>
      </c:scatterChart>
      <c:valAx>
        <c:axId val="1166352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Часы игры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6354640"/>
        <c:crosses val="autoZero"/>
        <c:crossBetween val="midCat"/>
      </c:valAx>
      <c:valAx>
        <c:axId val="1166354640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Балл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6352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Зависимость игровой стаж</a:t>
            </a:r>
            <a:r>
              <a:rPr lang="en-US"/>
              <a:t>/</a:t>
            </a:r>
            <a:r>
              <a:rPr lang="ru-RU"/>
              <a:t>часы игры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gameandgrade!$I$1</c:f>
              <c:strCache>
                <c:ptCount val="1"/>
                <c:pt idx="0">
                  <c:v>Playing Hours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gameandgrade!$H$2:$H$1048576</c:f>
              <c:numCache>
                <c:formatCode>General</c:formatCode>
                <c:ptCount val="1048575"/>
                <c:pt idx="0">
                  <c:v>2</c:v>
                </c:pt>
                <c:pt idx="1">
                  <c:v>2</c:v>
                </c:pt>
                <c:pt idx="2">
                  <c:v>0</c:v>
                </c:pt>
                <c:pt idx="3">
                  <c:v>4</c:v>
                </c:pt>
                <c:pt idx="4">
                  <c:v>1</c:v>
                </c:pt>
                <c:pt idx="5">
                  <c:v>4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3</c:v>
                </c:pt>
                <c:pt idx="13">
                  <c:v>2</c:v>
                </c:pt>
                <c:pt idx="14">
                  <c:v>1</c:v>
                </c:pt>
                <c:pt idx="15">
                  <c:v>2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4</c:v>
                </c:pt>
                <c:pt idx="20">
                  <c:v>2</c:v>
                </c:pt>
                <c:pt idx="21">
                  <c:v>0</c:v>
                </c:pt>
                <c:pt idx="22">
                  <c:v>0</c:v>
                </c:pt>
                <c:pt idx="23">
                  <c:v>2</c:v>
                </c:pt>
                <c:pt idx="24">
                  <c:v>4</c:v>
                </c:pt>
                <c:pt idx="25">
                  <c:v>3</c:v>
                </c:pt>
                <c:pt idx="26">
                  <c:v>1</c:v>
                </c:pt>
                <c:pt idx="27">
                  <c:v>2</c:v>
                </c:pt>
                <c:pt idx="28">
                  <c:v>3</c:v>
                </c:pt>
                <c:pt idx="29">
                  <c:v>1</c:v>
                </c:pt>
                <c:pt idx="30">
                  <c:v>0</c:v>
                </c:pt>
                <c:pt idx="31">
                  <c:v>1</c:v>
                </c:pt>
                <c:pt idx="32">
                  <c:v>2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</c:v>
                </c:pt>
                <c:pt idx="38">
                  <c:v>3</c:v>
                </c:pt>
                <c:pt idx="39">
                  <c:v>4</c:v>
                </c:pt>
                <c:pt idx="40">
                  <c:v>2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3</c:v>
                </c:pt>
                <c:pt idx="49">
                  <c:v>4</c:v>
                </c:pt>
                <c:pt idx="50">
                  <c:v>1</c:v>
                </c:pt>
                <c:pt idx="51">
                  <c:v>4</c:v>
                </c:pt>
                <c:pt idx="52">
                  <c:v>4</c:v>
                </c:pt>
                <c:pt idx="53">
                  <c:v>1</c:v>
                </c:pt>
                <c:pt idx="54">
                  <c:v>2</c:v>
                </c:pt>
                <c:pt idx="55">
                  <c:v>4</c:v>
                </c:pt>
                <c:pt idx="56">
                  <c:v>2</c:v>
                </c:pt>
                <c:pt idx="57">
                  <c:v>1</c:v>
                </c:pt>
                <c:pt idx="58">
                  <c:v>2</c:v>
                </c:pt>
                <c:pt idx="59">
                  <c:v>2</c:v>
                </c:pt>
                <c:pt idx="60">
                  <c:v>3</c:v>
                </c:pt>
                <c:pt idx="61">
                  <c:v>4</c:v>
                </c:pt>
                <c:pt idx="62">
                  <c:v>1</c:v>
                </c:pt>
                <c:pt idx="63">
                  <c:v>1</c:v>
                </c:pt>
                <c:pt idx="64">
                  <c:v>4</c:v>
                </c:pt>
                <c:pt idx="65">
                  <c:v>1</c:v>
                </c:pt>
                <c:pt idx="66">
                  <c:v>3</c:v>
                </c:pt>
                <c:pt idx="67">
                  <c:v>3</c:v>
                </c:pt>
                <c:pt idx="68">
                  <c:v>4</c:v>
                </c:pt>
                <c:pt idx="69">
                  <c:v>4</c:v>
                </c:pt>
                <c:pt idx="70">
                  <c:v>2</c:v>
                </c:pt>
                <c:pt idx="71">
                  <c:v>1</c:v>
                </c:pt>
                <c:pt idx="72">
                  <c:v>3</c:v>
                </c:pt>
                <c:pt idx="73">
                  <c:v>0</c:v>
                </c:pt>
                <c:pt idx="74">
                  <c:v>2</c:v>
                </c:pt>
                <c:pt idx="75">
                  <c:v>3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3</c:v>
                </c:pt>
                <c:pt idx="82">
                  <c:v>3</c:v>
                </c:pt>
                <c:pt idx="83">
                  <c:v>1</c:v>
                </c:pt>
                <c:pt idx="84">
                  <c:v>1</c:v>
                </c:pt>
                <c:pt idx="85">
                  <c:v>3</c:v>
                </c:pt>
                <c:pt idx="86">
                  <c:v>1</c:v>
                </c:pt>
                <c:pt idx="87">
                  <c:v>2</c:v>
                </c:pt>
                <c:pt idx="88">
                  <c:v>2</c:v>
                </c:pt>
                <c:pt idx="89">
                  <c:v>4</c:v>
                </c:pt>
                <c:pt idx="90">
                  <c:v>1</c:v>
                </c:pt>
                <c:pt idx="91">
                  <c:v>4</c:v>
                </c:pt>
                <c:pt idx="92">
                  <c:v>4</c:v>
                </c:pt>
                <c:pt idx="93">
                  <c:v>1</c:v>
                </c:pt>
                <c:pt idx="94">
                  <c:v>4</c:v>
                </c:pt>
                <c:pt idx="95">
                  <c:v>1</c:v>
                </c:pt>
                <c:pt idx="96">
                  <c:v>1</c:v>
                </c:pt>
                <c:pt idx="97">
                  <c:v>4</c:v>
                </c:pt>
                <c:pt idx="98">
                  <c:v>1</c:v>
                </c:pt>
                <c:pt idx="99">
                  <c:v>1</c:v>
                </c:pt>
                <c:pt idx="100">
                  <c:v>3</c:v>
                </c:pt>
                <c:pt idx="101">
                  <c:v>4</c:v>
                </c:pt>
                <c:pt idx="102">
                  <c:v>3</c:v>
                </c:pt>
                <c:pt idx="103">
                  <c:v>4</c:v>
                </c:pt>
                <c:pt idx="104">
                  <c:v>2</c:v>
                </c:pt>
                <c:pt idx="105">
                  <c:v>3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1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1</c:v>
                </c:pt>
                <c:pt idx="120">
                  <c:v>1</c:v>
                </c:pt>
                <c:pt idx="121">
                  <c:v>2</c:v>
                </c:pt>
                <c:pt idx="122">
                  <c:v>3</c:v>
                </c:pt>
                <c:pt idx="123">
                  <c:v>2</c:v>
                </c:pt>
                <c:pt idx="124">
                  <c:v>3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3</c:v>
                </c:pt>
                <c:pt idx="132">
                  <c:v>4</c:v>
                </c:pt>
                <c:pt idx="133">
                  <c:v>4</c:v>
                </c:pt>
                <c:pt idx="134">
                  <c:v>3</c:v>
                </c:pt>
                <c:pt idx="135">
                  <c:v>4</c:v>
                </c:pt>
                <c:pt idx="136">
                  <c:v>3</c:v>
                </c:pt>
                <c:pt idx="137">
                  <c:v>2</c:v>
                </c:pt>
                <c:pt idx="138">
                  <c:v>4</c:v>
                </c:pt>
                <c:pt idx="139">
                  <c:v>4</c:v>
                </c:pt>
                <c:pt idx="140">
                  <c:v>4</c:v>
                </c:pt>
                <c:pt idx="141">
                  <c:v>1</c:v>
                </c:pt>
                <c:pt idx="142">
                  <c:v>3</c:v>
                </c:pt>
                <c:pt idx="143">
                  <c:v>1</c:v>
                </c:pt>
                <c:pt idx="144">
                  <c:v>3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4</c:v>
                </c:pt>
                <c:pt idx="149">
                  <c:v>1</c:v>
                </c:pt>
                <c:pt idx="150">
                  <c:v>4</c:v>
                </c:pt>
                <c:pt idx="151">
                  <c:v>2</c:v>
                </c:pt>
                <c:pt idx="152">
                  <c:v>0</c:v>
                </c:pt>
                <c:pt idx="153">
                  <c:v>0</c:v>
                </c:pt>
                <c:pt idx="154">
                  <c:v>1</c:v>
                </c:pt>
                <c:pt idx="155">
                  <c:v>2</c:v>
                </c:pt>
                <c:pt idx="156">
                  <c:v>3</c:v>
                </c:pt>
                <c:pt idx="157">
                  <c:v>1</c:v>
                </c:pt>
                <c:pt idx="158">
                  <c:v>0</c:v>
                </c:pt>
                <c:pt idx="159">
                  <c:v>4</c:v>
                </c:pt>
                <c:pt idx="160">
                  <c:v>2</c:v>
                </c:pt>
                <c:pt idx="161">
                  <c:v>1</c:v>
                </c:pt>
                <c:pt idx="162">
                  <c:v>4</c:v>
                </c:pt>
                <c:pt idx="163">
                  <c:v>1</c:v>
                </c:pt>
                <c:pt idx="164">
                  <c:v>1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3</c:v>
                </c:pt>
                <c:pt idx="171">
                  <c:v>1</c:v>
                </c:pt>
                <c:pt idx="172">
                  <c:v>1</c:v>
                </c:pt>
                <c:pt idx="173">
                  <c:v>2</c:v>
                </c:pt>
                <c:pt idx="174">
                  <c:v>4</c:v>
                </c:pt>
                <c:pt idx="175">
                  <c:v>2</c:v>
                </c:pt>
                <c:pt idx="176">
                  <c:v>2</c:v>
                </c:pt>
                <c:pt idx="177">
                  <c:v>1</c:v>
                </c:pt>
                <c:pt idx="178">
                  <c:v>4</c:v>
                </c:pt>
                <c:pt idx="179">
                  <c:v>2</c:v>
                </c:pt>
                <c:pt idx="180">
                  <c:v>2</c:v>
                </c:pt>
                <c:pt idx="181">
                  <c:v>1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4</c:v>
                </c:pt>
                <c:pt idx="187">
                  <c:v>4</c:v>
                </c:pt>
                <c:pt idx="188">
                  <c:v>1</c:v>
                </c:pt>
                <c:pt idx="189">
                  <c:v>4</c:v>
                </c:pt>
                <c:pt idx="190">
                  <c:v>3</c:v>
                </c:pt>
                <c:pt idx="191">
                  <c:v>2</c:v>
                </c:pt>
                <c:pt idx="192">
                  <c:v>1</c:v>
                </c:pt>
                <c:pt idx="193">
                  <c:v>1</c:v>
                </c:pt>
                <c:pt idx="194">
                  <c:v>2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4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4</c:v>
                </c:pt>
                <c:pt idx="208">
                  <c:v>0</c:v>
                </c:pt>
                <c:pt idx="209">
                  <c:v>0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0</c:v>
                </c:pt>
                <c:pt idx="214">
                  <c:v>1</c:v>
                </c:pt>
                <c:pt idx="215">
                  <c:v>1</c:v>
                </c:pt>
                <c:pt idx="216">
                  <c:v>2</c:v>
                </c:pt>
                <c:pt idx="217">
                  <c:v>0</c:v>
                </c:pt>
                <c:pt idx="218">
                  <c:v>1</c:v>
                </c:pt>
                <c:pt idx="219">
                  <c:v>0</c:v>
                </c:pt>
                <c:pt idx="220">
                  <c:v>3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4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2</c:v>
                </c:pt>
                <c:pt idx="237">
                  <c:v>2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3</c:v>
                </c:pt>
                <c:pt idx="243">
                  <c:v>1</c:v>
                </c:pt>
                <c:pt idx="244">
                  <c:v>1</c:v>
                </c:pt>
                <c:pt idx="245">
                  <c:v>3</c:v>
                </c:pt>
                <c:pt idx="246">
                  <c:v>4</c:v>
                </c:pt>
                <c:pt idx="247">
                  <c:v>3</c:v>
                </c:pt>
                <c:pt idx="248">
                  <c:v>3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2</c:v>
                </c:pt>
                <c:pt idx="253">
                  <c:v>3</c:v>
                </c:pt>
                <c:pt idx="254">
                  <c:v>1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4</c:v>
                </c:pt>
                <c:pt idx="260">
                  <c:v>2</c:v>
                </c:pt>
                <c:pt idx="261">
                  <c:v>3</c:v>
                </c:pt>
                <c:pt idx="262">
                  <c:v>4</c:v>
                </c:pt>
                <c:pt idx="263">
                  <c:v>3</c:v>
                </c:pt>
                <c:pt idx="264">
                  <c:v>4</c:v>
                </c:pt>
                <c:pt idx="265">
                  <c:v>4</c:v>
                </c:pt>
                <c:pt idx="266">
                  <c:v>1</c:v>
                </c:pt>
                <c:pt idx="267">
                  <c:v>3</c:v>
                </c:pt>
                <c:pt idx="268">
                  <c:v>2</c:v>
                </c:pt>
                <c:pt idx="269">
                  <c:v>1</c:v>
                </c:pt>
                <c:pt idx="270">
                  <c:v>3</c:v>
                </c:pt>
                <c:pt idx="271">
                  <c:v>1</c:v>
                </c:pt>
                <c:pt idx="272">
                  <c:v>1</c:v>
                </c:pt>
                <c:pt idx="273">
                  <c:v>4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4</c:v>
                </c:pt>
                <c:pt idx="278">
                  <c:v>1</c:v>
                </c:pt>
                <c:pt idx="279">
                  <c:v>2</c:v>
                </c:pt>
                <c:pt idx="280">
                  <c:v>3</c:v>
                </c:pt>
                <c:pt idx="281">
                  <c:v>2</c:v>
                </c:pt>
                <c:pt idx="282">
                  <c:v>3</c:v>
                </c:pt>
                <c:pt idx="283">
                  <c:v>2</c:v>
                </c:pt>
                <c:pt idx="284">
                  <c:v>2</c:v>
                </c:pt>
                <c:pt idx="285">
                  <c:v>1</c:v>
                </c:pt>
                <c:pt idx="286">
                  <c:v>1</c:v>
                </c:pt>
                <c:pt idx="287">
                  <c:v>0</c:v>
                </c:pt>
                <c:pt idx="288">
                  <c:v>0</c:v>
                </c:pt>
                <c:pt idx="289">
                  <c:v>3</c:v>
                </c:pt>
                <c:pt idx="290">
                  <c:v>3</c:v>
                </c:pt>
                <c:pt idx="291">
                  <c:v>1</c:v>
                </c:pt>
                <c:pt idx="292">
                  <c:v>0</c:v>
                </c:pt>
                <c:pt idx="293">
                  <c:v>0</c:v>
                </c:pt>
                <c:pt idx="294">
                  <c:v>1</c:v>
                </c:pt>
                <c:pt idx="295">
                  <c:v>3</c:v>
                </c:pt>
                <c:pt idx="296">
                  <c:v>4</c:v>
                </c:pt>
                <c:pt idx="297">
                  <c:v>0</c:v>
                </c:pt>
                <c:pt idx="298">
                  <c:v>1</c:v>
                </c:pt>
                <c:pt idx="299">
                  <c:v>4</c:v>
                </c:pt>
                <c:pt idx="300">
                  <c:v>3</c:v>
                </c:pt>
                <c:pt idx="301">
                  <c:v>4</c:v>
                </c:pt>
                <c:pt idx="302">
                  <c:v>1</c:v>
                </c:pt>
                <c:pt idx="303">
                  <c:v>2</c:v>
                </c:pt>
                <c:pt idx="304">
                  <c:v>0</c:v>
                </c:pt>
                <c:pt idx="305">
                  <c:v>4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2</c:v>
                </c:pt>
                <c:pt idx="320">
                  <c:v>1</c:v>
                </c:pt>
                <c:pt idx="321">
                  <c:v>2</c:v>
                </c:pt>
                <c:pt idx="322">
                  <c:v>2</c:v>
                </c:pt>
                <c:pt idx="323">
                  <c:v>3</c:v>
                </c:pt>
                <c:pt idx="324">
                  <c:v>2</c:v>
                </c:pt>
                <c:pt idx="325">
                  <c:v>2</c:v>
                </c:pt>
                <c:pt idx="326">
                  <c:v>2</c:v>
                </c:pt>
                <c:pt idx="327">
                  <c:v>2</c:v>
                </c:pt>
                <c:pt idx="328">
                  <c:v>2</c:v>
                </c:pt>
                <c:pt idx="329">
                  <c:v>2</c:v>
                </c:pt>
                <c:pt idx="330">
                  <c:v>1</c:v>
                </c:pt>
                <c:pt idx="331">
                  <c:v>1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1</c:v>
                </c:pt>
                <c:pt idx="337">
                  <c:v>2</c:v>
                </c:pt>
                <c:pt idx="338">
                  <c:v>4</c:v>
                </c:pt>
                <c:pt idx="339">
                  <c:v>4</c:v>
                </c:pt>
                <c:pt idx="340">
                  <c:v>3</c:v>
                </c:pt>
                <c:pt idx="341">
                  <c:v>4</c:v>
                </c:pt>
                <c:pt idx="342">
                  <c:v>1</c:v>
                </c:pt>
                <c:pt idx="343">
                  <c:v>1</c:v>
                </c:pt>
                <c:pt idx="344">
                  <c:v>2</c:v>
                </c:pt>
                <c:pt idx="345">
                  <c:v>4</c:v>
                </c:pt>
                <c:pt idx="346">
                  <c:v>2</c:v>
                </c:pt>
                <c:pt idx="347">
                  <c:v>2</c:v>
                </c:pt>
                <c:pt idx="348">
                  <c:v>3</c:v>
                </c:pt>
                <c:pt idx="349">
                  <c:v>1</c:v>
                </c:pt>
                <c:pt idx="350">
                  <c:v>3</c:v>
                </c:pt>
                <c:pt idx="351">
                  <c:v>1</c:v>
                </c:pt>
                <c:pt idx="352">
                  <c:v>4</c:v>
                </c:pt>
                <c:pt idx="353">
                  <c:v>2</c:v>
                </c:pt>
                <c:pt idx="354">
                  <c:v>4</c:v>
                </c:pt>
                <c:pt idx="355">
                  <c:v>1</c:v>
                </c:pt>
                <c:pt idx="356">
                  <c:v>1</c:v>
                </c:pt>
                <c:pt idx="357">
                  <c:v>0</c:v>
                </c:pt>
                <c:pt idx="358">
                  <c:v>0</c:v>
                </c:pt>
                <c:pt idx="359">
                  <c:v>3</c:v>
                </c:pt>
                <c:pt idx="360">
                  <c:v>1</c:v>
                </c:pt>
                <c:pt idx="361">
                  <c:v>2</c:v>
                </c:pt>
                <c:pt idx="362">
                  <c:v>4</c:v>
                </c:pt>
                <c:pt idx="363">
                  <c:v>0</c:v>
                </c:pt>
                <c:pt idx="364">
                  <c:v>2</c:v>
                </c:pt>
                <c:pt idx="365">
                  <c:v>2</c:v>
                </c:pt>
                <c:pt idx="366">
                  <c:v>4</c:v>
                </c:pt>
                <c:pt idx="367">
                  <c:v>3</c:v>
                </c:pt>
                <c:pt idx="368">
                  <c:v>0</c:v>
                </c:pt>
                <c:pt idx="369">
                  <c:v>1</c:v>
                </c:pt>
                <c:pt idx="370">
                  <c:v>0</c:v>
                </c:pt>
                <c:pt idx="371">
                  <c:v>1</c:v>
                </c:pt>
                <c:pt idx="372">
                  <c:v>2</c:v>
                </c:pt>
                <c:pt idx="373">
                  <c:v>2</c:v>
                </c:pt>
                <c:pt idx="374">
                  <c:v>0</c:v>
                </c:pt>
                <c:pt idx="375">
                  <c:v>4</c:v>
                </c:pt>
                <c:pt idx="376">
                  <c:v>3</c:v>
                </c:pt>
                <c:pt idx="377">
                  <c:v>1</c:v>
                </c:pt>
                <c:pt idx="378">
                  <c:v>2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3</c:v>
                </c:pt>
                <c:pt idx="393">
                  <c:v>3</c:v>
                </c:pt>
                <c:pt idx="394">
                  <c:v>4</c:v>
                </c:pt>
                <c:pt idx="395">
                  <c:v>2</c:v>
                </c:pt>
                <c:pt idx="396">
                  <c:v>4</c:v>
                </c:pt>
                <c:pt idx="397">
                  <c:v>4</c:v>
                </c:pt>
                <c:pt idx="398">
                  <c:v>2</c:v>
                </c:pt>
                <c:pt idx="399">
                  <c:v>3</c:v>
                </c:pt>
                <c:pt idx="400">
                  <c:v>2</c:v>
                </c:pt>
                <c:pt idx="401">
                  <c:v>1</c:v>
                </c:pt>
                <c:pt idx="402">
                  <c:v>2</c:v>
                </c:pt>
                <c:pt idx="403">
                  <c:v>2</c:v>
                </c:pt>
                <c:pt idx="404">
                  <c:v>1</c:v>
                </c:pt>
                <c:pt idx="405">
                  <c:v>2</c:v>
                </c:pt>
                <c:pt idx="406">
                  <c:v>2</c:v>
                </c:pt>
                <c:pt idx="407">
                  <c:v>2</c:v>
                </c:pt>
                <c:pt idx="408">
                  <c:v>1</c:v>
                </c:pt>
                <c:pt idx="409">
                  <c:v>2</c:v>
                </c:pt>
                <c:pt idx="410">
                  <c:v>1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4</c:v>
                </c:pt>
                <c:pt idx="415">
                  <c:v>4</c:v>
                </c:pt>
                <c:pt idx="416">
                  <c:v>3</c:v>
                </c:pt>
                <c:pt idx="417">
                  <c:v>4</c:v>
                </c:pt>
                <c:pt idx="418">
                  <c:v>4</c:v>
                </c:pt>
                <c:pt idx="419">
                  <c:v>4</c:v>
                </c:pt>
                <c:pt idx="420">
                  <c:v>2</c:v>
                </c:pt>
                <c:pt idx="421">
                  <c:v>1</c:v>
                </c:pt>
                <c:pt idx="422">
                  <c:v>2</c:v>
                </c:pt>
                <c:pt idx="423">
                  <c:v>4</c:v>
                </c:pt>
                <c:pt idx="424">
                  <c:v>2</c:v>
                </c:pt>
                <c:pt idx="425">
                  <c:v>2</c:v>
                </c:pt>
                <c:pt idx="426">
                  <c:v>3</c:v>
                </c:pt>
                <c:pt idx="427">
                  <c:v>2</c:v>
                </c:pt>
                <c:pt idx="428">
                  <c:v>3</c:v>
                </c:pt>
                <c:pt idx="429">
                  <c:v>2</c:v>
                </c:pt>
                <c:pt idx="430">
                  <c:v>2</c:v>
                </c:pt>
                <c:pt idx="431">
                  <c:v>0</c:v>
                </c:pt>
                <c:pt idx="432">
                  <c:v>2</c:v>
                </c:pt>
                <c:pt idx="433">
                  <c:v>2</c:v>
                </c:pt>
                <c:pt idx="434">
                  <c:v>4</c:v>
                </c:pt>
                <c:pt idx="435">
                  <c:v>2</c:v>
                </c:pt>
                <c:pt idx="436">
                  <c:v>0</c:v>
                </c:pt>
                <c:pt idx="437">
                  <c:v>1</c:v>
                </c:pt>
                <c:pt idx="438">
                  <c:v>1</c:v>
                </c:pt>
                <c:pt idx="439">
                  <c:v>0</c:v>
                </c:pt>
                <c:pt idx="440">
                  <c:v>2</c:v>
                </c:pt>
                <c:pt idx="441">
                  <c:v>4</c:v>
                </c:pt>
                <c:pt idx="442">
                  <c:v>4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3</c:v>
                </c:pt>
                <c:pt idx="460">
                  <c:v>2</c:v>
                </c:pt>
                <c:pt idx="461">
                  <c:v>2</c:v>
                </c:pt>
                <c:pt idx="462">
                  <c:v>4</c:v>
                </c:pt>
                <c:pt idx="463">
                  <c:v>4</c:v>
                </c:pt>
                <c:pt idx="464">
                  <c:v>2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2</c:v>
                </c:pt>
                <c:pt idx="469">
                  <c:v>3</c:v>
                </c:pt>
                <c:pt idx="470">
                  <c:v>0</c:v>
                </c:pt>
                <c:pt idx="471">
                  <c:v>4</c:v>
                </c:pt>
                <c:pt idx="472">
                  <c:v>2</c:v>
                </c:pt>
                <c:pt idx="473">
                  <c:v>1</c:v>
                </c:pt>
                <c:pt idx="474">
                  <c:v>3</c:v>
                </c:pt>
                <c:pt idx="475">
                  <c:v>1</c:v>
                </c:pt>
                <c:pt idx="476">
                  <c:v>1</c:v>
                </c:pt>
                <c:pt idx="477">
                  <c:v>4</c:v>
                </c:pt>
                <c:pt idx="478">
                  <c:v>3</c:v>
                </c:pt>
                <c:pt idx="479">
                  <c:v>2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3</c:v>
                </c:pt>
                <c:pt idx="485">
                  <c:v>4</c:v>
                </c:pt>
                <c:pt idx="486">
                  <c:v>2</c:v>
                </c:pt>
                <c:pt idx="487">
                  <c:v>2</c:v>
                </c:pt>
                <c:pt idx="488">
                  <c:v>4</c:v>
                </c:pt>
                <c:pt idx="489">
                  <c:v>1</c:v>
                </c:pt>
                <c:pt idx="490">
                  <c:v>4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2</c:v>
                </c:pt>
                <c:pt idx="498">
                  <c:v>1</c:v>
                </c:pt>
                <c:pt idx="499">
                  <c:v>1</c:v>
                </c:pt>
                <c:pt idx="500">
                  <c:v>4</c:v>
                </c:pt>
                <c:pt idx="501">
                  <c:v>1</c:v>
                </c:pt>
                <c:pt idx="502">
                  <c:v>0</c:v>
                </c:pt>
                <c:pt idx="503">
                  <c:v>0</c:v>
                </c:pt>
                <c:pt idx="504">
                  <c:v>1</c:v>
                </c:pt>
                <c:pt idx="505">
                  <c:v>3</c:v>
                </c:pt>
                <c:pt idx="506">
                  <c:v>2</c:v>
                </c:pt>
                <c:pt idx="507">
                  <c:v>2</c:v>
                </c:pt>
                <c:pt idx="508">
                  <c:v>1</c:v>
                </c:pt>
                <c:pt idx="509">
                  <c:v>4</c:v>
                </c:pt>
                <c:pt idx="510">
                  <c:v>2</c:v>
                </c:pt>
                <c:pt idx="511">
                  <c:v>1</c:v>
                </c:pt>
                <c:pt idx="512">
                  <c:v>2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1</c:v>
                </c:pt>
                <c:pt idx="519">
                  <c:v>3</c:v>
                </c:pt>
                <c:pt idx="520">
                  <c:v>4</c:v>
                </c:pt>
                <c:pt idx="521">
                  <c:v>3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4</c:v>
                </c:pt>
                <c:pt idx="527">
                  <c:v>0</c:v>
                </c:pt>
                <c:pt idx="528">
                  <c:v>0</c:v>
                </c:pt>
                <c:pt idx="529">
                  <c:v>1</c:v>
                </c:pt>
                <c:pt idx="530">
                  <c:v>3</c:v>
                </c:pt>
                <c:pt idx="531">
                  <c:v>4</c:v>
                </c:pt>
                <c:pt idx="532">
                  <c:v>1</c:v>
                </c:pt>
                <c:pt idx="533">
                  <c:v>2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4</c:v>
                </c:pt>
                <c:pt idx="551">
                  <c:v>1</c:v>
                </c:pt>
                <c:pt idx="552">
                  <c:v>3</c:v>
                </c:pt>
                <c:pt idx="553">
                  <c:v>1</c:v>
                </c:pt>
                <c:pt idx="554">
                  <c:v>3</c:v>
                </c:pt>
                <c:pt idx="555">
                  <c:v>2</c:v>
                </c:pt>
                <c:pt idx="556">
                  <c:v>3</c:v>
                </c:pt>
                <c:pt idx="557">
                  <c:v>1</c:v>
                </c:pt>
                <c:pt idx="558">
                  <c:v>1</c:v>
                </c:pt>
                <c:pt idx="559">
                  <c:v>3</c:v>
                </c:pt>
                <c:pt idx="560">
                  <c:v>3</c:v>
                </c:pt>
                <c:pt idx="561">
                  <c:v>1</c:v>
                </c:pt>
                <c:pt idx="562">
                  <c:v>2</c:v>
                </c:pt>
                <c:pt idx="563">
                  <c:v>2</c:v>
                </c:pt>
                <c:pt idx="564">
                  <c:v>3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4</c:v>
                </c:pt>
                <c:pt idx="569">
                  <c:v>3</c:v>
                </c:pt>
                <c:pt idx="570">
                  <c:v>4</c:v>
                </c:pt>
                <c:pt idx="571">
                  <c:v>2</c:v>
                </c:pt>
                <c:pt idx="572">
                  <c:v>2</c:v>
                </c:pt>
                <c:pt idx="573">
                  <c:v>3</c:v>
                </c:pt>
                <c:pt idx="574">
                  <c:v>2</c:v>
                </c:pt>
                <c:pt idx="575">
                  <c:v>1</c:v>
                </c:pt>
                <c:pt idx="576">
                  <c:v>1</c:v>
                </c:pt>
                <c:pt idx="577">
                  <c:v>4</c:v>
                </c:pt>
                <c:pt idx="578">
                  <c:v>1</c:v>
                </c:pt>
                <c:pt idx="579">
                  <c:v>1</c:v>
                </c:pt>
                <c:pt idx="580">
                  <c:v>2</c:v>
                </c:pt>
                <c:pt idx="581">
                  <c:v>3</c:v>
                </c:pt>
                <c:pt idx="582">
                  <c:v>2</c:v>
                </c:pt>
                <c:pt idx="583">
                  <c:v>3</c:v>
                </c:pt>
                <c:pt idx="584">
                  <c:v>1</c:v>
                </c:pt>
                <c:pt idx="585">
                  <c:v>4</c:v>
                </c:pt>
                <c:pt idx="586">
                  <c:v>1</c:v>
                </c:pt>
                <c:pt idx="587">
                  <c:v>1</c:v>
                </c:pt>
                <c:pt idx="588">
                  <c:v>0</c:v>
                </c:pt>
                <c:pt idx="589">
                  <c:v>0</c:v>
                </c:pt>
                <c:pt idx="590">
                  <c:v>1</c:v>
                </c:pt>
                <c:pt idx="591">
                  <c:v>2</c:v>
                </c:pt>
                <c:pt idx="592">
                  <c:v>1</c:v>
                </c:pt>
                <c:pt idx="593">
                  <c:v>0</c:v>
                </c:pt>
                <c:pt idx="594">
                  <c:v>0</c:v>
                </c:pt>
                <c:pt idx="595">
                  <c:v>3</c:v>
                </c:pt>
                <c:pt idx="596">
                  <c:v>2</c:v>
                </c:pt>
                <c:pt idx="597">
                  <c:v>2</c:v>
                </c:pt>
                <c:pt idx="598">
                  <c:v>1</c:v>
                </c:pt>
                <c:pt idx="599">
                  <c:v>1</c:v>
                </c:pt>
                <c:pt idx="600">
                  <c:v>3</c:v>
                </c:pt>
                <c:pt idx="601">
                  <c:v>1</c:v>
                </c:pt>
                <c:pt idx="602">
                  <c:v>4</c:v>
                </c:pt>
                <c:pt idx="603">
                  <c:v>0</c:v>
                </c:pt>
                <c:pt idx="604">
                  <c:v>3</c:v>
                </c:pt>
                <c:pt idx="605">
                  <c:v>1</c:v>
                </c:pt>
                <c:pt idx="606">
                  <c:v>4</c:v>
                </c:pt>
                <c:pt idx="607">
                  <c:v>4</c:v>
                </c:pt>
                <c:pt idx="608">
                  <c:v>4</c:v>
                </c:pt>
                <c:pt idx="609">
                  <c:v>2</c:v>
                </c:pt>
                <c:pt idx="610">
                  <c:v>0</c:v>
                </c:pt>
                <c:pt idx="611">
                  <c:v>0</c:v>
                </c:pt>
                <c:pt idx="612">
                  <c:v>1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1</c:v>
                </c:pt>
                <c:pt idx="622">
                  <c:v>2</c:v>
                </c:pt>
                <c:pt idx="623">
                  <c:v>2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0</c:v>
                </c:pt>
                <c:pt idx="629">
                  <c:v>0</c:v>
                </c:pt>
                <c:pt idx="630">
                  <c:v>4</c:v>
                </c:pt>
                <c:pt idx="631">
                  <c:v>3</c:v>
                </c:pt>
                <c:pt idx="632">
                  <c:v>4</c:v>
                </c:pt>
                <c:pt idx="633">
                  <c:v>3</c:v>
                </c:pt>
                <c:pt idx="634">
                  <c:v>4</c:v>
                </c:pt>
                <c:pt idx="635">
                  <c:v>1</c:v>
                </c:pt>
                <c:pt idx="636">
                  <c:v>4</c:v>
                </c:pt>
                <c:pt idx="637">
                  <c:v>1</c:v>
                </c:pt>
                <c:pt idx="638">
                  <c:v>0</c:v>
                </c:pt>
                <c:pt idx="639">
                  <c:v>2</c:v>
                </c:pt>
                <c:pt idx="640">
                  <c:v>0</c:v>
                </c:pt>
                <c:pt idx="641">
                  <c:v>3</c:v>
                </c:pt>
                <c:pt idx="642">
                  <c:v>1</c:v>
                </c:pt>
                <c:pt idx="643">
                  <c:v>3</c:v>
                </c:pt>
                <c:pt idx="644">
                  <c:v>0</c:v>
                </c:pt>
                <c:pt idx="645">
                  <c:v>0</c:v>
                </c:pt>
                <c:pt idx="646">
                  <c:v>2</c:v>
                </c:pt>
                <c:pt idx="647">
                  <c:v>4</c:v>
                </c:pt>
                <c:pt idx="648">
                  <c:v>2</c:v>
                </c:pt>
                <c:pt idx="649">
                  <c:v>2</c:v>
                </c:pt>
                <c:pt idx="650">
                  <c:v>2</c:v>
                </c:pt>
                <c:pt idx="651">
                  <c:v>0</c:v>
                </c:pt>
                <c:pt idx="652">
                  <c:v>3</c:v>
                </c:pt>
                <c:pt idx="653">
                  <c:v>3</c:v>
                </c:pt>
                <c:pt idx="654">
                  <c:v>2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4</c:v>
                </c:pt>
                <c:pt idx="659">
                  <c:v>2</c:v>
                </c:pt>
                <c:pt idx="660">
                  <c:v>3</c:v>
                </c:pt>
                <c:pt idx="661">
                  <c:v>1</c:v>
                </c:pt>
                <c:pt idx="662">
                  <c:v>3</c:v>
                </c:pt>
                <c:pt idx="663">
                  <c:v>0</c:v>
                </c:pt>
                <c:pt idx="664">
                  <c:v>0</c:v>
                </c:pt>
                <c:pt idx="665">
                  <c:v>4</c:v>
                </c:pt>
                <c:pt idx="666">
                  <c:v>3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1</c:v>
                </c:pt>
                <c:pt idx="702">
                  <c:v>3</c:v>
                </c:pt>
                <c:pt idx="703">
                  <c:v>4</c:v>
                </c:pt>
                <c:pt idx="704">
                  <c:v>4</c:v>
                </c:pt>
                <c:pt idx="705">
                  <c:v>1</c:v>
                </c:pt>
                <c:pt idx="706">
                  <c:v>1</c:v>
                </c:pt>
                <c:pt idx="707">
                  <c:v>2</c:v>
                </c:pt>
                <c:pt idx="708">
                  <c:v>1</c:v>
                </c:pt>
                <c:pt idx="709">
                  <c:v>1</c:v>
                </c:pt>
                <c:pt idx="710">
                  <c:v>2</c:v>
                </c:pt>
                <c:pt idx="711">
                  <c:v>1</c:v>
                </c:pt>
                <c:pt idx="712">
                  <c:v>1</c:v>
                </c:pt>
                <c:pt idx="713">
                  <c:v>2</c:v>
                </c:pt>
                <c:pt idx="714">
                  <c:v>2</c:v>
                </c:pt>
                <c:pt idx="715">
                  <c:v>1</c:v>
                </c:pt>
                <c:pt idx="716">
                  <c:v>1</c:v>
                </c:pt>
                <c:pt idx="717">
                  <c:v>2</c:v>
                </c:pt>
                <c:pt idx="718">
                  <c:v>3</c:v>
                </c:pt>
                <c:pt idx="719">
                  <c:v>1</c:v>
                </c:pt>
                <c:pt idx="720">
                  <c:v>4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4</c:v>
                </c:pt>
                <c:pt idx="730">
                  <c:v>4</c:v>
                </c:pt>
                <c:pt idx="731">
                  <c:v>4</c:v>
                </c:pt>
                <c:pt idx="732">
                  <c:v>4</c:v>
                </c:pt>
                <c:pt idx="733">
                  <c:v>1</c:v>
                </c:pt>
                <c:pt idx="734">
                  <c:v>3</c:v>
                </c:pt>
                <c:pt idx="735">
                  <c:v>2</c:v>
                </c:pt>
                <c:pt idx="736">
                  <c:v>3</c:v>
                </c:pt>
                <c:pt idx="737">
                  <c:v>1</c:v>
                </c:pt>
                <c:pt idx="738">
                  <c:v>4</c:v>
                </c:pt>
                <c:pt idx="739">
                  <c:v>2</c:v>
                </c:pt>
                <c:pt idx="740">
                  <c:v>4</c:v>
                </c:pt>
                <c:pt idx="741">
                  <c:v>3</c:v>
                </c:pt>
                <c:pt idx="742">
                  <c:v>3</c:v>
                </c:pt>
                <c:pt idx="743">
                  <c:v>2</c:v>
                </c:pt>
                <c:pt idx="744">
                  <c:v>1</c:v>
                </c:pt>
                <c:pt idx="745">
                  <c:v>4</c:v>
                </c:pt>
                <c:pt idx="746">
                  <c:v>4</c:v>
                </c:pt>
                <c:pt idx="747">
                  <c:v>4</c:v>
                </c:pt>
                <c:pt idx="748">
                  <c:v>1</c:v>
                </c:pt>
                <c:pt idx="749">
                  <c:v>3</c:v>
                </c:pt>
                <c:pt idx="750">
                  <c:v>1</c:v>
                </c:pt>
                <c:pt idx="751">
                  <c:v>4</c:v>
                </c:pt>
                <c:pt idx="752">
                  <c:v>4</c:v>
                </c:pt>
                <c:pt idx="753">
                  <c:v>1</c:v>
                </c:pt>
                <c:pt idx="754">
                  <c:v>3</c:v>
                </c:pt>
                <c:pt idx="755">
                  <c:v>3</c:v>
                </c:pt>
                <c:pt idx="756">
                  <c:v>2</c:v>
                </c:pt>
                <c:pt idx="757">
                  <c:v>4</c:v>
                </c:pt>
                <c:pt idx="758">
                  <c:v>3</c:v>
                </c:pt>
                <c:pt idx="759">
                  <c:v>2</c:v>
                </c:pt>
                <c:pt idx="760">
                  <c:v>2</c:v>
                </c:pt>
                <c:pt idx="761">
                  <c:v>1</c:v>
                </c:pt>
                <c:pt idx="762">
                  <c:v>3</c:v>
                </c:pt>
                <c:pt idx="763">
                  <c:v>1</c:v>
                </c:pt>
                <c:pt idx="764">
                  <c:v>4</c:v>
                </c:pt>
                <c:pt idx="765">
                  <c:v>1</c:v>
                </c:pt>
                <c:pt idx="766">
                  <c:v>2</c:v>
                </c:pt>
                <c:pt idx="767">
                  <c:v>2</c:v>
                </c:pt>
                <c:pt idx="768">
                  <c:v>1</c:v>
                </c:pt>
                <c:pt idx="769">
                  <c:v>3</c:v>
                </c:pt>
              </c:numCache>
            </c:numRef>
          </c:xVal>
          <c:yVal>
            <c:numRef>
              <c:f>gameandgrade!$I$2:$I$1048576</c:f>
              <c:numCache>
                <c:formatCode>General</c:formatCode>
                <c:ptCount val="1048575"/>
                <c:pt idx="0">
                  <c:v>2</c:v>
                </c:pt>
                <c:pt idx="1">
                  <c:v>1</c:v>
                </c:pt>
                <c:pt idx="2">
                  <c:v>0</c:v>
                </c:pt>
                <c:pt idx="3">
                  <c:v>5</c:v>
                </c:pt>
                <c:pt idx="4">
                  <c:v>2</c:v>
                </c:pt>
                <c:pt idx="5">
                  <c:v>4</c:v>
                </c:pt>
                <c:pt idx="6">
                  <c:v>1</c:v>
                </c:pt>
                <c:pt idx="7">
                  <c:v>3</c:v>
                </c:pt>
                <c:pt idx="8">
                  <c:v>3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3</c:v>
                </c:pt>
                <c:pt idx="13">
                  <c:v>2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3</c:v>
                </c:pt>
                <c:pt idx="20">
                  <c:v>2</c:v>
                </c:pt>
                <c:pt idx="21">
                  <c:v>0</c:v>
                </c:pt>
                <c:pt idx="22">
                  <c:v>0</c:v>
                </c:pt>
                <c:pt idx="23">
                  <c:v>3</c:v>
                </c:pt>
                <c:pt idx="24">
                  <c:v>4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1</c:v>
                </c:pt>
                <c:pt idx="29">
                  <c:v>1</c:v>
                </c:pt>
                <c:pt idx="30">
                  <c:v>0</c:v>
                </c:pt>
                <c:pt idx="31">
                  <c:v>1</c:v>
                </c:pt>
                <c:pt idx="32">
                  <c:v>3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2</c:v>
                </c:pt>
                <c:pt idx="41">
                  <c:v>1</c:v>
                </c:pt>
                <c:pt idx="42">
                  <c:v>1</c:v>
                </c:pt>
                <c:pt idx="43">
                  <c:v>2</c:v>
                </c:pt>
                <c:pt idx="44">
                  <c:v>1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5</c:v>
                </c:pt>
                <c:pt idx="49">
                  <c:v>5</c:v>
                </c:pt>
                <c:pt idx="50">
                  <c:v>3</c:v>
                </c:pt>
                <c:pt idx="51">
                  <c:v>4</c:v>
                </c:pt>
                <c:pt idx="52">
                  <c:v>3</c:v>
                </c:pt>
                <c:pt idx="53">
                  <c:v>2</c:v>
                </c:pt>
                <c:pt idx="54">
                  <c:v>2</c:v>
                </c:pt>
                <c:pt idx="55">
                  <c:v>4</c:v>
                </c:pt>
                <c:pt idx="56">
                  <c:v>5</c:v>
                </c:pt>
                <c:pt idx="57">
                  <c:v>2</c:v>
                </c:pt>
                <c:pt idx="58">
                  <c:v>2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1</c:v>
                </c:pt>
                <c:pt idx="63">
                  <c:v>1</c:v>
                </c:pt>
                <c:pt idx="64">
                  <c:v>3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3</c:v>
                </c:pt>
                <c:pt idx="69">
                  <c:v>5</c:v>
                </c:pt>
                <c:pt idx="70">
                  <c:v>1</c:v>
                </c:pt>
                <c:pt idx="71">
                  <c:v>1</c:v>
                </c:pt>
                <c:pt idx="72">
                  <c:v>2</c:v>
                </c:pt>
                <c:pt idx="73">
                  <c:v>0</c:v>
                </c:pt>
                <c:pt idx="74">
                  <c:v>3</c:v>
                </c:pt>
                <c:pt idx="75">
                  <c:v>2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3</c:v>
                </c:pt>
                <c:pt idx="82">
                  <c:v>2</c:v>
                </c:pt>
                <c:pt idx="83">
                  <c:v>1</c:v>
                </c:pt>
                <c:pt idx="84">
                  <c:v>2</c:v>
                </c:pt>
                <c:pt idx="85">
                  <c:v>3</c:v>
                </c:pt>
                <c:pt idx="86">
                  <c:v>2</c:v>
                </c:pt>
                <c:pt idx="87">
                  <c:v>4</c:v>
                </c:pt>
                <c:pt idx="88">
                  <c:v>3</c:v>
                </c:pt>
                <c:pt idx="89">
                  <c:v>2</c:v>
                </c:pt>
                <c:pt idx="90">
                  <c:v>1</c:v>
                </c:pt>
                <c:pt idx="91">
                  <c:v>4</c:v>
                </c:pt>
                <c:pt idx="92">
                  <c:v>3</c:v>
                </c:pt>
                <c:pt idx="93">
                  <c:v>4</c:v>
                </c:pt>
                <c:pt idx="94">
                  <c:v>2</c:v>
                </c:pt>
                <c:pt idx="95">
                  <c:v>1</c:v>
                </c:pt>
                <c:pt idx="96">
                  <c:v>1</c:v>
                </c:pt>
                <c:pt idx="97">
                  <c:v>5</c:v>
                </c:pt>
                <c:pt idx="98">
                  <c:v>2</c:v>
                </c:pt>
                <c:pt idx="99">
                  <c:v>1</c:v>
                </c:pt>
                <c:pt idx="100">
                  <c:v>1</c:v>
                </c:pt>
                <c:pt idx="101">
                  <c:v>2</c:v>
                </c:pt>
                <c:pt idx="102">
                  <c:v>3</c:v>
                </c:pt>
                <c:pt idx="103">
                  <c:v>3</c:v>
                </c:pt>
                <c:pt idx="104">
                  <c:v>3</c:v>
                </c:pt>
                <c:pt idx="105">
                  <c:v>3</c:v>
                </c:pt>
                <c:pt idx="106">
                  <c:v>3</c:v>
                </c:pt>
                <c:pt idx="107">
                  <c:v>1</c:v>
                </c:pt>
                <c:pt idx="108">
                  <c:v>1</c:v>
                </c:pt>
                <c:pt idx="109">
                  <c:v>2</c:v>
                </c:pt>
                <c:pt idx="110">
                  <c:v>1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1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2</c:v>
                </c:pt>
                <c:pt idx="123">
                  <c:v>2</c:v>
                </c:pt>
                <c:pt idx="124">
                  <c:v>3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3</c:v>
                </c:pt>
                <c:pt idx="132">
                  <c:v>2</c:v>
                </c:pt>
                <c:pt idx="133">
                  <c:v>2</c:v>
                </c:pt>
                <c:pt idx="134">
                  <c:v>4</c:v>
                </c:pt>
                <c:pt idx="135">
                  <c:v>2</c:v>
                </c:pt>
                <c:pt idx="136">
                  <c:v>4</c:v>
                </c:pt>
                <c:pt idx="137">
                  <c:v>1</c:v>
                </c:pt>
                <c:pt idx="138">
                  <c:v>2</c:v>
                </c:pt>
                <c:pt idx="139">
                  <c:v>5</c:v>
                </c:pt>
                <c:pt idx="140">
                  <c:v>5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3</c:v>
                </c:pt>
                <c:pt idx="145">
                  <c:v>2</c:v>
                </c:pt>
                <c:pt idx="146">
                  <c:v>2</c:v>
                </c:pt>
                <c:pt idx="147">
                  <c:v>2</c:v>
                </c:pt>
                <c:pt idx="148">
                  <c:v>4</c:v>
                </c:pt>
                <c:pt idx="149">
                  <c:v>2</c:v>
                </c:pt>
                <c:pt idx="150">
                  <c:v>2</c:v>
                </c:pt>
                <c:pt idx="151">
                  <c:v>1</c:v>
                </c:pt>
                <c:pt idx="152">
                  <c:v>0</c:v>
                </c:pt>
                <c:pt idx="153">
                  <c:v>0</c:v>
                </c:pt>
                <c:pt idx="154">
                  <c:v>1</c:v>
                </c:pt>
                <c:pt idx="155">
                  <c:v>3</c:v>
                </c:pt>
                <c:pt idx="156">
                  <c:v>1</c:v>
                </c:pt>
                <c:pt idx="157">
                  <c:v>1</c:v>
                </c:pt>
                <c:pt idx="158">
                  <c:v>0</c:v>
                </c:pt>
                <c:pt idx="159">
                  <c:v>2</c:v>
                </c:pt>
                <c:pt idx="160">
                  <c:v>2</c:v>
                </c:pt>
                <c:pt idx="161">
                  <c:v>2</c:v>
                </c:pt>
                <c:pt idx="162">
                  <c:v>1</c:v>
                </c:pt>
                <c:pt idx="163">
                  <c:v>3</c:v>
                </c:pt>
                <c:pt idx="164">
                  <c:v>1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3</c:v>
                </c:pt>
                <c:pt idx="171">
                  <c:v>1</c:v>
                </c:pt>
                <c:pt idx="172">
                  <c:v>1</c:v>
                </c:pt>
                <c:pt idx="173">
                  <c:v>2</c:v>
                </c:pt>
                <c:pt idx="174">
                  <c:v>1</c:v>
                </c:pt>
                <c:pt idx="175">
                  <c:v>1</c:v>
                </c:pt>
                <c:pt idx="176">
                  <c:v>2</c:v>
                </c:pt>
                <c:pt idx="177">
                  <c:v>2</c:v>
                </c:pt>
                <c:pt idx="178">
                  <c:v>1</c:v>
                </c:pt>
                <c:pt idx="179">
                  <c:v>2</c:v>
                </c:pt>
                <c:pt idx="180">
                  <c:v>2</c:v>
                </c:pt>
                <c:pt idx="181">
                  <c:v>1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1</c:v>
                </c:pt>
                <c:pt idx="187">
                  <c:v>2</c:v>
                </c:pt>
                <c:pt idx="188">
                  <c:v>1</c:v>
                </c:pt>
                <c:pt idx="189">
                  <c:v>3</c:v>
                </c:pt>
                <c:pt idx="190">
                  <c:v>3</c:v>
                </c:pt>
                <c:pt idx="191">
                  <c:v>1</c:v>
                </c:pt>
                <c:pt idx="192">
                  <c:v>1</c:v>
                </c:pt>
                <c:pt idx="193">
                  <c:v>3</c:v>
                </c:pt>
                <c:pt idx="194">
                  <c:v>2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2</c:v>
                </c:pt>
                <c:pt idx="200">
                  <c:v>3</c:v>
                </c:pt>
                <c:pt idx="201">
                  <c:v>1</c:v>
                </c:pt>
                <c:pt idx="202">
                  <c:v>2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3</c:v>
                </c:pt>
                <c:pt idx="207">
                  <c:v>5</c:v>
                </c:pt>
                <c:pt idx="208">
                  <c:v>0</c:v>
                </c:pt>
                <c:pt idx="209">
                  <c:v>0</c:v>
                </c:pt>
                <c:pt idx="210">
                  <c:v>2</c:v>
                </c:pt>
                <c:pt idx="211">
                  <c:v>1</c:v>
                </c:pt>
                <c:pt idx="212">
                  <c:v>1</c:v>
                </c:pt>
                <c:pt idx="213">
                  <c:v>0</c:v>
                </c:pt>
                <c:pt idx="214">
                  <c:v>1</c:v>
                </c:pt>
                <c:pt idx="215">
                  <c:v>1</c:v>
                </c:pt>
                <c:pt idx="216">
                  <c:v>2</c:v>
                </c:pt>
                <c:pt idx="217">
                  <c:v>0</c:v>
                </c:pt>
                <c:pt idx="218">
                  <c:v>4</c:v>
                </c:pt>
                <c:pt idx="219">
                  <c:v>0</c:v>
                </c:pt>
                <c:pt idx="220">
                  <c:v>2</c:v>
                </c:pt>
                <c:pt idx="221">
                  <c:v>2</c:v>
                </c:pt>
                <c:pt idx="222">
                  <c:v>2</c:v>
                </c:pt>
                <c:pt idx="223">
                  <c:v>1</c:v>
                </c:pt>
                <c:pt idx="224">
                  <c:v>2</c:v>
                </c:pt>
                <c:pt idx="225">
                  <c:v>3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3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3</c:v>
                </c:pt>
                <c:pt idx="243">
                  <c:v>1</c:v>
                </c:pt>
                <c:pt idx="244">
                  <c:v>1</c:v>
                </c:pt>
                <c:pt idx="245">
                  <c:v>2</c:v>
                </c:pt>
                <c:pt idx="246">
                  <c:v>3</c:v>
                </c:pt>
                <c:pt idx="247">
                  <c:v>4</c:v>
                </c:pt>
                <c:pt idx="248">
                  <c:v>2</c:v>
                </c:pt>
                <c:pt idx="249">
                  <c:v>1</c:v>
                </c:pt>
                <c:pt idx="250">
                  <c:v>2</c:v>
                </c:pt>
                <c:pt idx="251">
                  <c:v>2</c:v>
                </c:pt>
                <c:pt idx="252">
                  <c:v>2</c:v>
                </c:pt>
                <c:pt idx="253">
                  <c:v>1</c:v>
                </c:pt>
                <c:pt idx="254">
                  <c:v>2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5</c:v>
                </c:pt>
                <c:pt idx="260">
                  <c:v>3</c:v>
                </c:pt>
                <c:pt idx="261">
                  <c:v>2</c:v>
                </c:pt>
                <c:pt idx="262">
                  <c:v>5</c:v>
                </c:pt>
                <c:pt idx="263">
                  <c:v>5</c:v>
                </c:pt>
                <c:pt idx="264">
                  <c:v>2</c:v>
                </c:pt>
                <c:pt idx="265">
                  <c:v>2</c:v>
                </c:pt>
                <c:pt idx="266">
                  <c:v>1</c:v>
                </c:pt>
                <c:pt idx="267">
                  <c:v>2</c:v>
                </c:pt>
                <c:pt idx="268">
                  <c:v>1</c:v>
                </c:pt>
                <c:pt idx="269">
                  <c:v>3</c:v>
                </c:pt>
                <c:pt idx="270">
                  <c:v>2</c:v>
                </c:pt>
                <c:pt idx="271">
                  <c:v>1</c:v>
                </c:pt>
                <c:pt idx="272">
                  <c:v>1</c:v>
                </c:pt>
                <c:pt idx="273">
                  <c:v>2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2</c:v>
                </c:pt>
                <c:pt idx="278">
                  <c:v>1</c:v>
                </c:pt>
                <c:pt idx="279">
                  <c:v>2</c:v>
                </c:pt>
                <c:pt idx="280">
                  <c:v>1</c:v>
                </c:pt>
                <c:pt idx="281">
                  <c:v>4</c:v>
                </c:pt>
                <c:pt idx="282">
                  <c:v>3</c:v>
                </c:pt>
                <c:pt idx="283">
                  <c:v>3</c:v>
                </c:pt>
                <c:pt idx="284">
                  <c:v>2</c:v>
                </c:pt>
                <c:pt idx="285">
                  <c:v>1</c:v>
                </c:pt>
                <c:pt idx="286">
                  <c:v>1</c:v>
                </c:pt>
                <c:pt idx="287">
                  <c:v>0</c:v>
                </c:pt>
                <c:pt idx="288">
                  <c:v>0</c:v>
                </c:pt>
                <c:pt idx="289">
                  <c:v>1</c:v>
                </c:pt>
                <c:pt idx="290">
                  <c:v>3</c:v>
                </c:pt>
                <c:pt idx="291">
                  <c:v>1</c:v>
                </c:pt>
                <c:pt idx="292">
                  <c:v>0</c:v>
                </c:pt>
                <c:pt idx="293">
                  <c:v>0</c:v>
                </c:pt>
                <c:pt idx="294">
                  <c:v>2</c:v>
                </c:pt>
                <c:pt idx="295">
                  <c:v>2</c:v>
                </c:pt>
                <c:pt idx="296">
                  <c:v>2</c:v>
                </c:pt>
                <c:pt idx="297">
                  <c:v>0</c:v>
                </c:pt>
                <c:pt idx="298">
                  <c:v>2</c:v>
                </c:pt>
                <c:pt idx="299">
                  <c:v>2</c:v>
                </c:pt>
                <c:pt idx="300">
                  <c:v>3</c:v>
                </c:pt>
                <c:pt idx="301">
                  <c:v>3</c:v>
                </c:pt>
                <c:pt idx="302">
                  <c:v>3</c:v>
                </c:pt>
                <c:pt idx="303">
                  <c:v>2</c:v>
                </c:pt>
                <c:pt idx="304">
                  <c:v>0</c:v>
                </c:pt>
                <c:pt idx="305">
                  <c:v>2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3</c:v>
                </c:pt>
                <c:pt idx="320">
                  <c:v>2</c:v>
                </c:pt>
                <c:pt idx="321">
                  <c:v>3</c:v>
                </c:pt>
                <c:pt idx="322">
                  <c:v>1</c:v>
                </c:pt>
                <c:pt idx="323">
                  <c:v>5</c:v>
                </c:pt>
                <c:pt idx="324">
                  <c:v>1</c:v>
                </c:pt>
                <c:pt idx="325">
                  <c:v>1</c:v>
                </c:pt>
                <c:pt idx="326">
                  <c:v>3</c:v>
                </c:pt>
                <c:pt idx="327">
                  <c:v>3</c:v>
                </c:pt>
                <c:pt idx="328">
                  <c:v>1</c:v>
                </c:pt>
                <c:pt idx="329">
                  <c:v>2</c:v>
                </c:pt>
                <c:pt idx="330">
                  <c:v>1</c:v>
                </c:pt>
                <c:pt idx="331">
                  <c:v>1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1</c:v>
                </c:pt>
                <c:pt idx="337">
                  <c:v>4</c:v>
                </c:pt>
                <c:pt idx="338">
                  <c:v>3</c:v>
                </c:pt>
                <c:pt idx="339">
                  <c:v>3</c:v>
                </c:pt>
                <c:pt idx="340">
                  <c:v>3</c:v>
                </c:pt>
                <c:pt idx="341">
                  <c:v>3</c:v>
                </c:pt>
                <c:pt idx="342">
                  <c:v>3</c:v>
                </c:pt>
                <c:pt idx="343">
                  <c:v>1</c:v>
                </c:pt>
                <c:pt idx="344">
                  <c:v>2</c:v>
                </c:pt>
                <c:pt idx="345">
                  <c:v>3</c:v>
                </c:pt>
                <c:pt idx="346">
                  <c:v>2</c:v>
                </c:pt>
                <c:pt idx="347">
                  <c:v>2</c:v>
                </c:pt>
                <c:pt idx="348">
                  <c:v>3</c:v>
                </c:pt>
                <c:pt idx="349">
                  <c:v>2</c:v>
                </c:pt>
                <c:pt idx="350">
                  <c:v>2</c:v>
                </c:pt>
                <c:pt idx="351">
                  <c:v>2</c:v>
                </c:pt>
                <c:pt idx="352">
                  <c:v>5</c:v>
                </c:pt>
                <c:pt idx="353">
                  <c:v>2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0</c:v>
                </c:pt>
                <c:pt idx="358">
                  <c:v>0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3</c:v>
                </c:pt>
                <c:pt idx="363">
                  <c:v>0</c:v>
                </c:pt>
                <c:pt idx="364">
                  <c:v>3</c:v>
                </c:pt>
                <c:pt idx="365">
                  <c:v>1</c:v>
                </c:pt>
                <c:pt idx="366">
                  <c:v>3</c:v>
                </c:pt>
                <c:pt idx="367">
                  <c:v>2</c:v>
                </c:pt>
                <c:pt idx="368">
                  <c:v>0</c:v>
                </c:pt>
                <c:pt idx="369">
                  <c:v>1</c:v>
                </c:pt>
                <c:pt idx="370">
                  <c:v>0</c:v>
                </c:pt>
                <c:pt idx="371">
                  <c:v>1</c:v>
                </c:pt>
                <c:pt idx="372">
                  <c:v>1</c:v>
                </c:pt>
                <c:pt idx="373">
                  <c:v>3</c:v>
                </c:pt>
                <c:pt idx="374">
                  <c:v>0</c:v>
                </c:pt>
                <c:pt idx="375">
                  <c:v>4</c:v>
                </c:pt>
                <c:pt idx="376">
                  <c:v>3</c:v>
                </c:pt>
                <c:pt idx="377">
                  <c:v>2</c:v>
                </c:pt>
                <c:pt idx="378">
                  <c:v>3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2</c:v>
                </c:pt>
                <c:pt idx="393">
                  <c:v>3</c:v>
                </c:pt>
                <c:pt idx="394">
                  <c:v>5</c:v>
                </c:pt>
                <c:pt idx="395">
                  <c:v>3</c:v>
                </c:pt>
                <c:pt idx="396">
                  <c:v>2</c:v>
                </c:pt>
                <c:pt idx="397">
                  <c:v>3</c:v>
                </c:pt>
                <c:pt idx="398">
                  <c:v>1</c:v>
                </c:pt>
                <c:pt idx="399">
                  <c:v>1</c:v>
                </c:pt>
                <c:pt idx="400">
                  <c:v>2</c:v>
                </c:pt>
                <c:pt idx="401">
                  <c:v>3</c:v>
                </c:pt>
                <c:pt idx="402">
                  <c:v>4</c:v>
                </c:pt>
                <c:pt idx="403">
                  <c:v>2</c:v>
                </c:pt>
                <c:pt idx="404">
                  <c:v>2</c:v>
                </c:pt>
                <c:pt idx="405">
                  <c:v>1</c:v>
                </c:pt>
                <c:pt idx="406">
                  <c:v>2</c:v>
                </c:pt>
                <c:pt idx="407">
                  <c:v>3</c:v>
                </c:pt>
                <c:pt idx="408">
                  <c:v>1</c:v>
                </c:pt>
                <c:pt idx="409">
                  <c:v>2</c:v>
                </c:pt>
                <c:pt idx="410">
                  <c:v>2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1</c:v>
                </c:pt>
                <c:pt idx="415">
                  <c:v>5</c:v>
                </c:pt>
                <c:pt idx="416">
                  <c:v>4</c:v>
                </c:pt>
                <c:pt idx="417">
                  <c:v>5</c:v>
                </c:pt>
                <c:pt idx="418">
                  <c:v>3</c:v>
                </c:pt>
                <c:pt idx="419">
                  <c:v>3</c:v>
                </c:pt>
                <c:pt idx="420">
                  <c:v>2</c:v>
                </c:pt>
                <c:pt idx="421">
                  <c:v>1</c:v>
                </c:pt>
                <c:pt idx="422">
                  <c:v>2</c:v>
                </c:pt>
                <c:pt idx="423">
                  <c:v>2</c:v>
                </c:pt>
                <c:pt idx="424">
                  <c:v>2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3</c:v>
                </c:pt>
                <c:pt idx="429">
                  <c:v>1</c:v>
                </c:pt>
                <c:pt idx="430">
                  <c:v>1</c:v>
                </c:pt>
                <c:pt idx="431">
                  <c:v>0</c:v>
                </c:pt>
                <c:pt idx="432">
                  <c:v>1</c:v>
                </c:pt>
                <c:pt idx="433">
                  <c:v>1</c:v>
                </c:pt>
                <c:pt idx="434">
                  <c:v>5</c:v>
                </c:pt>
                <c:pt idx="435">
                  <c:v>2</c:v>
                </c:pt>
                <c:pt idx="436">
                  <c:v>0</c:v>
                </c:pt>
                <c:pt idx="437">
                  <c:v>2</c:v>
                </c:pt>
                <c:pt idx="438">
                  <c:v>2</c:v>
                </c:pt>
                <c:pt idx="439">
                  <c:v>0</c:v>
                </c:pt>
                <c:pt idx="440">
                  <c:v>4</c:v>
                </c:pt>
                <c:pt idx="441">
                  <c:v>2</c:v>
                </c:pt>
                <c:pt idx="442">
                  <c:v>5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2</c:v>
                </c:pt>
                <c:pt idx="460">
                  <c:v>1</c:v>
                </c:pt>
                <c:pt idx="461">
                  <c:v>1</c:v>
                </c:pt>
                <c:pt idx="462">
                  <c:v>3</c:v>
                </c:pt>
                <c:pt idx="463">
                  <c:v>3</c:v>
                </c:pt>
                <c:pt idx="464">
                  <c:v>2</c:v>
                </c:pt>
                <c:pt idx="465">
                  <c:v>1</c:v>
                </c:pt>
                <c:pt idx="466">
                  <c:v>2</c:v>
                </c:pt>
                <c:pt idx="467">
                  <c:v>1</c:v>
                </c:pt>
                <c:pt idx="468">
                  <c:v>1</c:v>
                </c:pt>
                <c:pt idx="469">
                  <c:v>2</c:v>
                </c:pt>
                <c:pt idx="470">
                  <c:v>0</c:v>
                </c:pt>
                <c:pt idx="471">
                  <c:v>3</c:v>
                </c:pt>
                <c:pt idx="472">
                  <c:v>2</c:v>
                </c:pt>
                <c:pt idx="473">
                  <c:v>2</c:v>
                </c:pt>
                <c:pt idx="474">
                  <c:v>2</c:v>
                </c:pt>
                <c:pt idx="475">
                  <c:v>1</c:v>
                </c:pt>
                <c:pt idx="476">
                  <c:v>2</c:v>
                </c:pt>
                <c:pt idx="477">
                  <c:v>2</c:v>
                </c:pt>
                <c:pt idx="478">
                  <c:v>3</c:v>
                </c:pt>
                <c:pt idx="479">
                  <c:v>1</c:v>
                </c:pt>
                <c:pt idx="480">
                  <c:v>1</c:v>
                </c:pt>
                <c:pt idx="481">
                  <c:v>3</c:v>
                </c:pt>
                <c:pt idx="482">
                  <c:v>2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3</c:v>
                </c:pt>
                <c:pt idx="487">
                  <c:v>2</c:v>
                </c:pt>
                <c:pt idx="488">
                  <c:v>1</c:v>
                </c:pt>
                <c:pt idx="489">
                  <c:v>1</c:v>
                </c:pt>
                <c:pt idx="490">
                  <c:v>3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1</c:v>
                </c:pt>
                <c:pt idx="498">
                  <c:v>2</c:v>
                </c:pt>
                <c:pt idx="499">
                  <c:v>1</c:v>
                </c:pt>
                <c:pt idx="500">
                  <c:v>5</c:v>
                </c:pt>
                <c:pt idx="501">
                  <c:v>3</c:v>
                </c:pt>
                <c:pt idx="502">
                  <c:v>0</c:v>
                </c:pt>
                <c:pt idx="503">
                  <c:v>0</c:v>
                </c:pt>
                <c:pt idx="504">
                  <c:v>3</c:v>
                </c:pt>
                <c:pt idx="505">
                  <c:v>3</c:v>
                </c:pt>
                <c:pt idx="506">
                  <c:v>3</c:v>
                </c:pt>
                <c:pt idx="507">
                  <c:v>3</c:v>
                </c:pt>
                <c:pt idx="508">
                  <c:v>1</c:v>
                </c:pt>
                <c:pt idx="509">
                  <c:v>1</c:v>
                </c:pt>
                <c:pt idx="510">
                  <c:v>2</c:v>
                </c:pt>
                <c:pt idx="511">
                  <c:v>1</c:v>
                </c:pt>
                <c:pt idx="512">
                  <c:v>1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1</c:v>
                </c:pt>
                <c:pt idx="519">
                  <c:v>2</c:v>
                </c:pt>
                <c:pt idx="520">
                  <c:v>2</c:v>
                </c:pt>
                <c:pt idx="521">
                  <c:v>1</c:v>
                </c:pt>
                <c:pt idx="522">
                  <c:v>1</c:v>
                </c:pt>
                <c:pt idx="523">
                  <c:v>5</c:v>
                </c:pt>
                <c:pt idx="524">
                  <c:v>1</c:v>
                </c:pt>
                <c:pt idx="525">
                  <c:v>2</c:v>
                </c:pt>
                <c:pt idx="526">
                  <c:v>2</c:v>
                </c:pt>
                <c:pt idx="527">
                  <c:v>0</c:v>
                </c:pt>
                <c:pt idx="528">
                  <c:v>0</c:v>
                </c:pt>
                <c:pt idx="529">
                  <c:v>1</c:v>
                </c:pt>
                <c:pt idx="530">
                  <c:v>4</c:v>
                </c:pt>
                <c:pt idx="531">
                  <c:v>2</c:v>
                </c:pt>
                <c:pt idx="532">
                  <c:v>2</c:v>
                </c:pt>
                <c:pt idx="533">
                  <c:v>2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1</c:v>
                </c:pt>
                <c:pt idx="551">
                  <c:v>2</c:v>
                </c:pt>
                <c:pt idx="552">
                  <c:v>1</c:v>
                </c:pt>
                <c:pt idx="553">
                  <c:v>1</c:v>
                </c:pt>
                <c:pt idx="554">
                  <c:v>5</c:v>
                </c:pt>
                <c:pt idx="555">
                  <c:v>3</c:v>
                </c:pt>
                <c:pt idx="556">
                  <c:v>3</c:v>
                </c:pt>
                <c:pt idx="557">
                  <c:v>1</c:v>
                </c:pt>
                <c:pt idx="558">
                  <c:v>2</c:v>
                </c:pt>
                <c:pt idx="559">
                  <c:v>1</c:v>
                </c:pt>
                <c:pt idx="560">
                  <c:v>2</c:v>
                </c:pt>
                <c:pt idx="561">
                  <c:v>3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4</c:v>
                </c:pt>
                <c:pt idx="569">
                  <c:v>4</c:v>
                </c:pt>
                <c:pt idx="570">
                  <c:v>3</c:v>
                </c:pt>
                <c:pt idx="571">
                  <c:v>3</c:v>
                </c:pt>
                <c:pt idx="572">
                  <c:v>1</c:v>
                </c:pt>
                <c:pt idx="573">
                  <c:v>2</c:v>
                </c:pt>
                <c:pt idx="574">
                  <c:v>1</c:v>
                </c:pt>
                <c:pt idx="575">
                  <c:v>3</c:v>
                </c:pt>
                <c:pt idx="576">
                  <c:v>1</c:v>
                </c:pt>
                <c:pt idx="577">
                  <c:v>2</c:v>
                </c:pt>
                <c:pt idx="578">
                  <c:v>1</c:v>
                </c:pt>
                <c:pt idx="579">
                  <c:v>1</c:v>
                </c:pt>
                <c:pt idx="580">
                  <c:v>2</c:v>
                </c:pt>
                <c:pt idx="581">
                  <c:v>2</c:v>
                </c:pt>
                <c:pt idx="582">
                  <c:v>3</c:v>
                </c:pt>
                <c:pt idx="583">
                  <c:v>3</c:v>
                </c:pt>
                <c:pt idx="584">
                  <c:v>1</c:v>
                </c:pt>
                <c:pt idx="585">
                  <c:v>2</c:v>
                </c:pt>
                <c:pt idx="586">
                  <c:v>3</c:v>
                </c:pt>
                <c:pt idx="587">
                  <c:v>1</c:v>
                </c:pt>
                <c:pt idx="588">
                  <c:v>0</c:v>
                </c:pt>
                <c:pt idx="589">
                  <c:v>0</c:v>
                </c:pt>
                <c:pt idx="590">
                  <c:v>2</c:v>
                </c:pt>
                <c:pt idx="591">
                  <c:v>2</c:v>
                </c:pt>
                <c:pt idx="592">
                  <c:v>2</c:v>
                </c:pt>
                <c:pt idx="593">
                  <c:v>0</c:v>
                </c:pt>
                <c:pt idx="594">
                  <c:v>0</c:v>
                </c:pt>
                <c:pt idx="595">
                  <c:v>4</c:v>
                </c:pt>
                <c:pt idx="596">
                  <c:v>2</c:v>
                </c:pt>
                <c:pt idx="597">
                  <c:v>3</c:v>
                </c:pt>
                <c:pt idx="598">
                  <c:v>1</c:v>
                </c:pt>
                <c:pt idx="599">
                  <c:v>1</c:v>
                </c:pt>
                <c:pt idx="600">
                  <c:v>3</c:v>
                </c:pt>
                <c:pt idx="601">
                  <c:v>3</c:v>
                </c:pt>
                <c:pt idx="602">
                  <c:v>3</c:v>
                </c:pt>
                <c:pt idx="603">
                  <c:v>0</c:v>
                </c:pt>
                <c:pt idx="604">
                  <c:v>1</c:v>
                </c:pt>
                <c:pt idx="605">
                  <c:v>1</c:v>
                </c:pt>
                <c:pt idx="606">
                  <c:v>5</c:v>
                </c:pt>
                <c:pt idx="607">
                  <c:v>3</c:v>
                </c:pt>
                <c:pt idx="608">
                  <c:v>2</c:v>
                </c:pt>
                <c:pt idx="609">
                  <c:v>2</c:v>
                </c:pt>
                <c:pt idx="610">
                  <c:v>0</c:v>
                </c:pt>
                <c:pt idx="611">
                  <c:v>0</c:v>
                </c:pt>
                <c:pt idx="612">
                  <c:v>2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2</c:v>
                </c:pt>
                <c:pt idx="622">
                  <c:v>2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3</c:v>
                </c:pt>
                <c:pt idx="628">
                  <c:v>0</c:v>
                </c:pt>
                <c:pt idx="629">
                  <c:v>0</c:v>
                </c:pt>
                <c:pt idx="630">
                  <c:v>2</c:v>
                </c:pt>
                <c:pt idx="631">
                  <c:v>2</c:v>
                </c:pt>
                <c:pt idx="632">
                  <c:v>4</c:v>
                </c:pt>
                <c:pt idx="633">
                  <c:v>2</c:v>
                </c:pt>
                <c:pt idx="634">
                  <c:v>2</c:v>
                </c:pt>
                <c:pt idx="635">
                  <c:v>2</c:v>
                </c:pt>
                <c:pt idx="636">
                  <c:v>2</c:v>
                </c:pt>
                <c:pt idx="637">
                  <c:v>2</c:v>
                </c:pt>
                <c:pt idx="638">
                  <c:v>0</c:v>
                </c:pt>
                <c:pt idx="639">
                  <c:v>1</c:v>
                </c:pt>
                <c:pt idx="640">
                  <c:v>0</c:v>
                </c:pt>
                <c:pt idx="641">
                  <c:v>2</c:v>
                </c:pt>
                <c:pt idx="642">
                  <c:v>1</c:v>
                </c:pt>
                <c:pt idx="643">
                  <c:v>1</c:v>
                </c:pt>
                <c:pt idx="644">
                  <c:v>0</c:v>
                </c:pt>
                <c:pt idx="645">
                  <c:v>0</c:v>
                </c:pt>
                <c:pt idx="646">
                  <c:v>3</c:v>
                </c:pt>
                <c:pt idx="647">
                  <c:v>2</c:v>
                </c:pt>
                <c:pt idx="648">
                  <c:v>3</c:v>
                </c:pt>
                <c:pt idx="649">
                  <c:v>2</c:v>
                </c:pt>
                <c:pt idx="650">
                  <c:v>2</c:v>
                </c:pt>
                <c:pt idx="651">
                  <c:v>0</c:v>
                </c:pt>
                <c:pt idx="652">
                  <c:v>2</c:v>
                </c:pt>
                <c:pt idx="653">
                  <c:v>2</c:v>
                </c:pt>
                <c:pt idx="654">
                  <c:v>1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4</c:v>
                </c:pt>
                <c:pt idx="659">
                  <c:v>2</c:v>
                </c:pt>
                <c:pt idx="660">
                  <c:v>3</c:v>
                </c:pt>
                <c:pt idx="661">
                  <c:v>1</c:v>
                </c:pt>
                <c:pt idx="662">
                  <c:v>5</c:v>
                </c:pt>
                <c:pt idx="663">
                  <c:v>0</c:v>
                </c:pt>
                <c:pt idx="664">
                  <c:v>0</c:v>
                </c:pt>
                <c:pt idx="665">
                  <c:v>1</c:v>
                </c:pt>
                <c:pt idx="666">
                  <c:v>2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1</c:v>
                </c:pt>
                <c:pt idx="702">
                  <c:v>1</c:v>
                </c:pt>
                <c:pt idx="703">
                  <c:v>3</c:v>
                </c:pt>
                <c:pt idx="704">
                  <c:v>5</c:v>
                </c:pt>
                <c:pt idx="705">
                  <c:v>2</c:v>
                </c:pt>
                <c:pt idx="706">
                  <c:v>1</c:v>
                </c:pt>
                <c:pt idx="707">
                  <c:v>2</c:v>
                </c:pt>
                <c:pt idx="708">
                  <c:v>2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3</c:v>
                </c:pt>
                <c:pt idx="715">
                  <c:v>1</c:v>
                </c:pt>
                <c:pt idx="716">
                  <c:v>2</c:v>
                </c:pt>
                <c:pt idx="717">
                  <c:v>2</c:v>
                </c:pt>
                <c:pt idx="718">
                  <c:v>2</c:v>
                </c:pt>
                <c:pt idx="719">
                  <c:v>2</c:v>
                </c:pt>
                <c:pt idx="720">
                  <c:v>5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2</c:v>
                </c:pt>
                <c:pt idx="730">
                  <c:v>4</c:v>
                </c:pt>
                <c:pt idx="731">
                  <c:v>4</c:v>
                </c:pt>
                <c:pt idx="732">
                  <c:v>3</c:v>
                </c:pt>
                <c:pt idx="733">
                  <c:v>4</c:v>
                </c:pt>
                <c:pt idx="734">
                  <c:v>3</c:v>
                </c:pt>
                <c:pt idx="735">
                  <c:v>2</c:v>
                </c:pt>
                <c:pt idx="736">
                  <c:v>3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2</c:v>
                </c:pt>
                <c:pt idx="741">
                  <c:v>3</c:v>
                </c:pt>
                <c:pt idx="742">
                  <c:v>2</c:v>
                </c:pt>
                <c:pt idx="743">
                  <c:v>2</c:v>
                </c:pt>
                <c:pt idx="744">
                  <c:v>1</c:v>
                </c:pt>
                <c:pt idx="745">
                  <c:v>1</c:v>
                </c:pt>
                <c:pt idx="746">
                  <c:v>3</c:v>
                </c:pt>
                <c:pt idx="747">
                  <c:v>3</c:v>
                </c:pt>
                <c:pt idx="748">
                  <c:v>2</c:v>
                </c:pt>
                <c:pt idx="749">
                  <c:v>2</c:v>
                </c:pt>
                <c:pt idx="750">
                  <c:v>2</c:v>
                </c:pt>
                <c:pt idx="751">
                  <c:v>5</c:v>
                </c:pt>
                <c:pt idx="752">
                  <c:v>5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2</c:v>
                </c:pt>
                <c:pt idx="757">
                  <c:v>4</c:v>
                </c:pt>
                <c:pt idx="758">
                  <c:v>2</c:v>
                </c:pt>
                <c:pt idx="759">
                  <c:v>3</c:v>
                </c:pt>
                <c:pt idx="760">
                  <c:v>2</c:v>
                </c:pt>
                <c:pt idx="761">
                  <c:v>2</c:v>
                </c:pt>
                <c:pt idx="762">
                  <c:v>2</c:v>
                </c:pt>
                <c:pt idx="763">
                  <c:v>1</c:v>
                </c:pt>
                <c:pt idx="764">
                  <c:v>3</c:v>
                </c:pt>
                <c:pt idx="765">
                  <c:v>1</c:v>
                </c:pt>
                <c:pt idx="766">
                  <c:v>3</c:v>
                </c:pt>
                <c:pt idx="767">
                  <c:v>2</c:v>
                </c:pt>
                <c:pt idx="768">
                  <c:v>2</c:v>
                </c:pt>
                <c:pt idx="769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1A-7146-A6CA-E07356A97B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7648463"/>
        <c:axId val="867656991"/>
      </c:scatterChart>
      <c:valAx>
        <c:axId val="1087648463"/>
        <c:scaling>
          <c:orientation val="minMax"/>
          <c:max val="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Часов игры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S"/>
          </a:p>
        </c:txPr>
        <c:crossAx val="867656991"/>
        <c:crosses val="autoZero"/>
        <c:crossBetween val="midCat"/>
        <c:majorUnit val="1"/>
      </c:valAx>
      <c:valAx>
        <c:axId val="867656991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Игровой стаж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S"/>
          </a:p>
        </c:txPr>
        <c:crossAx val="1087648463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[gameandgrade.xlsx]Lab6!Сводная таблица4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'Lab6'!$B$59:$B$61</c:f>
              <c:strCache>
                <c:ptCount val="1"/>
                <c:pt idx="0">
                  <c:v>Мало - 0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'Lab6'!$A$62:$A$66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</c:strCache>
            </c:strRef>
          </c:cat>
          <c:val>
            <c:numRef>
              <c:f>'Lab6'!$B$62:$B$66</c:f>
              <c:numCache>
                <c:formatCode>General</c:formatCode>
                <c:ptCount val="4"/>
                <c:pt idx="0">
                  <c:v>26</c:v>
                </c:pt>
                <c:pt idx="1">
                  <c:v>12</c:v>
                </c:pt>
                <c:pt idx="2">
                  <c:v>38</c:v>
                </c:pt>
                <c:pt idx="3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C2-F841-91A6-DFCF29C1763C}"/>
            </c:ext>
          </c:extLst>
        </c:ser>
        <c:ser>
          <c:idx val="1"/>
          <c:order val="1"/>
          <c:tx>
            <c:strRef>
              <c:f>'Lab6'!$C$59:$C$61</c:f>
              <c:strCache>
                <c:ptCount val="1"/>
                <c:pt idx="0">
                  <c:v>Мало - 1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'Lab6'!$A$62:$A$66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</c:strCache>
            </c:strRef>
          </c:cat>
          <c:val>
            <c:numRef>
              <c:f>'Lab6'!$C$62:$C$66</c:f>
              <c:numCache>
                <c:formatCode>General</c:formatCode>
                <c:ptCount val="4"/>
                <c:pt idx="0">
                  <c:v>17</c:v>
                </c:pt>
                <c:pt idx="1">
                  <c:v>18</c:v>
                </c:pt>
                <c:pt idx="2">
                  <c:v>30</c:v>
                </c:pt>
                <c:pt idx="3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C2-F841-91A6-DFCF29C1763C}"/>
            </c:ext>
          </c:extLst>
        </c:ser>
        <c:ser>
          <c:idx val="2"/>
          <c:order val="2"/>
          <c:tx>
            <c:strRef>
              <c:f>'Lab6'!$D$59:$D$61</c:f>
              <c:strCache>
                <c:ptCount val="1"/>
                <c:pt idx="0">
                  <c:v>Мало - 2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'Lab6'!$A$62:$A$66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</c:strCache>
            </c:strRef>
          </c:cat>
          <c:val>
            <c:numRef>
              <c:f>'Lab6'!$D$62:$D$66</c:f>
              <c:numCache>
                <c:formatCode>General</c:formatCode>
                <c:ptCount val="4"/>
                <c:pt idx="0">
                  <c:v>16</c:v>
                </c:pt>
                <c:pt idx="1">
                  <c:v>12</c:v>
                </c:pt>
                <c:pt idx="2">
                  <c:v>11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8C2-F841-91A6-DFCF29C1763C}"/>
            </c:ext>
          </c:extLst>
        </c:ser>
        <c:ser>
          <c:idx val="3"/>
          <c:order val="3"/>
          <c:tx>
            <c:strRef>
              <c:f>'Lab6'!$E$59:$E$61</c:f>
              <c:strCache>
                <c:ptCount val="1"/>
                <c:pt idx="0">
                  <c:v>Часто - 3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'Lab6'!$A$62:$A$66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</c:strCache>
            </c:strRef>
          </c:cat>
          <c:val>
            <c:numRef>
              <c:f>'Lab6'!$E$62:$E$66</c:f>
              <c:numCache>
                <c:formatCode>General</c:formatCode>
                <c:ptCount val="4"/>
                <c:pt idx="0">
                  <c:v>14</c:v>
                </c:pt>
                <c:pt idx="1">
                  <c:v>23</c:v>
                </c:pt>
                <c:pt idx="2">
                  <c:v>23</c:v>
                </c:pt>
                <c:pt idx="3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8C2-F841-91A6-DFCF29C1763C}"/>
            </c:ext>
          </c:extLst>
        </c:ser>
        <c:ser>
          <c:idx val="4"/>
          <c:order val="4"/>
          <c:tx>
            <c:strRef>
              <c:f>'Lab6'!$F$59:$F$61</c:f>
              <c:strCache>
                <c:ptCount val="1"/>
                <c:pt idx="0">
                  <c:v>Часто - 4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'Lab6'!$A$62:$A$66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</c:strCache>
            </c:strRef>
          </c:cat>
          <c:val>
            <c:numRef>
              <c:f>'Lab6'!$F$62:$F$66</c:f>
              <c:numCache>
                <c:formatCode>General</c:formatCode>
                <c:ptCount val="4"/>
                <c:pt idx="0">
                  <c:v>18</c:v>
                </c:pt>
                <c:pt idx="1">
                  <c:v>15</c:v>
                </c:pt>
                <c:pt idx="2">
                  <c:v>11</c:v>
                </c:pt>
                <c:pt idx="3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8C2-F841-91A6-DFCF29C1763C}"/>
            </c:ext>
          </c:extLst>
        </c:ser>
        <c:ser>
          <c:idx val="5"/>
          <c:order val="5"/>
          <c:tx>
            <c:strRef>
              <c:f>'Lab6'!$G$59:$G$61</c:f>
              <c:strCache>
                <c:ptCount val="1"/>
                <c:pt idx="0">
                  <c:v>Часто - 5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'Lab6'!$A$62:$A$66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</c:strCache>
            </c:strRef>
          </c:cat>
          <c:val>
            <c:numRef>
              <c:f>'Lab6'!$G$62:$G$66</c:f>
              <c:numCache>
                <c:formatCode>General</c:formatCode>
                <c:ptCount val="4"/>
                <c:pt idx="0">
                  <c:v>21</c:v>
                </c:pt>
                <c:pt idx="1">
                  <c:v>26</c:v>
                </c:pt>
                <c:pt idx="2">
                  <c:v>35</c:v>
                </c:pt>
                <c:pt idx="3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8C2-F841-91A6-DFCF29C176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1569359"/>
        <c:axId val="782030255"/>
      </c:barChart>
      <c:catAx>
        <c:axId val="7815693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Код школы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S"/>
          </a:p>
        </c:txPr>
        <c:crossAx val="782030255"/>
        <c:crosses val="autoZero"/>
        <c:auto val="1"/>
        <c:lblAlgn val="ctr"/>
        <c:lblOffset val="100"/>
        <c:noMultiLvlLbl val="0"/>
      </c:catAx>
      <c:valAx>
        <c:axId val="78203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Число учеников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S"/>
          </a:p>
        </c:txPr>
        <c:crossAx val="781569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Доля частоиграющих бедных и богатых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70C-3947-89B5-0AA8FA30226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D70C-3947-89B5-0AA8FA302267}"/>
              </c:ext>
            </c:extLst>
          </c:dPt>
          <c:dLbls>
            <c:dLbl>
              <c:idx val="0"/>
              <c:dLblPos val="outEnd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70C-3947-89B5-0AA8FA302267}"/>
                </c:ext>
              </c:extLst>
            </c:dLbl>
            <c:dLbl>
              <c:idx val="1"/>
              <c:dLblPos val="outEnd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70C-3947-89B5-0AA8FA30226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'Lab6'!$A$96:$A$97</c:f>
              <c:strCache>
                <c:ptCount val="2"/>
                <c:pt idx="0">
                  <c:v>Богатые</c:v>
                </c:pt>
                <c:pt idx="1">
                  <c:v>Бедные</c:v>
                </c:pt>
              </c:strCache>
            </c:strRef>
          </c:cat>
          <c:val>
            <c:numRef>
              <c:f>'Lab6'!$B$96:$B$97</c:f>
              <c:numCache>
                <c:formatCode>General</c:formatCode>
                <c:ptCount val="2"/>
                <c:pt idx="0">
                  <c:v>123</c:v>
                </c:pt>
                <c:pt idx="1">
                  <c:v>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0C-3947-89B5-0AA8FA3022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_xlchart.v1.5</cx:f>
      </cx:numDim>
    </cx:data>
  </cx:chartData>
  <cx:chart>
    <cx:title pos="t" align="ctr" overlay="0">
      <cx:tx>
        <cx:txData>
          <cx:v>Оценка к доходу семьи 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ru-RU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Оценка к доходу семьи </a:t>
          </a:r>
        </a:p>
      </cx:txPr>
    </cx:title>
    <cx:plotArea>
      <cx:plotAreaRegion>
        <cx:series layoutId="boxWhisker" uniqueId="{F69779E9-1B2F-1245-8A2B-C6CF3C5A5A62}">
          <cx:tx>
            <cx:txData>
              <cx:f>_xlchart.v1.4</cx:f>
              <cx:v>Grade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 max="100"/>
        <cx:title>
          <cx:tx>
            <cx:txData>
              <cx:v>Балл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ru-RU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Балл</a:t>
              </a:r>
            </a:p>
          </cx:txPr>
        </cx:title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val">
        <cx:f>_xlchart.v1.8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ru-RU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Пол</a:t>
            </a: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/</a:t>
            </a:r>
            <a:r>
              <a:rPr lang="ru-RU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Игровой стаж</a:t>
            </a:r>
          </a:p>
        </cx:rich>
      </cx:tx>
    </cx:title>
    <cx:plotArea>
      <cx:plotAreaRegion>
        <cx:series layoutId="boxWhisker" uniqueId="{D75FCBEA-3F59-144C-95F6-4DDADC675F43}">
          <cx:tx>
            <cx:txData>
              <cx:f>_xlchart.v1.7</cx:f>
              <cx:v>Playing Years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>
          <cx:tx>
            <cx:txData>
              <cx:v>Пол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ru-RU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Пол</a:t>
              </a:r>
            </a:p>
          </cx:txPr>
        </cx:title>
        <cx:tickLabels/>
      </cx:axis>
      <cx:axis id="1">
        <cx:valScaling max="4.4000000000000004"/>
        <cx:title>
          <cx:tx>
            <cx:txData>
              <cx:v>Игровой стаж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ru-RU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Игровой стаж</a:t>
              </a:r>
            </a:p>
          </cx:txPr>
        </cx:title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ru-RU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Игровой стаж</a:t>
            </a: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/</a:t>
            </a:r>
            <a:r>
              <a:rPr lang="ru-RU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Игровое время</a:t>
            </a:r>
          </a:p>
        </cx:rich>
      </cx:tx>
    </cx:title>
    <cx:plotArea>
      <cx:plotAreaRegion>
        <cx:series layoutId="boxWhisker" uniqueId="{7EC8AC93-2F1B-C74A-A3E9-99C1E1108785}">
          <cx:tx>
            <cx:txData>
              <cx:f>_xlchart.v1.1</cx:f>
              <cx:v>Playing Hours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>
          <cx:tx>
            <cx:txData>
              <cx:v>Игровой стаж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ru-RU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Игровой стаж</a:t>
              </a:r>
            </a:p>
          </cx:txPr>
        </cx:title>
        <cx:tickLabels/>
      </cx:axis>
      <cx:axis id="1">
        <cx:valScaling max="5" min="1"/>
        <cx:title>
          <cx:tx>
            <cx:txData>
              <cx:v>Игровое время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ru-RU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Игровое время</a:t>
              </a: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microsoft.com/office/2014/relationships/chartEx" Target="../charts/chartEx2.xml"/><Relationship Id="rId2" Type="http://schemas.microsoft.com/office/2014/relationships/chartEx" Target="../charts/chartEx1.xml"/><Relationship Id="rId1" Type="http://schemas.openxmlformats.org/officeDocument/2006/relationships/chart" Target="../charts/chart11.xml"/><Relationship Id="rId5" Type="http://schemas.openxmlformats.org/officeDocument/2006/relationships/chart" Target="../charts/chart12.xml"/><Relationship Id="rId4" Type="http://schemas.microsoft.com/office/2014/relationships/chartEx" Target="../charts/chartEx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12</xdr:row>
      <xdr:rowOff>204464</xdr:rowOff>
    </xdr:from>
    <xdr:to>
      <xdr:col>6</xdr:col>
      <xdr:colOff>826822</xdr:colOff>
      <xdr:row>22</xdr:row>
      <xdr:rowOff>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42399802-5732-6E43-BE0C-D476320CC8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1064947</xdr:colOff>
      <xdr:row>24</xdr:row>
      <xdr:rowOff>3788</xdr:rowOff>
    </xdr:from>
    <xdr:to>
      <xdr:col>8</xdr:col>
      <xdr:colOff>826821</xdr:colOff>
      <xdr:row>35</xdr:row>
      <xdr:rowOff>28115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16C00329-6676-FC42-BED9-1A0D27544F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7390</xdr:colOff>
      <xdr:row>37</xdr:row>
      <xdr:rowOff>948</xdr:rowOff>
    </xdr:from>
    <xdr:to>
      <xdr:col>9</xdr:col>
      <xdr:colOff>6614</xdr:colOff>
      <xdr:row>48</xdr:row>
      <xdr:rowOff>948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D06864E4-FF0F-D246-8D18-76763284C4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7668</xdr:colOff>
      <xdr:row>50</xdr:row>
      <xdr:rowOff>649</xdr:rowOff>
    </xdr:from>
    <xdr:to>
      <xdr:col>9</xdr:col>
      <xdr:colOff>6615</xdr:colOff>
      <xdr:row>61</xdr:row>
      <xdr:rowOff>25872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73520716-0250-094B-B63D-66E992778D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13854</xdr:colOff>
      <xdr:row>63</xdr:row>
      <xdr:rowOff>7540</xdr:rowOff>
    </xdr:from>
    <xdr:to>
      <xdr:col>9</xdr:col>
      <xdr:colOff>6615</xdr:colOff>
      <xdr:row>74</xdr:row>
      <xdr:rowOff>11441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135D9246-1BD1-5448-B1B7-943E9AF91B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6312</xdr:colOff>
      <xdr:row>75</xdr:row>
      <xdr:rowOff>194733</xdr:rowOff>
    </xdr:from>
    <xdr:to>
      <xdr:col>8</xdr:col>
      <xdr:colOff>826822</xdr:colOff>
      <xdr:row>86</xdr:row>
      <xdr:rowOff>186266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71519922-344E-3543-97E1-712066C332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12210</xdr:colOff>
      <xdr:row>89</xdr:row>
      <xdr:rowOff>3271</xdr:rowOff>
    </xdr:from>
    <xdr:to>
      <xdr:col>9</xdr:col>
      <xdr:colOff>6614</xdr:colOff>
      <xdr:row>98</xdr:row>
      <xdr:rowOff>12700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A3651859-E71A-014E-8DF5-B5B268CF37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16932</xdr:colOff>
      <xdr:row>100</xdr:row>
      <xdr:rowOff>8466</xdr:rowOff>
    </xdr:from>
    <xdr:to>
      <xdr:col>9</xdr:col>
      <xdr:colOff>6614</xdr:colOff>
      <xdr:row>113</xdr:row>
      <xdr:rowOff>110066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C3CF0220-267A-5942-A415-F3EB198BAF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314817</xdr:colOff>
      <xdr:row>15</xdr:row>
      <xdr:rowOff>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4174BBAF-0AB7-AEB6-1DE2-6BC9503F02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50800</xdr:colOff>
      <xdr:row>0</xdr:row>
      <xdr:rowOff>0</xdr:rowOff>
    </xdr:from>
    <xdr:to>
      <xdr:col>12</xdr:col>
      <xdr:colOff>599440</xdr:colOff>
      <xdr:row>13</xdr:row>
      <xdr:rowOff>101600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6E8C9ED-E5AF-FB4B-5720-1A9D18E618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67</xdr:row>
      <xdr:rowOff>4157</xdr:rowOff>
    </xdr:from>
    <xdr:to>
      <xdr:col>7</xdr:col>
      <xdr:colOff>590929</xdr:colOff>
      <xdr:row>83</xdr:row>
      <xdr:rowOff>134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7A60338-0156-DF10-3C85-4AB1F67342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39</xdr:row>
      <xdr:rowOff>2810</xdr:rowOff>
    </xdr:from>
    <xdr:to>
      <xdr:col>3</xdr:col>
      <xdr:colOff>523355</xdr:colOff>
      <xdr:row>55</xdr:row>
      <xdr:rowOff>10671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Диаграмма 7">
              <a:extLst>
                <a:ext uri="{FF2B5EF4-FFF2-40B4-BE49-F238E27FC236}">
                  <a16:creationId xmlns:a16="http://schemas.microsoft.com/office/drawing/2014/main" id="{5EDC19AA-A03A-F990-4E4D-59694422FE1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7707477"/>
              <a:ext cx="3952355" cy="31687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2</xdr:row>
      <xdr:rowOff>2070</xdr:rowOff>
    </xdr:from>
    <xdr:to>
      <xdr:col>5</xdr:col>
      <xdr:colOff>10762</xdr:colOff>
      <xdr:row>16</xdr:row>
      <xdr:rowOff>96864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Диаграмма 8">
              <a:extLst>
                <a:ext uri="{FF2B5EF4-FFF2-40B4-BE49-F238E27FC236}">
                  <a16:creationId xmlns:a16="http://schemas.microsoft.com/office/drawing/2014/main" id="{7E35E420-6784-541C-768B-26AD08FC2CF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397181"/>
              <a:ext cx="4540429" cy="28605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19</xdr:row>
      <xdr:rowOff>196574</xdr:rowOff>
    </xdr:from>
    <xdr:to>
      <xdr:col>5</xdr:col>
      <xdr:colOff>342347</xdr:colOff>
      <xdr:row>36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3" name="Диаграмма 12">
              <a:extLst>
                <a:ext uri="{FF2B5EF4-FFF2-40B4-BE49-F238E27FC236}">
                  <a16:creationId xmlns:a16="http://schemas.microsoft.com/office/drawing/2014/main" id="{38FA8436-2CD4-A140-C3FF-ABA681D54F0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3950130"/>
              <a:ext cx="4872014" cy="31618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85</xdr:row>
      <xdr:rowOff>195808</xdr:rowOff>
    </xdr:from>
    <xdr:to>
      <xdr:col>4</xdr:col>
      <xdr:colOff>484073</xdr:colOff>
      <xdr:row>99</xdr:row>
      <xdr:rowOff>40095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2AE0566C-8E27-1456-601D-BCC9A78007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730.559534837965" createdVersion="8" refreshedVersion="8" minRefreshableVersion="3" recordCount="770" xr:uid="{AC844A55-4D6F-7C40-8773-56A94E0159FE}">
  <cacheSource type="worksheet">
    <worksheetSource ref="A1:J771" sheet="gameandgrade"/>
  </cacheSource>
  <cacheFields count="13">
    <cacheField name="Sex" numFmtId="0">
      <sharedItems containsSemiMixedTypes="0" containsString="0" containsNumber="1" containsInteger="1" minValue="0" maxValue="1" count="2">
        <n v="0"/>
        <n v="1"/>
      </sharedItems>
    </cacheField>
    <cacheField name="School Code" numFmtId="0">
      <sharedItems containsSemiMixedTypes="0" containsString="0" containsNumber="1" containsInteger="1" minValue="1" maxValue="11" count="11">
        <n v="1"/>
        <n v="2"/>
        <n v="3"/>
        <n v="4"/>
        <n v="5"/>
        <n v="6"/>
        <n v="7"/>
        <n v="8"/>
        <n v="9"/>
        <n v="10"/>
        <n v="11"/>
      </sharedItems>
    </cacheField>
    <cacheField name="Playing Often" numFmtId="0">
      <sharedItems containsSemiMixedTypes="0" containsString="0" containsNumber="1" containsInteger="1" minValue="0" maxValue="5" count="6">
        <n v="2"/>
        <n v="3"/>
        <n v="0"/>
        <n v="5"/>
        <n v="1"/>
        <n v="4"/>
      </sharedItems>
      <fieldGroup par="11"/>
    </cacheField>
    <cacheField name="Playing Games" numFmtId="0">
      <sharedItems containsSemiMixedTypes="0" containsString="0" containsNumber="1" containsInteger="1" minValue="0" maxValue="2"/>
    </cacheField>
    <cacheField name="Mother Education" numFmtId="0">
      <sharedItems containsSemiMixedTypes="0" containsString="0" containsNumber="1" containsInteger="1" minValue="0" maxValue="6" count="7">
        <n v="5"/>
        <n v="3"/>
        <n v="4"/>
        <n v="2"/>
        <n v="1"/>
        <n v="6"/>
        <n v="0"/>
      </sharedItems>
    </cacheField>
    <cacheField name="Father Education" numFmtId="0">
      <sharedItems containsSemiMixedTypes="0" containsString="0" containsNumber="1" containsInteger="1" minValue="0" maxValue="6" count="7">
        <n v="4"/>
        <n v="3"/>
        <n v="2"/>
        <n v="5"/>
        <n v="6"/>
        <n v="0"/>
        <n v="1"/>
      </sharedItems>
    </cacheField>
    <cacheField name="Parent Revenue" numFmtId="0">
      <sharedItems containsSemiMixedTypes="0" containsString="0" containsNumber="1" containsInteger="1" minValue="0" maxValue="4" count="5">
        <n v="4"/>
        <n v="1"/>
        <n v="2"/>
        <n v="3"/>
        <n v="0"/>
      </sharedItems>
      <fieldGroup par="12"/>
    </cacheField>
    <cacheField name="Playing Years" numFmtId="0">
      <sharedItems containsSemiMixedTypes="0" containsString="0" containsNumber="1" containsInteger="1" minValue="0" maxValue="4" count="5">
        <n v="1"/>
        <n v="0"/>
        <n v="3"/>
        <n v="2"/>
        <n v="4"/>
      </sharedItems>
    </cacheField>
    <cacheField name="Playing Hours" numFmtId="0">
      <sharedItems containsSemiMixedTypes="0" containsString="0" containsNumber="1" containsInteger="1" minValue="0" maxValue="5" count="6">
        <n v="1"/>
        <n v="0"/>
        <n v="2"/>
        <n v="5"/>
        <n v="3"/>
        <n v="4"/>
      </sharedItems>
    </cacheField>
    <cacheField name="Grade" numFmtId="2">
      <sharedItems containsMixedTypes="1" containsNumber="1" containsInteger="1" minValue="33" maxValue="100" count="103">
        <s v="77,5"/>
        <n v="83"/>
        <n v="80"/>
        <n v="45"/>
        <n v="85"/>
        <n v="55"/>
        <n v="60"/>
        <n v="88"/>
        <n v="90"/>
        <n v="74"/>
        <n v="95"/>
        <n v="50"/>
        <n v="98"/>
        <n v="87"/>
        <n v="70"/>
        <n v="65"/>
        <s v="76,5"/>
        <n v="61"/>
        <n v="99"/>
        <n v="77"/>
        <n v="100"/>
        <n v="75"/>
        <n v="69"/>
        <n v="67"/>
        <n v="79"/>
        <s v="36,5"/>
        <n v="92"/>
        <n v="93"/>
        <s v="90,7"/>
        <n v="78"/>
        <n v="68"/>
        <n v="64"/>
        <s v="42,35"/>
        <s v="72,5"/>
        <n v="40"/>
        <n v="63"/>
        <n v="86"/>
        <n v="62"/>
        <n v="89"/>
        <n v="48"/>
        <s v="57,75"/>
        <n v="94"/>
        <n v="66"/>
        <n v="71"/>
        <n v="91"/>
        <n v="57"/>
        <n v="76"/>
        <n v="73"/>
        <s v="97,66"/>
        <s v="82,5"/>
        <s v="98,5"/>
        <s v="78,5"/>
        <s v="94,5"/>
        <s v="95,24"/>
        <s v="65,5"/>
        <s v="85,5"/>
        <s v="93,5"/>
        <s v="90,8"/>
        <s v="86,7"/>
        <n v="59"/>
        <s v="92,6"/>
        <n v="53"/>
        <n v="72"/>
        <n v="82"/>
        <s v="42,5"/>
        <s v="92,5"/>
        <s v="80,5"/>
        <s v="83,5"/>
        <s v="50,6"/>
        <s v="97,5"/>
        <s v="89,5"/>
        <s v="55,5"/>
        <s v="96,5"/>
        <n v="52"/>
        <n v="56"/>
        <s v="67,2"/>
        <n v="97"/>
        <n v="43"/>
        <s v="59,69"/>
        <s v="87,5"/>
        <s v="90,5"/>
        <s v="67,5"/>
        <n v="33"/>
        <s v="85,3"/>
        <s v="70,5"/>
        <s v="49,53"/>
        <s v="72,1"/>
        <s v="80,33"/>
        <s v="56,5"/>
        <n v="96"/>
        <s v="75,6"/>
        <s v="79,8"/>
        <n v="84"/>
        <s v="95,33"/>
        <s v="46,5"/>
        <s v="95,5"/>
        <s v="75,5"/>
        <s v="60,5"/>
        <s v="82,2"/>
        <n v="81"/>
        <s v="55,3"/>
        <s v="64,75"/>
        <s v="45,5"/>
      </sharedItems>
    </cacheField>
    <cacheField name="Поле1" numFmtId="0" formula=" 0" databaseField="0"/>
    <cacheField name="Playing Often2" numFmtId="0" databaseField="0">
      <fieldGroup base="2">
        <discretePr count="6">
          <x v="0"/>
          <x v="1"/>
          <x v="0"/>
          <x v="1"/>
          <x v="0"/>
          <x v="1"/>
        </discretePr>
        <groupItems count="2">
          <s v="Группа1"/>
          <s v="Группа2"/>
        </groupItems>
      </fieldGroup>
    </cacheField>
    <cacheField name="Parent Revenue2" numFmtId="0" databaseField="0">
      <fieldGroup base="6">
        <discretePr count="5">
          <x v="2"/>
          <x v="1"/>
          <x v="0"/>
          <x v="2"/>
          <x v="1"/>
        </discretePr>
        <groupItems count="3">
          <n v="2"/>
          <s v="Группа1"/>
          <s v="Группа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758.591688657405" createdVersion="8" refreshedVersion="8" minRefreshableVersion="3" recordCount="773" xr:uid="{F9839460-89C0-5949-857A-188706EC959A}">
  <cacheSource type="worksheet">
    <worksheetSource ref="A1:J1048576" sheet="gameandgrade"/>
  </cacheSource>
  <cacheFields count="10">
    <cacheField name="Sex" numFmtId="0">
      <sharedItems containsString="0" containsBlank="1" containsNumber="1" containsInteger="1" minValue="0" maxValue="1" count="3">
        <n v="0"/>
        <n v="1"/>
        <m/>
      </sharedItems>
    </cacheField>
    <cacheField name="School Code" numFmtId="0">
      <sharedItems containsString="0" containsBlank="1" containsNumber="1" containsInteger="1" minValue="1" maxValue="11" count="12">
        <n v="1"/>
        <n v="2"/>
        <n v="3"/>
        <n v="4"/>
        <n v="5"/>
        <n v="6"/>
        <n v="7"/>
        <n v="8"/>
        <n v="9"/>
        <n v="10"/>
        <n v="11"/>
        <m/>
      </sharedItems>
    </cacheField>
    <cacheField name="Playing Often" numFmtId="0">
      <sharedItems containsString="0" containsBlank="1" containsNumber="1" containsInteger="1" minValue="0" maxValue="5" count="7">
        <n v="2"/>
        <n v="3"/>
        <n v="0"/>
        <n v="5"/>
        <n v="1"/>
        <n v="4"/>
        <m/>
      </sharedItems>
    </cacheField>
    <cacheField name="Playing Games" numFmtId="0">
      <sharedItems containsString="0" containsBlank="1" containsNumber="1" containsInteger="1" minValue="0" maxValue="2"/>
    </cacheField>
    <cacheField name="Mother Education" numFmtId="0">
      <sharedItems containsString="0" containsBlank="1" containsNumber="1" containsInteger="1" minValue="0" maxValue="6"/>
    </cacheField>
    <cacheField name="Father Education" numFmtId="0">
      <sharedItems containsString="0" containsBlank="1" containsNumber="1" containsInteger="1" minValue="0" maxValue="6"/>
    </cacheField>
    <cacheField name="Parent Revenue" numFmtId="0">
      <sharedItems containsString="0" containsBlank="1" containsNumber="1" containsInteger="1" minValue="0" maxValue="4" count="6">
        <n v="4"/>
        <n v="1"/>
        <n v="2"/>
        <n v="3"/>
        <n v="0"/>
        <m/>
      </sharedItems>
    </cacheField>
    <cacheField name="Playing Years" numFmtId="0">
      <sharedItems containsString="0" containsBlank="1" containsNumber="1" containsInteger="1" minValue="0" maxValue="4" count="6">
        <n v="1"/>
        <n v="0"/>
        <n v="3"/>
        <n v="2"/>
        <n v="4"/>
        <m/>
      </sharedItems>
    </cacheField>
    <cacheField name="Playing Hours" numFmtId="0">
      <sharedItems containsString="0" containsBlank="1" containsNumber="1" containsInteger="1" minValue="0" maxValue="5" count="7">
        <n v="1"/>
        <n v="0"/>
        <n v="2"/>
        <n v="5"/>
        <n v="3"/>
        <n v="4"/>
        <m/>
      </sharedItems>
    </cacheField>
    <cacheField name="Grade" numFmtId="0">
      <sharedItems containsString="0" containsBlank="1" containsNumber="1" minValue="6" maxValue="100" count="105">
        <n v="77.5"/>
        <n v="83"/>
        <n v="80"/>
        <n v="45"/>
        <n v="85"/>
        <n v="55"/>
        <n v="60"/>
        <n v="88"/>
        <n v="90"/>
        <n v="74"/>
        <n v="95"/>
        <n v="50"/>
        <n v="98"/>
        <n v="87"/>
        <n v="70"/>
        <n v="65"/>
        <n v="76.5"/>
        <n v="61"/>
        <n v="99"/>
        <n v="77"/>
        <n v="100"/>
        <n v="75"/>
        <n v="69"/>
        <n v="67"/>
        <n v="79"/>
        <n v="36.5"/>
        <n v="92"/>
        <n v="93"/>
        <n v="90.7"/>
        <n v="78"/>
        <n v="68"/>
        <n v="64"/>
        <n v="42.35"/>
        <n v="72.5"/>
        <n v="40"/>
        <n v="63"/>
        <n v="86"/>
        <n v="62"/>
        <n v="89"/>
        <n v="48"/>
        <n v="57.75"/>
        <n v="94"/>
        <n v="66"/>
        <n v="71"/>
        <n v="91"/>
        <n v="57"/>
        <n v="76"/>
        <n v="73"/>
        <n v="97.66"/>
        <n v="82.5"/>
        <n v="98.5"/>
        <n v="78.5"/>
        <n v="94.5"/>
        <n v="95.24"/>
        <n v="65.5"/>
        <n v="85.5"/>
        <n v="93.5"/>
        <n v="90.8"/>
        <n v="86.7"/>
        <n v="59"/>
        <n v="92.6"/>
        <n v="53"/>
        <n v="72"/>
        <n v="82"/>
        <n v="42.5"/>
        <n v="92.5"/>
        <n v="80.5"/>
        <n v="83.5"/>
        <n v="50.6"/>
        <n v="97.5"/>
        <n v="89.5"/>
        <n v="55.5"/>
        <n v="96.5"/>
        <n v="52"/>
        <n v="56"/>
        <n v="67.2"/>
        <n v="97"/>
        <n v="43"/>
        <n v="59.69"/>
        <n v="87.5"/>
        <n v="90.5"/>
        <n v="67.5"/>
        <n v="33"/>
        <n v="85.3"/>
        <n v="70.5"/>
        <n v="49.53"/>
        <n v="72.099999999999994"/>
        <n v="80.33"/>
        <n v="56.5"/>
        <n v="96"/>
        <n v="75.599999999999994"/>
        <n v="79.8"/>
        <n v="84"/>
        <n v="95.33"/>
        <n v="46.5"/>
        <n v="95.5"/>
        <n v="75.5"/>
        <n v="60.5"/>
        <n v="82.2"/>
        <n v="81"/>
        <n v="55.3"/>
        <n v="64.75"/>
        <n v="45.5"/>
        <n v="6"/>
        <m/>
      </sharedItems>
      <fieldGroup base="9">
        <rangePr autoStart="0" startNum="6" endNum="100" groupInterval="10"/>
        <groupItems count="12">
          <s v="&lt;6 или (пусто)"/>
          <s v="6-16"/>
          <s v="16-26"/>
          <s v="26-36"/>
          <s v="36-46"/>
          <s v="46-56"/>
          <s v="56-66"/>
          <s v="66-76"/>
          <s v="76-86"/>
          <s v="86-96"/>
          <s v="96-106"/>
          <s v="&gt;10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730.559534837965" createdVersion="8" refreshedVersion="8" minRefreshableVersion="3" recordCount="770" xr:uid="{5874CC68-6510-45CB-BCB5-7FA8FAC0D05D}">
  <cacheSource type="worksheet">
    <worksheetSource ref="A1:J771" sheet="gameandgrade"/>
  </cacheSource>
  <cacheFields count="11">
    <cacheField name="Sex" numFmtId="0">
      <sharedItems containsSemiMixedTypes="0" containsString="0" containsNumber="1" containsInteger="1" minValue="0" maxValue="1" count="2">
        <n v="0"/>
        <n v="1"/>
      </sharedItems>
    </cacheField>
    <cacheField name="School Code" numFmtId="0">
      <sharedItems containsSemiMixedTypes="0" containsString="0" containsNumber="1" containsInteger="1" minValue="1" maxValue="11" count="11">
        <n v="1"/>
        <n v="2"/>
        <n v="3"/>
        <n v="4"/>
        <n v="5"/>
        <n v="6"/>
        <n v="7"/>
        <n v="8"/>
        <n v="9"/>
        <n v="10"/>
        <n v="11"/>
      </sharedItems>
    </cacheField>
    <cacheField name="Playing Often" numFmtId="0">
      <sharedItems containsSemiMixedTypes="0" containsString="0" containsNumber="1" containsInteger="1" minValue="0" maxValue="5" count="6">
        <n v="2"/>
        <n v="3"/>
        <n v="0"/>
        <n v="5"/>
        <n v="1"/>
        <n v="4"/>
      </sharedItems>
    </cacheField>
    <cacheField name="Playing Games" numFmtId="0">
      <sharedItems containsSemiMixedTypes="0" containsString="0" containsNumber="1" containsInteger="1" minValue="0" maxValue="2"/>
    </cacheField>
    <cacheField name="Mother Education" numFmtId="0">
      <sharedItems containsSemiMixedTypes="0" containsString="0" containsNumber="1" containsInteger="1" minValue="0" maxValue="6" count="7">
        <n v="5"/>
        <n v="3"/>
        <n v="4"/>
        <n v="2"/>
        <n v="1"/>
        <n v="6"/>
        <n v="0"/>
      </sharedItems>
    </cacheField>
    <cacheField name="Father Education" numFmtId="0">
      <sharedItems containsSemiMixedTypes="0" containsString="0" containsNumber="1" containsInteger="1" minValue="0" maxValue="6" count="7">
        <n v="4"/>
        <n v="3"/>
        <n v="2"/>
        <n v="5"/>
        <n v="6"/>
        <n v="0"/>
        <n v="1"/>
      </sharedItems>
    </cacheField>
    <cacheField name="Parent Revenue" numFmtId="0">
      <sharedItems containsSemiMixedTypes="0" containsString="0" containsNumber="1" containsInteger="1" minValue="0" maxValue="4" count="5">
        <n v="4"/>
        <n v="1"/>
        <n v="2"/>
        <n v="3"/>
        <n v="0"/>
      </sharedItems>
    </cacheField>
    <cacheField name="Playing Years" numFmtId="0">
      <sharedItems containsSemiMixedTypes="0" containsString="0" containsNumber="1" containsInteger="1" minValue="0" maxValue="4" count="5">
        <n v="1"/>
        <n v="0"/>
        <n v="3"/>
        <n v="2"/>
        <n v="4"/>
      </sharedItems>
    </cacheField>
    <cacheField name="Playing Hours" numFmtId="0">
      <sharedItems containsSemiMixedTypes="0" containsString="0" containsNumber="1" containsInteger="1" minValue="0" maxValue="5" count="6">
        <n v="1"/>
        <n v="0"/>
        <n v="2"/>
        <n v="5"/>
        <n v="3"/>
        <n v="4"/>
      </sharedItems>
    </cacheField>
    <cacheField name="Grade" numFmtId="2">
      <sharedItems containsMixedTypes="1" containsNumber="1" containsInteger="1" minValue="33" maxValue="100" count="103">
        <s v="77,5"/>
        <n v="83"/>
        <n v="80"/>
        <n v="45"/>
        <n v="85"/>
        <n v="55"/>
        <n v="60"/>
        <n v="88"/>
        <n v="90"/>
        <n v="74"/>
        <n v="95"/>
        <n v="50"/>
        <n v="98"/>
        <n v="87"/>
        <n v="70"/>
        <n v="65"/>
        <s v="76,5"/>
        <n v="61"/>
        <n v="99"/>
        <n v="77"/>
        <n v="100"/>
        <n v="75"/>
        <n v="69"/>
        <n v="67"/>
        <n v="79"/>
        <s v="36,5"/>
        <n v="92"/>
        <n v="93"/>
        <s v="90,7"/>
        <n v="78"/>
        <n v="68"/>
        <n v="64"/>
        <s v="42,35"/>
        <s v="72,5"/>
        <n v="40"/>
        <n v="63"/>
        <n v="86"/>
        <n v="62"/>
        <n v="89"/>
        <n v="48"/>
        <s v="57,75"/>
        <n v="94"/>
        <n v="66"/>
        <n v="71"/>
        <n v="91"/>
        <n v="57"/>
        <n v="76"/>
        <n v="73"/>
        <s v="97,66"/>
        <s v="82,5"/>
        <s v="98,5"/>
        <s v="78,5"/>
        <s v="94,5"/>
        <s v="95,24"/>
        <s v="65,5"/>
        <s v="85,5"/>
        <s v="93,5"/>
        <s v="90,8"/>
        <s v="86,7"/>
        <n v="59"/>
        <s v="92,6"/>
        <n v="53"/>
        <n v="72"/>
        <n v="82"/>
        <s v="42,5"/>
        <s v="92,5"/>
        <s v="80,5"/>
        <s v="83,5"/>
        <s v="50,6"/>
        <s v="97,5"/>
        <s v="89,5"/>
        <s v="55,5"/>
        <s v="96,5"/>
        <n v="52"/>
        <n v="56"/>
        <s v="67,2"/>
        <n v="97"/>
        <n v="43"/>
        <s v="59,69"/>
        <s v="87,5"/>
        <s v="90,5"/>
        <s v="67,5"/>
        <n v="33"/>
        <s v="85,3"/>
        <s v="70,5"/>
        <s v="49,53"/>
        <s v="72,1"/>
        <s v="80,33"/>
        <s v="56,5"/>
        <n v="96"/>
        <s v="75,6"/>
        <s v="79,8"/>
        <n v="84"/>
        <s v="95,33"/>
        <s v="46,5"/>
        <s v="95,5"/>
        <s v="75,5"/>
        <s v="60,5"/>
        <s v="82,2"/>
        <n v="81"/>
        <s v="55,3"/>
        <s v="64,75"/>
        <s v="45,5"/>
      </sharedItems>
    </cacheField>
    <cacheField name="Поле1" numFmtId="0" formula=" 0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758.591688657405" createdVersion="8" refreshedVersion="8" minRefreshableVersion="3" recordCount="773" xr:uid="{0700B421-12D3-446F-8D4D-F26C31B53748}">
  <cacheSource type="worksheet">
    <worksheetSource ref="A1:J1048576" sheet="gameandgrade"/>
  </cacheSource>
  <cacheFields count="10">
    <cacheField name="Sex" numFmtId="0">
      <sharedItems containsString="0" containsBlank="1" containsNumber="1" containsInteger="1" minValue="0" maxValue="1" count="3">
        <n v="0"/>
        <n v="1"/>
        <m/>
      </sharedItems>
    </cacheField>
    <cacheField name="School Code" numFmtId="0">
      <sharedItems containsString="0" containsBlank="1" containsNumber="1" containsInteger="1" minValue="1" maxValue="11" count="12">
        <n v="1"/>
        <n v="2"/>
        <n v="3"/>
        <n v="4"/>
        <n v="5"/>
        <n v="6"/>
        <n v="7"/>
        <n v="8"/>
        <n v="9"/>
        <n v="10"/>
        <n v="11"/>
        <m/>
      </sharedItems>
    </cacheField>
    <cacheField name="Playing Often" numFmtId="0">
      <sharedItems containsString="0" containsBlank="1" containsNumber="1" containsInteger="1" minValue="0" maxValue="5" count="7">
        <n v="2"/>
        <n v="3"/>
        <n v="0"/>
        <n v="5"/>
        <n v="1"/>
        <n v="4"/>
        <m/>
      </sharedItems>
    </cacheField>
    <cacheField name="Playing Games" numFmtId="0">
      <sharedItems containsString="0" containsBlank="1" containsNumber="1" containsInteger="1" minValue="0" maxValue="2"/>
    </cacheField>
    <cacheField name="Mother Education" numFmtId="0">
      <sharedItems containsString="0" containsBlank="1" containsNumber="1" containsInteger="1" minValue="0" maxValue="6"/>
    </cacheField>
    <cacheField name="Father Education" numFmtId="0">
      <sharedItems containsString="0" containsBlank="1" containsNumber="1" containsInteger="1" minValue="0" maxValue="6"/>
    </cacheField>
    <cacheField name="Parent Revenue" numFmtId="0">
      <sharedItems containsString="0" containsBlank="1" containsNumber="1" containsInteger="1" minValue="0" maxValue="4" count="6">
        <n v="4"/>
        <n v="1"/>
        <n v="2"/>
        <n v="3"/>
        <n v="0"/>
        <m/>
      </sharedItems>
    </cacheField>
    <cacheField name="Playing Years" numFmtId="0">
      <sharedItems containsString="0" containsBlank="1" containsNumber="1" containsInteger="1" minValue="0" maxValue="4" count="6">
        <n v="1"/>
        <n v="0"/>
        <n v="3"/>
        <n v="2"/>
        <n v="4"/>
        <m/>
      </sharedItems>
    </cacheField>
    <cacheField name="Playing Hours" numFmtId="0">
      <sharedItems containsString="0" containsBlank="1" containsNumber="1" containsInteger="1" minValue="0" maxValue="5" count="7">
        <n v="1"/>
        <n v="0"/>
        <n v="2"/>
        <n v="5"/>
        <n v="3"/>
        <n v="4"/>
        <m/>
      </sharedItems>
    </cacheField>
    <cacheField name="Grade" numFmtId="0">
      <sharedItems containsString="0" containsBlank="1" containsNumber="1" minValue="6" maxValue="100" count="105">
        <n v="77.5"/>
        <n v="83"/>
        <n v="80"/>
        <n v="45"/>
        <n v="85"/>
        <n v="55"/>
        <n v="60"/>
        <n v="88"/>
        <n v="90"/>
        <n v="74"/>
        <n v="95"/>
        <n v="50"/>
        <n v="98"/>
        <n v="87"/>
        <n v="70"/>
        <n v="65"/>
        <n v="76.5"/>
        <n v="61"/>
        <n v="99"/>
        <n v="77"/>
        <n v="100"/>
        <n v="75"/>
        <n v="69"/>
        <n v="67"/>
        <n v="79"/>
        <n v="36.5"/>
        <n v="92"/>
        <n v="93"/>
        <n v="90.7"/>
        <n v="78"/>
        <n v="68"/>
        <n v="64"/>
        <n v="42.35"/>
        <n v="72.5"/>
        <n v="40"/>
        <n v="63"/>
        <n v="86"/>
        <n v="62"/>
        <n v="89"/>
        <n v="48"/>
        <n v="57.75"/>
        <n v="94"/>
        <n v="66"/>
        <n v="71"/>
        <n v="91"/>
        <n v="57"/>
        <n v="76"/>
        <n v="73"/>
        <n v="97.66"/>
        <n v="82.5"/>
        <n v="98.5"/>
        <n v="78.5"/>
        <n v="94.5"/>
        <n v="95.24"/>
        <n v="65.5"/>
        <n v="85.5"/>
        <n v="93.5"/>
        <n v="90.8"/>
        <n v="86.7"/>
        <n v="59"/>
        <n v="92.6"/>
        <n v="53"/>
        <n v="72"/>
        <n v="82"/>
        <n v="42.5"/>
        <n v="92.5"/>
        <n v="80.5"/>
        <n v="83.5"/>
        <n v="50.6"/>
        <n v="97.5"/>
        <n v="89.5"/>
        <n v="55.5"/>
        <n v="96.5"/>
        <n v="52"/>
        <n v="56"/>
        <n v="67.2"/>
        <n v="97"/>
        <n v="43"/>
        <n v="59.69"/>
        <n v="87.5"/>
        <n v="90.5"/>
        <n v="67.5"/>
        <n v="33"/>
        <n v="85.3"/>
        <n v="70.5"/>
        <n v="49.53"/>
        <n v="72.099999999999994"/>
        <n v="80.33"/>
        <n v="56.5"/>
        <n v="96"/>
        <n v="75.599999999999994"/>
        <n v="79.8"/>
        <n v="84"/>
        <n v="95.33"/>
        <n v="46.5"/>
        <n v="95.5"/>
        <n v="75.5"/>
        <n v="60.5"/>
        <n v="82.2"/>
        <n v="81"/>
        <n v="55.3"/>
        <n v="64.75"/>
        <n v="45.5"/>
        <n v="6"/>
        <m/>
      </sharedItems>
      <fieldGroup base="9">
        <rangePr autoStart="0" startNum="6" endNum="100" groupInterval="10"/>
        <groupItems count="12">
          <s v="&lt;6 или (пусто)"/>
          <s v="6-16"/>
          <s v="16-26"/>
          <s v="26-36"/>
          <s v="36-46"/>
          <s v="46-56"/>
          <s v="56-66"/>
          <s v="66-76"/>
          <s v="76-86"/>
          <s v="86-96"/>
          <s v="96-106"/>
          <s v="&gt;10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807.210806481482" createdVersion="8" refreshedVersion="8" minRefreshableVersion="3" recordCount="770" xr:uid="{D7BCABFE-C93E-C443-A2CE-65769A00D966}">
  <cacheSource type="worksheet">
    <worksheetSource name="data" sheet="gameandgrade"/>
  </cacheSource>
  <cacheFields count="14">
    <cacheField name="Sex" numFmtId="0">
      <sharedItems containsSemiMixedTypes="0" containsString="0" containsNumber="1" containsInteger="1" minValue="0" maxValue="1"/>
    </cacheField>
    <cacheField name="School Code" numFmtId="0">
      <sharedItems containsSemiMixedTypes="0" containsString="0" containsNumber="1" containsInteger="1" minValue="1" maxValue="11" count="11">
        <n v="5"/>
        <n v="1"/>
        <n v="10"/>
        <n v="8"/>
        <n v="11"/>
        <n v="4"/>
        <n v="3"/>
        <n v="2"/>
        <n v="9"/>
        <n v="7"/>
        <n v="6"/>
      </sharedItems>
    </cacheField>
    <cacheField name="Playing Often" numFmtId="0">
      <sharedItems containsSemiMixedTypes="0" containsString="0" containsNumber="1" containsInteger="1" minValue="0" maxValue="5" count="6">
        <n v="0"/>
        <n v="1"/>
        <n v="2"/>
        <n v="3"/>
        <n v="4"/>
        <n v="5"/>
      </sharedItems>
      <fieldGroup par="12"/>
    </cacheField>
    <cacheField name="Playing Games" numFmtId="0">
      <sharedItems containsSemiMixedTypes="0" containsString="0" containsNumber="1" containsInteger="1" minValue="0" maxValue="2"/>
    </cacheField>
    <cacheField name="Mother Education" numFmtId="0">
      <sharedItems containsSemiMixedTypes="0" containsString="0" containsNumber="1" containsInteger="1" minValue="0" maxValue="6"/>
    </cacheField>
    <cacheField name="Father Education" numFmtId="0">
      <sharedItems containsSemiMixedTypes="0" containsString="0" containsNumber="1" containsInteger="1" minValue="0" maxValue="6"/>
    </cacheField>
    <cacheField name="Parent Revenue" numFmtId="0">
      <sharedItems containsSemiMixedTypes="0" containsString="0" containsNumber="1" containsInteger="1" minValue="0" maxValue="4" count="5">
        <n v="0"/>
        <n v="1"/>
        <n v="2"/>
        <n v="3"/>
        <n v="4"/>
      </sharedItems>
      <fieldGroup par="13"/>
    </cacheField>
    <cacheField name="Playing Years" numFmtId="0">
      <sharedItems containsSemiMixedTypes="0" containsString="0" containsNumber="1" containsInteger="1" minValue="0" maxValue="4"/>
    </cacheField>
    <cacheField name="Playing Hours" numFmtId="0">
      <sharedItems containsSemiMixedTypes="0" containsString="0" containsNumber="1" containsInteger="1" minValue="0" maxValue="5"/>
    </cacheField>
    <cacheField name="Grade" numFmtId="2">
      <sharedItems containsSemiMixedTypes="0" containsString="0" containsNumber="1" minValue="6" maxValue="100" count="104">
        <n v="100"/>
        <n v="36.5"/>
        <n v="63"/>
        <n v="75"/>
        <n v="70"/>
        <n v="45"/>
        <n v="50"/>
        <n v="55"/>
        <n v="78.5"/>
        <n v="85"/>
        <n v="86"/>
        <n v="87.5"/>
        <n v="88"/>
        <n v="90"/>
        <n v="92"/>
        <n v="65"/>
        <n v="68"/>
        <n v="77.5"/>
        <n v="80"/>
        <n v="80.5"/>
        <n v="85.5"/>
        <n v="90.8"/>
        <n v="95"/>
        <n v="99"/>
        <n v="97"/>
        <n v="67"/>
        <n v="91"/>
        <n v="94"/>
        <n v="53"/>
        <n v="59"/>
        <n v="60"/>
        <n v="84"/>
        <n v="87"/>
        <n v="62"/>
        <n v="75.599999999999994"/>
        <n v="83"/>
        <n v="95.33"/>
        <n v="96"/>
        <n v="70.5"/>
        <n v="72"/>
        <n v="77"/>
        <n v="89"/>
        <n v="98"/>
        <n v="76"/>
        <n v="72.5"/>
        <n v="60.5"/>
        <n v="52"/>
        <n v="73"/>
        <n v="92.5"/>
        <n v="61"/>
        <n v="74"/>
        <n v="83.5"/>
        <n v="65.5"/>
        <n v="90.7"/>
        <n v="95.24"/>
        <n v="67.5"/>
        <n v="57.75"/>
        <n v="96.5"/>
        <n v="97.66"/>
        <n v="57"/>
        <n v="66"/>
        <n v="67.2"/>
        <n v="71"/>
        <n v="78"/>
        <n v="86.7"/>
        <n v="55.3"/>
        <n v="79"/>
        <n v="82.5"/>
        <n v="94.5"/>
        <n v="93"/>
        <n v="56"/>
        <n v="75.5"/>
        <n v="81"/>
        <n v="45.5"/>
        <n v="55.5"/>
        <n v="89.5"/>
        <n v="97.5"/>
        <n v="6"/>
        <n v="98.5"/>
        <n v="92.6"/>
        <n v="64.75"/>
        <n v="46.5"/>
        <n v="59.69"/>
        <n v="82.2"/>
        <n v="76.5"/>
        <n v="40"/>
        <n v="82"/>
        <n v="42.35"/>
        <n v="64"/>
        <n v="69"/>
        <n v="79.8"/>
        <n v="42.5"/>
        <n v="80.33"/>
        <n v="43"/>
        <n v="72.099999999999994"/>
        <n v="93.5"/>
        <n v="90.5"/>
        <n v="50.6"/>
        <n v="49.53"/>
        <n v="33"/>
        <n v="85.3"/>
        <n v="95.5"/>
        <n v="48"/>
        <n v="56.5"/>
      </sharedItems>
    </cacheField>
    <cacheField name="Кач. Оценка" numFmtId="0">
      <sharedItems count="6">
        <s v="Отлично"/>
        <s v="Плохо"/>
        <s v="Хорошо"/>
        <s v="Средне"/>
        <s v="Ужасно"/>
        <s v="Нормально" u="1"/>
      </sharedItems>
    </cacheField>
    <cacheField name="Поле1" numFmtId="0" formula=" 0" databaseField="0"/>
    <cacheField name="Playing Often2" numFmtId="0" databaseField="0">
      <fieldGroup base="2">
        <discretePr count="6">
          <x v="0"/>
          <x v="0"/>
          <x v="0"/>
          <x v="1"/>
          <x v="1"/>
          <x v="1"/>
        </discretePr>
        <groupItems count="2">
          <s v="Группа1"/>
          <s v="Группа2"/>
        </groupItems>
      </fieldGroup>
    </cacheField>
    <cacheField name="Parent Revenue2" numFmtId="0" databaseField="0">
      <fieldGroup base="6">
        <discretePr count="5">
          <x v="2"/>
          <x v="2"/>
          <x v="0"/>
          <x v="1"/>
          <x v="1"/>
        </discretePr>
        <groupItems count="3">
          <n v="2"/>
          <s v="Группа2"/>
          <s v="Группа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0">
  <r>
    <x v="0"/>
    <x v="0"/>
    <x v="0"/>
    <n v="1"/>
    <x v="0"/>
    <x v="0"/>
    <x v="0"/>
    <x v="0"/>
    <x v="0"/>
    <x v="0"/>
  </r>
  <r>
    <x v="1"/>
    <x v="0"/>
    <x v="1"/>
    <n v="1"/>
    <x v="1"/>
    <x v="1"/>
    <x v="1"/>
    <x v="0"/>
    <x v="0"/>
    <x v="1"/>
  </r>
  <r>
    <x v="0"/>
    <x v="0"/>
    <x v="2"/>
    <n v="0"/>
    <x v="1"/>
    <x v="1"/>
    <x v="1"/>
    <x v="1"/>
    <x v="1"/>
    <x v="2"/>
  </r>
  <r>
    <x v="0"/>
    <x v="0"/>
    <x v="3"/>
    <n v="1"/>
    <x v="1"/>
    <x v="2"/>
    <x v="2"/>
    <x v="2"/>
    <x v="0"/>
    <x v="3"/>
  </r>
  <r>
    <x v="1"/>
    <x v="0"/>
    <x v="4"/>
    <n v="1"/>
    <x v="2"/>
    <x v="1"/>
    <x v="1"/>
    <x v="0"/>
    <x v="2"/>
    <x v="4"/>
  </r>
  <r>
    <x v="0"/>
    <x v="0"/>
    <x v="3"/>
    <n v="1"/>
    <x v="3"/>
    <x v="2"/>
    <x v="1"/>
    <x v="0"/>
    <x v="0"/>
    <x v="2"/>
  </r>
  <r>
    <x v="0"/>
    <x v="0"/>
    <x v="0"/>
    <n v="1"/>
    <x v="1"/>
    <x v="1"/>
    <x v="2"/>
    <x v="0"/>
    <x v="2"/>
    <x v="5"/>
  </r>
  <r>
    <x v="0"/>
    <x v="0"/>
    <x v="3"/>
    <n v="1"/>
    <x v="1"/>
    <x v="1"/>
    <x v="2"/>
    <x v="0"/>
    <x v="2"/>
    <x v="2"/>
  </r>
  <r>
    <x v="1"/>
    <x v="0"/>
    <x v="4"/>
    <n v="1"/>
    <x v="0"/>
    <x v="1"/>
    <x v="3"/>
    <x v="3"/>
    <x v="0"/>
    <x v="6"/>
  </r>
  <r>
    <x v="0"/>
    <x v="0"/>
    <x v="3"/>
    <n v="1"/>
    <x v="2"/>
    <x v="2"/>
    <x v="1"/>
    <x v="3"/>
    <x v="2"/>
    <x v="7"/>
  </r>
  <r>
    <x v="1"/>
    <x v="0"/>
    <x v="4"/>
    <n v="1"/>
    <x v="3"/>
    <x v="0"/>
    <x v="2"/>
    <x v="4"/>
    <x v="0"/>
    <x v="2"/>
  </r>
  <r>
    <x v="0"/>
    <x v="0"/>
    <x v="2"/>
    <n v="0"/>
    <x v="2"/>
    <x v="0"/>
    <x v="2"/>
    <x v="1"/>
    <x v="1"/>
    <x v="3"/>
  </r>
  <r>
    <x v="1"/>
    <x v="0"/>
    <x v="1"/>
    <n v="1"/>
    <x v="0"/>
    <x v="3"/>
    <x v="2"/>
    <x v="2"/>
    <x v="2"/>
    <x v="8"/>
  </r>
  <r>
    <x v="1"/>
    <x v="0"/>
    <x v="4"/>
    <n v="1"/>
    <x v="0"/>
    <x v="3"/>
    <x v="2"/>
    <x v="4"/>
    <x v="2"/>
    <x v="9"/>
  </r>
  <r>
    <x v="1"/>
    <x v="0"/>
    <x v="3"/>
    <n v="1"/>
    <x v="2"/>
    <x v="0"/>
    <x v="2"/>
    <x v="2"/>
    <x v="3"/>
    <x v="10"/>
  </r>
  <r>
    <x v="1"/>
    <x v="0"/>
    <x v="5"/>
    <n v="1"/>
    <x v="1"/>
    <x v="1"/>
    <x v="1"/>
    <x v="3"/>
    <x v="4"/>
    <x v="11"/>
  </r>
  <r>
    <x v="0"/>
    <x v="0"/>
    <x v="3"/>
    <n v="1"/>
    <x v="4"/>
    <x v="0"/>
    <x v="1"/>
    <x v="0"/>
    <x v="0"/>
    <x v="12"/>
  </r>
  <r>
    <x v="1"/>
    <x v="0"/>
    <x v="0"/>
    <n v="1"/>
    <x v="1"/>
    <x v="3"/>
    <x v="2"/>
    <x v="3"/>
    <x v="4"/>
    <x v="8"/>
  </r>
  <r>
    <x v="1"/>
    <x v="0"/>
    <x v="1"/>
    <n v="1"/>
    <x v="2"/>
    <x v="1"/>
    <x v="3"/>
    <x v="2"/>
    <x v="2"/>
    <x v="13"/>
  </r>
  <r>
    <x v="0"/>
    <x v="0"/>
    <x v="2"/>
    <n v="0"/>
    <x v="1"/>
    <x v="2"/>
    <x v="2"/>
    <x v="1"/>
    <x v="1"/>
    <x v="5"/>
  </r>
  <r>
    <x v="0"/>
    <x v="0"/>
    <x v="0"/>
    <n v="1"/>
    <x v="2"/>
    <x v="0"/>
    <x v="0"/>
    <x v="3"/>
    <x v="2"/>
    <x v="10"/>
  </r>
  <r>
    <x v="1"/>
    <x v="0"/>
    <x v="5"/>
    <n v="1"/>
    <x v="3"/>
    <x v="1"/>
    <x v="1"/>
    <x v="0"/>
    <x v="0"/>
    <x v="14"/>
  </r>
  <r>
    <x v="1"/>
    <x v="0"/>
    <x v="3"/>
    <n v="1"/>
    <x v="4"/>
    <x v="0"/>
    <x v="3"/>
    <x v="0"/>
    <x v="0"/>
    <x v="14"/>
  </r>
  <r>
    <x v="1"/>
    <x v="0"/>
    <x v="0"/>
    <n v="1"/>
    <x v="1"/>
    <x v="1"/>
    <x v="1"/>
    <x v="2"/>
    <x v="2"/>
    <x v="3"/>
  </r>
  <r>
    <x v="0"/>
    <x v="0"/>
    <x v="2"/>
    <n v="0"/>
    <x v="1"/>
    <x v="0"/>
    <x v="1"/>
    <x v="1"/>
    <x v="1"/>
    <x v="2"/>
  </r>
  <r>
    <x v="1"/>
    <x v="0"/>
    <x v="0"/>
    <n v="1"/>
    <x v="3"/>
    <x v="2"/>
    <x v="2"/>
    <x v="3"/>
    <x v="0"/>
    <x v="15"/>
  </r>
  <r>
    <x v="0"/>
    <x v="0"/>
    <x v="3"/>
    <n v="1"/>
    <x v="0"/>
    <x v="2"/>
    <x v="1"/>
    <x v="0"/>
    <x v="0"/>
    <x v="10"/>
  </r>
  <r>
    <x v="1"/>
    <x v="0"/>
    <x v="2"/>
    <n v="0"/>
    <x v="1"/>
    <x v="0"/>
    <x v="3"/>
    <x v="1"/>
    <x v="1"/>
    <x v="3"/>
  </r>
  <r>
    <x v="1"/>
    <x v="0"/>
    <x v="4"/>
    <n v="1"/>
    <x v="3"/>
    <x v="2"/>
    <x v="2"/>
    <x v="4"/>
    <x v="4"/>
    <x v="16"/>
  </r>
  <r>
    <x v="1"/>
    <x v="0"/>
    <x v="0"/>
    <n v="1"/>
    <x v="3"/>
    <x v="0"/>
    <x v="2"/>
    <x v="3"/>
    <x v="0"/>
    <x v="17"/>
  </r>
  <r>
    <x v="0"/>
    <x v="0"/>
    <x v="2"/>
    <n v="0"/>
    <x v="3"/>
    <x v="1"/>
    <x v="3"/>
    <x v="1"/>
    <x v="1"/>
    <x v="10"/>
  </r>
  <r>
    <x v="0"/>
    <x v="0"/>
    <x v="5"/>
    <n v="1"/>
    <x v="3"/>
    <x v="2"/>
    <x v="1"/>
    <x v="0"/>
    <x v="0"/>
    <x v="2"/>
  </r>
  <r>
    <x v="0"/>
    <x v="0"/>
    <x v="2"/>
    <n v="0"/>
    <x v="2"/>
    <x v="2"/>
    <x v="1"/>
    <x v="1"/>
    <x v="1"/>
    <x v="4"/>
  </r>
  <r>
    <x v="0"/>
    <x v="0"/>
    <x v="2"/>
    <n v="0"/>
    <x v="2"/>
    <x v="2"/>
    <x v="1"/>
    <x v="1"/>
    <x v="1"/>
    <x v="18"/>
  </r>
  <r>
    <x v="1"/>
    <x v="0"/>
    <x v="0"/>
    <n v="1"/>
    <x v="3"/>
    <x v="1"/>
    <x v="3"/>
    <x v="3"/>
    <x v="0"/>
    <x v="19"/>
  </r>
  <r>
    <x v="1"/>
    <x v="0"/>
    <x v="2"/>
    <n v="0"/>
    <x v="3"/>
    <x v="2"/>
    <x v="3"/>
    <x v="1"/>
    <x v="1"/>
    <x v="8"/>
  </r>
  <r>
    <x v="0"/>
    <x v="0"/>
    <x v="5"/>
    <n v="1"/>
    <x v="2"/>
    <x v="0"/>
    <x v="2"/>
    <x v="3"/>
    <x v="0"/>
    <x v="20"/>
  </r>
  <r>
    <x v="1"/>
    <x v="0"/>
    <x v="1"/>
    <n v="1"/>
    <x v="2"/>
    <x v="3"/>
    <x v="2"/>
    <x v="4"/>
    <x v="4"/>
    <x v="2"/>
  </r>
  <r>
    <x v="0"/>
    <x v="0"/>
    <x v="2"/>
    <n v="0"/>
    <x v="3"/>
    <x v="1"/>
    <x v="3"/>
    <x v="1"/>
    <x v="1"/>
    <x v="18"/>
  </r>
  <r>
    <x v="1"/>
    <x v="0"/>
    <x v="1"/>
    <n v="1"/>
    <x v="3"/>
    <x v="2"/>
    <x v="2"/>
    <x v="3"/>
    <x v="4"/>
    <x v="14"/>
  </r>
  <r>
    <x v="1"/>
    <x v="0"/>
    <x v="4"/>
    <n v="1"/>
    <x v="3"/>
    <x v="2"/>
    <x v="2"/>
    <x v="4"/>
    <x v="3"/>
    <x v="11"/>
  </r>
  <r>
    <x v="0"/>
    <x v="0"/>
    <x v="4"/>
    <n v="1"/>
    <x v="1"/>
    <x v="0"/>
    <x v="2"/>
    <x v="3"/>
    <x v="4"/>
    <x v="2"/>
  </r>
  <r>
    <x v="0"/>
    <x v="0"/>
    <x v="2"/>
    <n v="0"/>
    <x v="3"/>
    <x v="2"/>
    <x v="3"/>
    <x v="1"/>
    <x v="1"/>
    <x v="5"/>
  </r>
  <r>
    <x v="0"/>
    <x v="0"/>
    <x v="5"/>
    <n v="1"/>
    <x v="2"/>
    <x v="3"/>
    <x v="2"/>
    <x v="0"/>
    <x v="0"/>
    <x v="21"/>
  </r>
  <r>
    <x v="1"/>
    <x v="0"/>
    <x v="4"/>
    <n v="1"/>
    <x v="0"/>
    <x v="0"/>
    <x v="2"/>
    <x v="4"/>
    <x v="4"/>
    <x v="22"/>
  </r>
  <r>
    <x v="0"/>
    <x v="0"/>
    <x v="5"/>
    <n v="1"/>
    <x v="0"/>
    <x v="3"/>
    <x v="3"/>
    <x v="3"/>
    <x v="2"/>
    <x v="10"/>
  </r>
  <r>
    <x v="0"/>
    <x v="0"/>
    <x v="0"/>
    <n v="1"/>
    <x v="1"/>
    <x v="1"/>
    <x v="1"/>
    <x v="0"/>
    <x v="0"/>
    <x v="5"/>
  </r>
  <r>
    <x v="1"/>
    <x v="0"/>
    <x v="4"/>
    <n v="1"/>
    <x v="3"/>
    <x v="1"/>
    <x v="3"/>
    <x v="4"/>
    <x v="2"/>
    <x v="6"/>
  </r>
  <r>
    <x v="1"/>
    <x v="0"/>
    <x v="5"/>
    <n v="1"/>
    <x v="3"/>
    <x v="2"/>
    <x v="2"/>
    <x v="3"/>
    <x v="4"/>
    <x v="6"/>
  </r>
  <r>
    <x v="1"/>
    <x v="0"/>
    <x v="4"/>
    <n v="1"/>
    <x v="1"/>
    <x v="2"/>
    <x v="1"/>
    <x v="3"/>
    <x v="4"/>
    <x v="3"/>
  </r>
  <r>
    <x v="0"/>
    <x v="0"/>
    <x v="3"/>
    <n v="1"/>
    <x v="2"/>
    <x v="0"/>
    <x v="2"/>
    <x v="0"/>
    <x v="0"/>
    <x v="15"/>
  </r>
  <r>
    <x v="0"/>
    <x v="0"/>
    <x v="5"/>
    <n v="1"/>
    <x v="3"/>
    <x v="3"/>
    <x v="1"/>
    <x v="0"/>
    <x v="0"/>
    <x v="11"/>
  </r>
  <r>
    <x v="0"/>
    <x v="0"/>
    <x v="5"/>
    <n v="1"/>
    <x v="3"/>
    <x v="2"/>
    <x v="1"/>
    <x v="0"/>
    <x v="4"/>
    <x v="21"/>
  </r>
  <r>
    <x v="1"/>
    <x v="0"/>
    <x v="2"/>
    <n v="0"/>
    <x v="1"/>
    <x v="1"/>
    <x v="3"/>
    <x v="1"/>
    <x v="1"/>
    <x v="14"/>
  </r>
  <r>
    <x v="1"/>
    <x v="0"/>
    <x v="3"/>
    <n v="1"/>
    <x v="2"/>
    <x v="1"/>
    <x v="3"/>
    <x v="0"/>
    <x v="0"/>
    <x v="12"/>
  </r>
  <r>
    <x v="0"/>
    <x v="0"/>
    <x v="2"/>
    <n v="0"/>
    <x v="1"/>
    <x v="2"/>
    <x v="1"/>
    <x v="1"/>
    <x v="1"/>
    <x v="23"/>
  </r>
  <r>
    <x v="0"/>
    <x v="0"/>
    <x v="2"/>
    <n v="0"/>
    <x v="3"/>
    <x v="1"/>
    <x v="2"/>
    <x v="1"/>
    <x v="1"/>
    <x v="5"/>
  </r>
  <r>
    <x v="1"/>
    <x v="0"/>
    <x v="0"/>
    <n v="1"/>
    <x v="1"/>
    <x v="0"/>
    <x v="1"/>
    <x v="4"/>
    <x v="2"/>
    <x v="6"/>
  </r>
  <r>
    <x v="1"/>
    <x v="0"/>
    <x v="1"/>
    <n v="1"/>
    <x v="2"/>
    <x v="0"/>
    <x v="2"/>
    <x v="2"/>
    <x v="0"/>
    <x v="20"/>
  </r>
  <r>
    <x v="1"/>
    <x v="0"/>
    <x v="1"/>
    <n v="1"/>
    <x v="2"/>
    <x v="0"/>
    <x v="1"/>
    <x v="4"/>
    <x v="0"/>
    <x v="15"/>
  </r>
  <r>
    <x v="0"/>
    <x v="0"/>
    <x v="2"/>
    <n v="0"/>
    <x v="5"/>
    <x v="4"/>
    <x v="3"/>
    <x v="1"/>
    <x v="1"/>
    <x v="10"/>
  </r>
  <r>
    <x v="1"/>
    <x v="0"/>
    <x v="4"/>
    <n v="1"/>
    <x v="3"/>
    <x v="2"/>
    <x v="2"/>
    <x v="4"/>
    <x v="2"/>
    <x v="10"/>
  </r>
  <r>
    <x v="0"/>
    <x v="0"/>
    <x v="5"/>
    <n v="1"/>
    <x v="1"/>
    <x v="0"/>
    <x v="2"/>
    <x v="3"/>
    <x v="0"/>
    <x v="24"/>
  </r>
  <r>
    <x v="0"/>
    <x v="0"/>
    <x v="0"/>
    <n v="1"/>
    <x v="1"/>
    <x v="3"/>
    <x v="2"/>
    <x v="0"/>
    <x v="0"/>
    <x v="11"/>
  </r>
  <r>
    <x v="1"/>
    <x v="0"/>
    <x v="0"/>
    <n v="1"/>
    <x v="3"/>
    <x v="1"/>
    <x v="1"/>
    <x v="3"/>
    <x v="0"/>
    <x v="14"/>
  </r>
  <r>
    <x v="0"/>
    <x v="0"/>
    <x v="3"/>
    <n v="1"/>
    <x v="1"/>
    <x v="2"/>
    <x v="2"/>
    <x v="0"/>
    <x v="0"/>
    <x v="11"/>
  </r>
  <r>
    <x v="0"/>
    <x v="0"/>
    <x v="2"/>
    <n v="0"/>
    <x v="4"/>
    <x v="1"/>
    <x v="1"/>
    <x v="1"/>
    <x v="1"/>
    <x v="25"/>
  </r>
  <r>
    <x v="0"/>
    <x v="0"/>
    <x v="2"/>
    <n v="0"/>
    <x v="0"/>
    <x v="1"/>
    <x v="2"/>
    <x v="1"/>
    <x v="1"/>
    <x v="11"/>
  </r>
  <r>
    <x v="0"/>
    <x v="0"/>
    <x v="2"/>
    <n v="0"/>
    <x v="0"/>
    <x v="4"/>
    <x v="3"/>
    <x v="1"/>
    <x v="1"/>
    <x v="8"/>
  </r>
  <r>
    <x v="1"/>
    <x v="0"/>
    <x v="5"/>
    <n v="1"/>
    <x v="2"/>
    <x v="3"/>
    <x v="2"/>
    <x v="2"/>
    <x v="2"/>
    <x v="15"/>
  </r>
  <r>
    <x v="0"/>
    <x v="0"/>
    <x v="2"/>
    <n v="0"/>
    <x v="2"/>
    <x v="5"/>
    <x v="3"/>
    <x v="1"/>
    <x v="1"/>
    <x v="8"/>
  </r>
  <r>
    <x v="1"/>
    <x v="0"/>
    <x v="1"/>
    <n v="1"/>
    <x v="4"/>
    <x v="2"/>
    <x v="1"/>
    <x v="0"/>
    <x v="2"/>
    <x v="14"/>
  </r>
  <r>
    <x v="1"/>
    <x v="0"/>
    <x v="3"/>
    <n v="1"/>
    <x v="5"/>
    <x v="4"/>
    <x v="0"/>
    <x v="4"/>
    <x v="4"/>
    <x v="2"/>
  </r>
  <r>
    <x v="1"/>
    <x v="0"/>
    <x v="1"/>
    <n v="1"/>
    <x v="5"/>
    <x v="4"/>
    <x v="3"/>
    <x v="4"/>
    <x v="2"/>
    <x v="15"/>
  </r>
  <r>
    <x v="0"/>
    <x v="0"/>
    <x v="3"/>
    <n v="1"/>
    <x v="0"/>
    <x v="3"/>
    <x v="0"/>
    <x v="2"/>
    <x v="0"/>
    <x v="8"/>
  </r>
  <r>
    <x v="1"/>
    <x v="0"/>
    <x v="1"/>
    <n v="1"/>
    <x v="0"/>
    <x v="0"/>
    <x v="3"/>
    <x v="4"/>
    <x v="4"/>
    <x v="14"/>
  </r>
  <r>
    <x v="1"/>
    <x v="0"/>
    <x v="3"/>
    <n v="1"/>
    <x v="5"/>
    <x v="4"/>
    <x v="3"/>
    <x v="4"/>
    <x v="3"/>
    <x v="26"/>
  </r>
  <r>
    <x v="0"/>
    <x v="0"/>
    <x v="3"/>
    <n v="1"/>
    <x v="2"/>
    <x v="0"/>
    <x v="2"/>
    <x v="4"/>
    <x v="2"/>
    <x v="4"/>
  </r>
  <r>
    <x v="1"/>
    <x v="0"/>
    <x v="5"/>
    <n v="1"/>
    <x v="0"/>
    <x v="3"/>
    <x v="2"/>
    <x v="4"/>
    <x v="2"/>
    <x v="27"/>
  </r>
  <r>
    <x v="1"/>
    <x v="0"/>
    <x v="5"/>
    <n v="1"/>
    <x v="3"/>
    <x v="1"/>
    <x v="2"/>
    <x v="4"/>
    <x v="2"/>
    <x v="19"/>
  </r>
  <r>
    <x v="1"/>
    <x v="0"/>
    <x v="5"/>
    <n v="1"/>
    <x v="1"/>
    <x v="2"/>
    <x v="1"/>
    <x v="4"/>
    <x v="2"/>
    <x v="27"/>
  </r>
  <r>
    <x v="0"/>
    <x v="0"/>
    <x v="3"/>
    <n v="1"/>
    <x v="1"/>
    <x v="1"/>
    <x v="1"/>
    <x v="2"/>
    <x v="0"/>
    <x v="11"/>
  </r>
  <r>
    <x v="1"/>
    <x v="0"/>
    <x v="4"/>
    <n v="1"/>
    <x v="2"/>
    <x v="0"/>
    <x v="2"/>
    <x v="4"/>
    <x v="2"/>
    <x v="5"/>
  </r>
  <r>
    <x v="0"/>
    <x v="0"/>
    <x v="3"/>
    <n v="1"/>
    <x v="4"/>
    <x v="2"/>
    <x v="1"/>
    <x v="0"/>
    <x v="0"/>
    <x v="27"/>
  </r>
  <r>
    <x v="1"/>
    <x v="0"/>
    <x v="4"/>
    <n v="1"/>
    <x v="2"/>
    <x v="0"/>
    <x v="1"/>
    <x v="4"/>
    <x v="5"/>
    <x v="11"/>
  </r>
  <r>
    <x v="1"/>
    <x v="0"/>
    <x v="3"/>
    <n v="1"/>
    <x v="1"/>
    <x v="3"/>
    <x v="2"/>
    <x v="4"/>
    <x v="3"/>
    <x v="15"/>
  </r>
  <r>
    <x v="1"/>
    <x v="0"/>
    <x v="4"/>
    <n v="1"/>
    <x v="2"/>
    <x v="0"/>
    <x v="1"/>
    <x v="4"/>
    <x v="4"/>
    <x v="11"/>
  </r>
  <r>
    <x v="1"/>
    <x v="0"/>
    <x v="2"/>
    <n v="0"/>
    <x v="4"/>
    <x v="2"/>
    <x v="1"/>
    <x v="1"/>
    <x v="1"/>
    <x v="6"/>
  </r>
  <r>
    <x v="0"/>
    <x v="0"/>
    <x v="5"/>
    <n v="1"/>
    <x v="4"/>
    <x v="1"/>
    <x v="1"/>
    <x v="0"/>
    <x v="4"/>
    <x v="14"/>
  </r>
  <r>
    <x v="0"/>
    <x v="0"/>
    <x v="5"/>
    <n v="1"/>
    <x v="1"/>
    <x v="1"/>
    <x v="2"/>
    <x v="0"/>
    <x v="2"/>
    <x v="10"/>
  </r>
  <r>
    <x v="1"/>
    <x v="0"/>
    <x v="2"/>
    <n v="0"/>
    <x v="2"/>
    <x v="4"/>
    <x v="2"/>
    <x v="1"/>
    <x v="1"/>
    <x v="20"/>
  </r>
  <r>
    <x v="0"/>
    <x v="0"/>
    <x v="3"/>
    <n v="1"/>
    <x v="3"/>
    <x v="1"/>
    <x v="2"/>
    <x v="3"/>
    <x v="0"/>
    <x v="2"/>
  </r>
  <r>
    <x v="0"/>
    <x v="0"/>
    <x v="0"/>
    <n v="1"/>
    <x v="3"/>
    <x v="2"/>
    <x v="2"/>
    <x v="0"/>
    <x v="0"/>
    <x v="28"/>
  </r>
  <r>
    <x v="0"/>
    <x v="0"/>
    <x v="1"/>
    <n v="1"/>
    <x v="2"/>
    <x v="0"/>
    <x v="2"/>
    <x v="3"/>
    <x v="2"/>
    <x v="29"/>
  </r>
  <r>
    <x v="0"/>
    <x v="0"/>
    <x v="0"/>
    <n v="1"/>
    <x v="2"/>
    <x v="0"/>
    <x v="2"/>
    <x v="0"/>
    <x v="0"/>
    <x v="6"/>
  </r>
  <r>
    <x v="1"/>
    <x v="0"/>
    <x v="3"/>
    <n v="1"/>
    <x v="2"/>
    <x v="3"/>
    <x v="3"/>
    <x v="0"/>
    <x v="2"/>
    <x v="10"/>
  </r>
  <r>
    <x v="0"/>
    <x v="0"/>
    <x v="2"/>
    <n v="0"/>
    <x v="3"/>
    <x v="0"/>
    <x v="3"/>
    <x v="1"/>
    <x v="1"/>
    <x v="21"/>
  </r>
  <r>
    <x v="1"/>
    <x v="0"/>
    <x v="4"/>
    <n v="1"/>
    <x v="2"/>
    <x v="0"/>
    <x v="3"/>
    <x v="2"/>
    <x v="4"/>
    <x v="15"/>
  </r>
  <r>
    <x v="1"/>
    <x v="0"/>
    <x v="4"/>
    <n v="1"/>
    <x v="1"/>
    <x v="2"/>
    <x v="2"/>
    <x v="0"/>
    <x v="2"/>
    <x v="30"/>
  </r>
  <r>
    <x v="1"/>
    <x v="0"/>
    <x v="1"/>
    <n v="1"/>
    <x v="5"/>
    <x v="4"/>
    <x v="3"/>
    <x v="0"/>
    <x v="4"/>
    <x v="21"/>
  </r>
  <r>
    <x v="0"/>
    <x v="0"/>
    <x v="2"/>
    <n v="0"/>
    <x v="2"/>
    <x v="0"/>
    <x v="1"/>
    <x v="1"/>
    <x v="1"/>
    <x v="14"/>
  </r>
  <r>
    <x v="1"/>
    <x v="0"/>
    <x v="5"/>
    <n v="1"/>
    <x v="2"/>
    <x v="0"/>
    <x v="0"/>
    <x v="0"/>
    <x v="2"/>
    <x v="4"/>
  </r>
  <r>
    <x v="1"/>
    <x v="0"/>
    <x v="1"/>
    <n v="1"/>
    <x v="1"/>
    <x v="0"/>
    <x v="3"/>
    <x v="0"/>
    <x v="0"/>
    <x v="14"/>
  </r>
  <r>
    <x v="1"/>
    <x v="0"/>
    <x v="5"/>
    <n v="1"/>
    <x v="3"/>
    <x v="3"/>
    <x v="2"/>
    <x v="3"/>
    <x v="4"/>
    <x v="31"/>
  </r>
  <r>
    <x v="1"/>
    <x v="0"/>
    <x v="4"/>
    <n v="1"/>
    <x v="2"/>
    <x v="2"/>
    <x v="2"/>
    <x v="3"/>
    <x v="2"/>
    <x v="32"/>
  </r>
  <r>
    <x v="0"/>
    <x v="0"/>
    <x v="3"/>
    <n v="1"/>
    <x v="3"/>
    <x v="1"/>
    <x v="2"/>
    <x v="4"/>
    <x v="2"/>
    <x v="5"/>
  </r>
  <r>
    <x v="0"/>
    <x v="0"/>
    <x v="2"/>
    <n v="0"/>
    <x v="0"/>
    <x v="3"/>
    <x v="2"/>
    <x v="1"/>
    <x v="1"/>
    <x v="33"/>
  </r>
  <r>
    <x v="1"/>
    <x v="0"/>
    <x v="1"/>
    <n v="1"/>
    <x v="1"/>
    <x v="1"/>
    <x v="3"/>
    <x v="0"/>
    <x v="0"/>
    <x v="5"/>
  </r>
  <r>
    <x v="0"/>
    <x v="0"/>
    <x v="0"/>
    <n v="1"/>
    <x v="1"/>
    <x v="2"/>
    <x v="1"/>
    <x v="3"/>
    <x v="2"/>
    <x v="15"/>
  </r>
  <r>
    <x v="0"/>
    <x v="1"/>
    <x v="2"/>
    <n v="0"/>
    <x v="1"/>
    <x v="6"/>
    <x v="2"/>
    <x v="1"/>
    <x v="1"/>
    <x v="4"/>
  </r>
  <r>
    <x v="0"/>
    <x v="1"/>
    <x v="2"/>
    <n v="0"/>
    <x v="2"/>
    <x v="0"/>
    <x v="2"/>
    <x v="1"/>
    <x v="1"/>
    <x v="6"/>
  </r>
  <r>
    <x v="1"/>
    <x v="1"/>
    <x v="4"/>
    <n v="1"/>
    <x v="2"/>
    <x v="0"/>
    <x v="3"/>
    <x v="0"/>
    <x v="4"/>
    <x v="21"/>
  </r>
  <r>
    <x v="1"/>
    <x v="1"/>
    <x v="3"/>
    <n v="1"/>
    <x v="1"/>
    <x v="1"/>
    <x v="2"/>
    <x v="4"/>
    <x v="2"/>
    <x v="34"/>
  </r>
  <r>
    <x v="1"/>
    <x v="1"/>
    <x v="1"/>
    <n v="1"/>
    <x v="3"/>
    <x v="2"/>
    <x v="1"/>
    <x v="4"/>
    <x v="2"/>
    <x v="11"/>
  </r>
  <r>
    <x v="1"/>
    <x v="1"/>
    <x v="4"/>
    <n v="1"/>
    <x v="2"/>
    <x v="0"/>
    <x v="1"/>
    <x v="4"/>
    <x v="5"/>
    <x v="3"/>
  </r>
  <r>
    <x v="1"/>
    <x v="1"/>
    <x v="3"/>
    <n v="1"/>
    <x v="2"/>
    <x v="1"/>
    <x v="1"/>
    <x v="0"/>
    <x v="0"/>
    <x v="5"/>
  </r>
  <r>
    <x v="1"/>
    <x v="1"/>
    <x v="1"/>
    <n v="1"/>
    <x v="1"/>
    <x v="1"/>
    <x v="1"/>
    <x v="3"/>
    <x v="4"/>
    <x v="35"/>
  </r>
  <r>
    <x v="1"/>
    <x v="1"/>
    <x v="3"/>
    <n v="1"/>
    <x v="1"/>
    <x v="2"/>
    <x v="2"/>
    <x v="0"/>
    <x v="0"/>
    <x v="11"/>
  </r>
  <r>
    <x v="1"/>
    <x v="1"/>
    <x v="1"/>
    <n v="1"/>
    <x v="2"/>
    <x v="2"/>
    <x v="1"/>
    <x v="2"/>
    <x v="2"/>
    <x v="34"/>
  </r>
  <r>
    <x v="1"/>
    <x v="1"/>
    <x v="3"/>
    <n v="1"/>
    <x v="4"/>
    <x v="1"/>
    <x v="1"/>
    <x v="0"/>
    <x v="2"/>
    <x v="34"/>
  </r>
  <r>
    <x v="0"/>
    <x v="1"/>
    <x v="3"/>
    <n v="1"/>
    <x v="1"/>
    <x v="2"/>
    <x v="1"/>
    <x v="0"/>
    <x v="0"/>
    <x v="36"/>
  </r>
  <r>
    <x v="0"/>
    <x v="1"/>
    <x v="1"/>
    <n v="1"/>
    <x v="2"/>
    <x v="1"/>
    <x v="1"/>
    <x v="0"/>
    <x v="0"/>
    <x v="37"/>
  </r>
  <r>
    <x v="1"/>
    <x v="1"/>
    <x v="5"/>
    <n v="1"/>
    <x v="1"/>
    <x v="2"/>
    <x v="1"/>
    <x v="0"/>
    <x v="0"/>
    <x v="21"/>
  </r>
  <r>
    <x v="0"/>
    <x v="1"/>
    <x v="0"/>
    <n v="1"/>
    <x v="3"/>
    <x v="1"/>
    <x v="2"/>
    <x v="0"/>
    <x v="0"/>
    <x v="38"/>
  </r>
  <r>
    <x v="1"/>
    <x v="1"/>
    <x v="2"/>
    <n v="0"/>
    <x v="2"/>
    <x v="3"/>
    <x v="2"/>
    <x v="1"/>
    <x v="1"/>
    <x v="21"/>
  </r>
  <r>
    <x v="1"/>
    <x v="1"/>
    <x v="3"/>
    <n v="1"/>
    <x v="3"/>
    <x v="2"/>
    <x v="3"/>
    <x v="0"/>
    <x v="0"/>
    <x v="11"/>
  </r>
  <r>
    <x v="0"/>
    <x v="1"/>
    <x v="5"/>
    <n v="1"/>
    <x v="3"/>
    <x v="2"/>
    <x v="1"/>
    <x v="0"/>
    <x v="2"/>
    <x v="7"/>
  </r>
  <r>
    <x v="0"/>
    <x v="1"/>
    <x v="0"/>
    <n v="1"/>
    <x v="1"/>
    <x v="2"/>
    <x v="2"/>
    <x v="0"/>
    <x v="2"/>
    <x v="8"/>
  </r>
  <r>
    <x v="0"/>
    <x v="1"/>
    <x v="1"/>
    <n v="1"/>
    <x v="3"/>
    <x v="3"/>
    <x v="2"/>
    <x v="3"/>
    <x v="4"/>
    <x v="8"/>
  </r>
  <r>
    <x v="0"/>
    <x v="1"/>
    <x v="2"/>
    <n v="0"/>
    <x v="3"/>
    <x v="1"/>
    <x v="1"/>
    <x v="1"/>
    <x v="1"/>
    <x v="14"/>
  </r>
  <r>
    <x v="1"/>
    <x v="1"/>
    <x v="3"/>
    <n v="1"/>
    <x v="1"/>
    <x v="0"/>
    <x v="2"/>
    <x v="2"/>
    <x v="4"/>
    <x v="39"/>
  </r>
  <r>
    <x v="0"/>
    <x v="1"/>
    <x v="0"/>
    <n v="1"/>
    <x v="2"/>
    <x v="0"/>
    <x v="1"/>
    <x v="0"/>
    <x v="0"/>
    <x v="40"/>
  </r>
  <r>
    <x v="1"/>
    <x v="1"/>
    <x v="3"/>
    <n v="1"/>
    <x v="3"/>
    <x v="2"/>
    <x v="1"/>
    <x v="0"/>
    <x v="0"/>
    <x v="14"/>
  </r>
  <r>
    <x v="0"/>
    <x v="1"/>
    <x v="1"/>
    <n v="1"/>
    <x v="1"/>
    <x v="1"/>
    <x v="1"/>
    <x v="3"/>
    <x v="2"/>
    <x v="14"/>
  </r>
  <r>
    <x v="0"/>
    <x v="1"/>
    <x v="2"/>
    <n v="0"/>
    <x v="1"/>
    <x v="3"/>
    <x v="1"/>
    <x v="1"/>
    <x v="1"/>
    <x v="41"/>
  </r>
  <r>
    <x v="0"/>
    <x v="1"/>
    <x v="1"/>
    <n v="1"/>
    <x v="3"/>
    <x v="2"/>
    <x v="2"/>
    <x v="2"/>
    <x v="4"/>
    <x v="8"/>
  </r>
  <r>
    <x v="1"/>
    <x v="1"/>
    <x v="5"/>
    <n v="1"/>
    <x v="1"/>
    <x v="2"/>
    <x v="3"/>
    <x v="0"/>
    <x v="0"/>
    <x v="6"/>
  </r>
  <r>
    <x v="0"/>
    <x v="1"/>
    <x v="5"/>
    <n v="1"/>
    <x v="4"/>
    <x v="2"/>
    <x v="1"/>
    <x v="0"/>
    <x v="0"/>
    <x v="14"/>
  </r>
  <r>
    <x v="0"/>
    <x v="1"/>
    <x v="1"/>
    <n v="1"/>
    <x v="3"/>
    <x v="0"/>
    <x v="1"/>
    <x v="3"/>
    <x v="0"/>
    <x v="5"/>
  </r>
  <r>
    <x v="0"/>
    <x v="1"/>
    <x v="1"/>
    <n v="1"/>
    <x v="1"/>
    <x v="6"/>
    <x v="1"/>
    <x v="0"/>
    <x v="2"/>
    <x v="42"/>
  </r>
  <r>
    <x v="0"/>
    <x v="1"/>
    <x v="1"/>
    <n v="1"/>
    <x v="2"/>
    <x v="0"/>
    <x v="2"/>
    <x v="3"/>
    <x v="2"/>
    <x v="21"/>
  </r>
  <r>
    <x v="0"/>
    <x v="1"/>
    <x v="5"/>
    <n v="1"/>
    <x v="3"/>
    <x v="1"/>
    <x v="3"/>
    <x v="4"/>
    <x v="2"/>
    <x v="43"/>
  </r>
  <r>
    <x v="1"/>
    <x v="1"/>
    <x v="2"/>
    <n v="0"/>
    <x v="1"/>
    <x v="1"/>
    <x v="2"/>
    <x v="1"/>
    <x v="1"/>
    <x v="21"/>
  </r>
  <r>
    <x v="0"/>
    <x v="1"/>
    <x v="3"/>
    <n v="1"/>
    <x v="2"/>
    <x v="0"/>
    <x v="2"/>
    <x v="0"/>
    <x v="0"/>
    <x v="15"/>
  </r>
  <r>
    <x v="0"/>
    <x v="1"/>
    <x v="3"/>
    <n v="1"/>
    <x v="0"/>
    <x v="4"/>
    <x v="1"/>
    <x v="0"/>
    <x v="2"/>
    <x v="13"/>
  </r>
  <r>
    <x v="1"/>
    <x v="1"/>
    <x v="0"/>
    <n v="1"/>
    <x v="1"/>
    <x v="2"/>
    <x v="3"/>
    <x v="0"/>
    <x v="0"/>
    <x v="30"/>
  </r>
  <r>
    <x v="1"/>
    <x v="1"/>
    <x v="0"/>
    <n v="1"/>
    <x v="3"/>
    <x v="1"/>
    <x v="3"/>
    <x v="0"/>
    <x v="0"/>
    <x v="21"/>
  </r>
  <r>
    <x v="0"/>
    <x v="1"/>
    <x v="1"/>
    <n v="1"/>
    <x v="1"/>
    <x v="2"/>
    <x v="2"/>
    <x v="2"/>
    <x v="0"/>
    <x v="36"/>
  </r>
  <r>
    <x v="0"/>
    <x v="1"/>
    <x v="4"/>
    <n v="1"/>
    <x v="0"/>
    <x v="0"/>
    <x v="3"/>
    <x v="2"/>
    <x v="2"/>
    <x v="5"/>
  </r>
  <r>
    <x v="1"/>
    <x v="1"/>
    <x v="3"/>
    <n v="1"/>
    <x v="3"/>
    <x v="0"/>
    <x v="3"/>
    <x v="4"/>
    <x v="3"/>
    <x v="14"/>
  </r>
  <r>
    <x v="0"/>
    <x v="1"/>
    <x v="1"/>
    <n v="1"/>
    <x v="1"/>
    <x v="1"/>
    <x v="2"/>
    <x v="2"/>
    <x v="4"/>
    <x v="2"/>
  </r>
  <r>
    <x v="1"/>
    <x v="1"/>
    <x v="4"/>
    <n v="1"/>
    <x v="1"/>
    <x v="1"/>
    <x v="1"/>
    <x v="3"/>
    <x v="2"/>
    <x v="44"/>
  </r>
  <r>
    <x v="0"/>
    <x v="1"/>
    <x v="3"/>
    <n v="1"/>
    <x v="2"/>
    <x v="0"/>
    <x v="2"/>
    <x v="4"/>
    <x v="0"/>
    <x v="13"/>
  </r>
  <r>
    <x v="1"/>
    <x v="1"/>
    <x v="3"/>
    <n v="1"/>
    <x v="0"/>
    <x v="3"/>
    <x v="0"/>
    <x v="4"/>
    <x v="3"/>
    <x v="36"/>
  </r>
  <r>
    <x v="1"/>
    <x v="1"/>
    <x v="1"/>
    <n v="1"/>
    <x v="1"/>
    <x v="1"/>
    <x v="1"/>
    <x v="4"/>
    <x v="3"/>
    <x v="3"/>
  </r>
  <r>
    <x v="0"/>
    <x v="1"/>
    <x v="1"/>
    <n v="1"/>
    <x v="0"/>
    <x v="0"/>
    <x v="1"/>
    <x v="0"/>
    <x v="0"/>
    <x v="14"/>
  </r>
  <r>
    <x v="0"/>
    <x v="1"/>
    <x v="4"/>
    <n v="1"/>
    <x v="3"/>
    <x v="2"/>
    <x v="1"/>
    <x v="0"/>
    <x v="0"/>
    <x v="6"/>
  </r>
  <r>
    <x v="0"/>
    <x v="1"/>
    <x v="1"/>
    <n v="1"/>
    <x v="1"/>
    <x v="1"/>
    <x v="2"/>
    <x v="4"/>
    <x v="4"/>
    <x v="7"/>
  </r>
  <r>
    <x v="1"/>
    <x v="1"/>
    <x v="4"/>
    <n v="1"/>
    <x v="3"/>
    <x v="0"/>
    <x v="2"/>
    <x v="2"/>
    <x v="2"/>
    <x v="14"/>
  </r>
  <r>
    <x v="1"/>
    <x v="1"/>
    <x v="3"/>
    <n v="1"/>
    <x v="0"/>
    <x v="3"/>
    <x v="3"/>
    <x v="2"/>
    <x v="4"/>
    <x v="45"/>
  </r>
  <r>
    <x v="0"/>
    <x v="1"/>
    <x v="3"/>
    <n v="1"/>
    <x v="3"/>
    <x v="2"/>
    <x v="1"/>
    <x v="0"/>
    <x v="0"/>
    <x v="14"/>
  </r>
  <r>
    <x v="0"/>
    <x v="1"/>
    <x v="4"/>
    <n v="1"/>
    <x v="3"/>
    <x v="0"/>
    <x v="1"/>
    <x v="2"/>
    <x v="2"/>
    <x v="2"/>
  </r>
  <r>
    <x v="0"/>
    <x v="1"/>
    <x v="5"/>
    <n v="1"/>
    <x v="1"/>
    <x v="0"/>
    <x v="1"/>
    <x v="0"/>
    <x v="0"/>
    <x v="14"/>
  </r>
  <r>
    <x v="0"/>
    <x v="1"/>
    <x v="1"/>
    <n v="1"/>
    <x v="1"/>
    <x v="1"/>
    <x v="2"/>
    <x v="3"/>
    <x v="5"/>
    <x v="43"/>
  </r>
  <r>
    <x v="1"/>
    <x v="1"/>
    <x v="0"/>
    <n v="1"/>
    <x v="2"/>
    <x v="3"/>
    <x v="3"/>
    <x v="4"/>
    <x v="3"/>
    <x v="2"/>
  </r>
  <r>
    <x v="0"/>
    <x v="1"/>
    <x v="4"/>
    <n v="1"/>
    <x v="3"/>
    <x v="0"/>
    <x v="1"/>
    <x v="2"/>
    <x v="4"/>
    <x v="2"/>
  </r>
  <r>
    <x v="0"/>
    <x v="1"/>
    <x v="3"/>
    <n v="1"/>
    <x v="3"/>
    <x v="0"/>
    <x v="2"/>
    <x v="3"/>
    <x v="0"/>
    <x v="7"/>
  </r>
  <r>
    <x v="0"/>
    <x v="1"/>
    <x v="5"/>
    <n v="1"/>
    <x v="0"/>
    <x v="0"/>
    <x v="2"/>
    <x v="3"/>
    <x v="2"/>
    <x v="21"/>
  </r>
  <r>
    <x v="1"/>
    <x v="1"/>
    <x v="4"/>
    <n v="1"/>
    <x v="3"/>
    <x v="1"/>
    <x v="2"/>
    <x v="3"/>
    <x v="4"/>
    <x v="14"/>
  </r>
  <r>
    <x v="1"/>
    <x v="1"/>
    <x v="4"/>
    <n v="1"/>
    <x v="0"/>
    <x v="0"/>
    <x v="1"/>
    <x v="2"/>
    <x v="0"/>
    <x v="46"/>
  </r>
  <r>
    <x v="0"/>
    <x v="1"/>
    <x v="3"/>
    <n v="1"/>
    <x v="3"/>
    <x v="0"/>
    <x v="1"/>
    <x v="4"/>
    <x v="0"/>
    <x v="23"/>
  </r>
  <r>
    <x v="0"/>
    <x v="1"/>
    <x v="3"/>
    <n v="1"/>
    <x v="3"/>
    <x v="1"/>
    <x v="3"/>
    <x v="0"/>
    <x v="0"/>
    <x v="21"/>
  </r>
  <r>
    <x v="0"/>
    <x v="1"/>
    <x v="4"/>
    <n v="1"/>
    <x v="1"/>
    <x v="0"/>
    <x v="2"/>
    <x v="4"/>
    <x v="4"/>
    <x v="47"/>
  </r>
  <r>
    <x v="0"/>
    <x v="1"/>
    <x v="4"/>
    <n v="1"/>
    <x v="1"/>
    <x v="2"/>
    <x v="2"/>
    <x v="2"/>
    <x v="4"/>
    <x v="5"/>
  </r>
  <r>
    <x v="1"/>
    <x v="1"/>
    <x v="0"/>
    <n v="1"/>
    <x v="1"/>
    <x v="1"/>
    <x v="2"/>
    <x v="3"/>
    <x v="2"/>
    <x v="13"/>
  </r>
  <r>
    <x v="1"/>
    <x v="1"/>
    <x v="2"/>
    <n v="0"/>
    <x v="3"/>
    <x v="0"/>
    <x v="0"/>
    <x v="1"/>
    <x v="1"/>
    <x v="12"/>
  </r>
  <r>
    <x v="1"/>
    <x v="1"/>
    <x v="5"/>
    <n v="1"/>
    <x v="1"/>
    <x v="1"/>
    <x v="2"/>
    <x v="2"/>
    <x v="0"/>
    <x v="12"/>
  </r>
  <r>
    <x v="0"/>
    <x v="1"/>
    <x v="0"/>
    <n v="1"/>
    <x v="0"/>
    <x v="3"/>
    <x v="0"/>
    <x v="3"/>
    <x v="2"/>
    <x v="48"/>
  </r>
  <r>
    <x v="0"/>
    <x v="1"/>
    <x v="5"/>
    <n v="1"/>
    <x v="2"/>
    <x v="0"/>
    <x v="2"/>
    <x v="0"/>
    <x v="0"/>
    <x v="49"/>
  </r>
  <r>
    <x v="0"/>
    <x v="1"/>
    <x v="3"/>
    <n v="1"/>
    <x v="0"/>
    <x v="4"/>
    <x v="3"/>
    <x v="3"/>
    <x v="0"/>
    <x v="50"/>
  </r>
  <r>
    <x v="1"/>
    <x v="1"/>
    <x v="4"/>
    <n v="1"/>
    <x v="3"/>
    <x v="2"/>
    <x v="3"/>
    <x v="4"/>
    <x v="3"/>
    <x v="34"/>
  </r>
  <r>
    <x v="0"/>
    <x v="1"/>
    <x v="2"/>
    <n v="0"/>
    <x v="3"/>
    <x v="2"/>
    <x v="1"/>
    <x v="1"/>
    <x v="1"/>
    <x v="51"/>
  </r>
  <r>
    <x v="0"/>
    <x v="1"/>
    <x v="5"/>
    <n v="1"/>
    <x v="0"/>
    <x v="3"/>
    <x v="3"/>
    <x v="0"/>
    <x v="0"/>
    <x v="52"/>
  </r>
  <r>
    <x v="0"/>
    <x v="1"/>
    <x v="3"/>
    <n v="1"/>
    <x v="2"/>
    <x v="0"/>
    <x v="2"/>
    <x v="0"/>
    <x v="0"/>
    <x v="44"/>
  </r>
  <r>
    <x v="0"/>
    <x v="1"/>
    <x v="3"/>
    <n v="1"/>
    <x v="0"/>
    <x v="1"/>
    <x v="1"/>
    <x v="0"/>
    <x v="2"/>
    <x v="8"/>
  </r>
  <r>
    <x v="0"/>
    <x v="1"/>
    <x v="0"/>
    <n v="1"/>
    <x v="3"/>
    <x v="2"/>
    <x v="2"/>
    <x v="0"/>
    <x v="2"/>
    <x v="53"/>
  </r>
  <r>
    <x v="1"/>
    <x v="1"/>
    <x v="3"/>
    <n v="1"/>
    <x v="0"/>
    <x v="3"/>
    <x v="2"/>
    <x v="0"/>
    <x v="4"/>
    <x v="14"/>
  </r>
  <r>
    <x v="0"/>
    <x v="1"/>
    <x v="1"/>
    <n v="1"/>
    <x v="1"/>
    <x v="2"/>
    <x v="1"/>
    <x v="3"/>
    <x v="2"/>
    <x v="54"/>
  </r>
  <r>
    <x v="0"/>
    <x v="1"/>
    <x v="5"/>
    <n v="1"/>
    <x v="0"/>
    <x v="0"/>
    <x v="3"/>
    <x v="4"/>
    <x v="2"/>
    <x v="2"/>
  </r>
  <r>
    <x v="0"/>
    <x v="1"/>
    <x v="2"/>
    <n v="0"/>
    <x v="5"/>
    <x v="4"/>
    <x v="1"/>
    <x v="1"/>
    <x v="1"/>
    <x v="55"/>
  </r>
  <r>
    <x v="0"/>
    <x v="1"/>
    <x v="3"/>
    <n v="1"/>
    <x v="2"/>
    <x v="3"/>
    <x v="3"/>
    <x v="0"/>
    <x v="0"/>
    <x v="21"/>
  </r>
  <r>
    <x v="0"/>
    <x v="1"/>
    <x v="4"/>
    <n v="1"/>
    <x v="2"/>
    <x v="2"/>
    <x v="2"/>
    <x v="0"/>
    <x v="4"/>
    <x v="9"/>
  </r>
  <r>
    <x v="0"/>
    <x v="1"/>
    <x v="3"/>
    <n v="1"/>
    <x v="3"/>
    <x v="2"/>
    <x v="2"/>
    <x v="0"/>
    <x v="0"/>
    <x v="4"/>
  </r>
  <r>
    <x v="0"/>
    <x v="1"/>
    <x v="5"/>
    <n v="1"/>
    <x v="2"/>
    <x v="3"/>
    <x v="3"/>
    <x v="3"/>
    <x v="2"/>
    <x v="8"/>
  </r>
  <r>
    <x v="1"/>
    <x v="1"/>
    <x v="1"/>
    <n v="1"/>
    <x v="2"/>
    <x v="3"/>
    <x v="0"/>
    <x v="3"/>
    <x v="2"/>
    <x v="56"/>
  </r>
  <r>
    <x v="0"/>
    <x v="1"/>
    <x v="0"/>
    <n v="1"/>
    <x v="3"/>
    <x v="0"/>
    <x v="1"/>
    <x v="0"/>
    <x v="0"/>
    <x v="54"/>
  </r>
  <r>
    <x v="1"/>
    <x v="1"/>
    <x v="4"/>
    <n v="1"/>
    <x v="3"/>
    <x v="2"/>
    <x v="2"/>
    <x v="2"/>
    <x v="3"/>
    <x v="11"/>
  </r>
  <r>
    <x v="0"/>
    <x v="1"/>
    <x v="2"/>
    <n v="0"/>
    <x v="3"/>
    <x v="0"/>
    <x v="2"/>
    <x v="1"/>
    <x v="1"/>
    <x v="57"/>
  </r>
  <r>
    <x v="0"/>
    <x v="1"/>
    <x v="1"/>
    <n v="1"/>
    <x v="2"/>
    <x v="0"/>
    <x v="3"/>
    <x v="3"/>
    <x v="2"/>
    <x v="58"/>
  </r>
  <r>
    <x v="0"/>
    <x v="1"/>
    <x v="1"/>
    <n v="1"/>
    <x v="3"/>
    <x v="0"/>
    <x v="1"/>
    <x v="3"/>
    <x v="2"/>
    <x v="14"/>
  </r>
  <r>
    <x v="0"/>
    <x v="1"/>
    <x v="3"/>
    <n v="1"/>
    <x v="1"/>
    <x v="2"/>
    <x v="2"/>
    <x v="0"/>
    <x v="2"/>
    <x v="21"/>
  </r>
  <r>
    <x v="0"/>
    <x v="1"/>
    <x v="0"/>
    <n v="1"/>
    <x v="1"/>
    <x v="1"/>
    <x v="2"/>
    <x v="3"/>
    <x v="2"/>
    <x v="6"/>
  </r>
  <r>
    <x v="1"/>
    <x v="1"/>
    <x v="4"/>
    <n v="1"/>
    <x v="1"/>
    <x v="1"/>
    <x v="3"/>
    <x v="0"/>
    <x v="2"/>
    <x v="35"/>
  </r>
  <r>
    <x v="0"/>
    <x v="2"/>
    <x v="2"/>
    <n v="0"/>
    <x v="3"/>
    <x v="2"/>
    <x v="2"/>
    <x v="1"/>
    <x v="1"/>
    <x v="2"/>
  </r>
  <r>
    <x v="0"/>
    <x v="2"/>
    <x v="3"/>
    <n v="1"/>
    <x v="2"/>
    <x v="0"/>
    <x v="3"/>
    <x v="0"/>
    <x v="2"/>
    <x v="9"/>
  </r>
  <r>
    <x v="0"/>
    <x v="2"/>
    <x v="2"/>
    <n v="0"/>
    <x v="2"/>
    <x v="4"/>
    <x v="3"/>
    <x v="1"/>
    <x v="1"/>
    <x v="4"/>
  </r>
  <r>
    <x v="0"/>
    <x v="2"/>
    <x v="2"/>
    <n v="0"/>
    <x v="1"/>
    <x v="0"/>
    <x v="2"/>
    <x v="1"/>
    <x v="1"/>
    <x v="13"/>
  </r>
  <r>
    <x v="1"/>
    <x v="2"/>
    <x v="2"/>
    <n v="0"/>
    <x v="1"/>
    <x v="1"/>
    <x v="0"/>
    <x v="1"/>
    <x v="1"/>
    <x v="15"/>
  </r>
  <r>
    <x v="0"/>
    <x v="2"/>
    <x v="2"/>
    <n v="0"/>
    <x v="3"/>
    <x v="0"/>
    <x v="2"/>
    <x v="1"/>
    <x v="1"/>
    <x v="30"/>
  </r>
  <r>
    <x v="0"/>
    <x v="2"/>
    <x v="2"/>
    <n v="0"/>
    <x v="0"/>
    <x v="3"/>
    <x v="2"/>
    <x v="1"/>
    <x v="1"/>
    <x v="14"/>
  </r>
  <r>
    <x v="0"/>
    <x v="2"/>
    <x v="2"/>
    <n v="0"/>
    <x v="1"/>
    <x v="0"/>
    <x v="3"/>
    <x v="1"/>
    <x v="1"/>
    <x v="21"/>
  </r>
  <r>
    <x v="1"/>
    <x v="2"/>
    <x v="4"/>
    <n v="1"/>
    <x v="3"/>
    <x v="2"/>
    <x v="1"/>
    <x v="4"/>
    <x v="2"/>
    <x v="5"/>
  </r>
  <r>
    <x v="1"/>
    <x v="2"/>
    <x v="0"/>
    <n v="1"/>
    <x v="1"/>
    <x v="0"/>
    <x v="1"/>
    <x v="0"/>
    <x v="0"/>
    <x v="5"/>
  </r>
  <r>
    <x v="0"/>
    <x v="2"/>
    <x v="5"/>
    <n v="1"/>
    <x v="1"/>
    <x v="1"/>
    <x v="2"/>
    <x v="3"/>
    <x v="4"/>
    <x v="11"/>
  </r>
  <r>
    <x v="1"/>
    <x v="2"/>
    <x v="2"/>
    <n v="0"/>
    <x v="2"/>
    <x v="0"/>
    <x v="2"/>
    <x v="1"/>
    <x v="1"/>
    <x v="2"/>
  </r>
  <r>
    <x v="0"/>
    <x v="2"/>
    <x v="2"/>
    <n v="0"/>
    <x v="2"/>
    <x v="0"/>
    <x v="3"/>
    <x v="1"/>
    <x v="1"/>
    <x v="8"/>
  </r>
  <r>
    <x v="1"/>
    <x v="2"/>
    <x v="1"/>
    <n v="1"/>
    <x v="1"/>
    <x v="0"/>
    <x v="3"/>
    <x v="4"/>
    <x v="2"/>
    <x v="11"/>
  </r>
  <r>
    <x v="1"/>
    <x v="2"/>
    <x v="2"/>
    <n v="0"/>
    <x v="3"/>
    <x v="0"/>
    <x v="2"/>
    <x v="1"/>
    <x v="1"/>
    <x v="8"/>
  </r>
  <r>
    <x v="0"/>
    <x v="2"/>
    <x v="2"/>
    <n v="0"/>
    <x v="2"/>
    <x v="4"/>
    <x v="3"/>
    <x v="1"/>
    <x v="1"/>
    <x v="36"/>
  </r>
  <r>
    <x v="0"/>
    <x v="2"/>
    <x v="2"/>
    <n v="0"/>
    <x v="3"/>
    <x v="1"/>
    <x v="2"/>
    <x v="1"/>
    <x v="1"/>
    <x v="15"/>
  </r>
  <r>
    <x v="1"/>
    <x v="2"/>
    <x v="0"/>
    <n v="1"/>
    <x v="1"/>
    <x v="1"/>
    <x v="3"/>
    <x v="0"/>
    <x v="2"/>
    <x v="3"/>
  </r>
  <r>
    <x v="1"/>
    <x v="2"/>
    <x v="1"/>
    <n v="1"/>
    <x v="2"/>
    <x v="0"/>
    <x v="2"/>
    <x v="0"/>
    <x v="0"/>
    <x v="11"/>
  </r>
  <r>
    <x v="0"/>
    <x v="2"/>
    <x v="2"/>
    <n v="0"/>
    <x v="1"/>
    <x v="0"/>
    <x v="2"/>
    <x v="1"/>
    <x v="1"/>
    <x v="4"/>
  </r>
  <r>
    <x v="1"/>
    <x v="2"/>
    <x v="2"/>
    <n v="0"/>
    <x v="1"/>
    <x v="1"/>
    <x v="2"/>
    <x v="1"/>
    <x v="1"/>
    <x v="15"/>
  </r>
  <r>
    <x v="0"/>
    <x v="2"/>
    <x v="2"/>
    <n v="0"/>
    <x v="1"/>
    <x v="1"/>
    <x v="2"/>
    <x v="1"/>
    <x v="1"/>
    <x v="4"/>
  </r>
  <r>
    <x v="0"/>
    <x v="2"/>
    <x v="1"/>
    <n v="1"/>
    <x v="3"/>
    <x v="2"/>
    <x v="3"/>
    <x v="3"/>
    <x v="4"/>
    <x v="14"/>
  </r>
  <r>
    <x v="0"/>
    <x v="2"/>
    <x v="1"/>
    <n v="1"/>
    <x v="1"/>
    <x v="1"/>
    <x v="2"/>
    <x v="3"/>
    <x v="2"/>
    <x v="23"/>
  </r>
  <r>
    <x v="0"/>
    <x v="2"/>
    <x v="2"/>
    <n v="0"/>
    <x v="3"/>
    <x v="1"/>
    <x v="3"/>
    <x v="1"/>
    <x v="1"/>
    <x v="7"/>
  </r>
  <r>
    <x v="1"/>
    <x v="2"/>
    <x v="2"/>
    <n v="0"/>
    <x v="3"/>
    <x v="0"/>
    <x v="1"/>
    <x v="1"/>
    <x v="1"/>
    <x v="14"/>
  </r>
  <r>
    <x v="1"/>
    <x v="2"/>
    <x v="2"/>
    <n v="0"/>
    <x v="2"/>
    <x v="0"/>
    <x v="1"/>
    <x v="1"/>
    <x v="1"/>
    <x v="15"/>
  </r>
  <r>
    <x v="0"/>
    <x v="2"/>
    <x v="5"/>
    <n v="1"/>
    <x v="1"/>
    <x v="1"/>
    <x v="1"/>
    <x v="2"/>
    <x v="4"/>
    <x v="6"/>
  </r>
  <r>
    <x v="1"/>
    <x v="2"/>
    <x v="1"/>
    <n v="1"/>
    <x v="1"/>
    <x v="1"/>
    <x v="2"/>
    <x v="3"/>
    <x v="0"/>
    <x v="4"/>
  </r>
  <r>
    <x v="1"/>
    <x v="2"/>
    <x v="4"/>
    <n v="1"/>
    <x v="2"/>
    <x v="3"/>
    <x v="1"/>
    <x v="2"/>
    <x v="4"/>
    <x v="21"/>
  </r>
  <r>
    <x v="1"/>
    <x v="2"/>
    <x v="3"/>
    <n v="1"/>
    <x v="3"/>
    <x v="2"/>
    <x v="1"/>
    <x v="0"/>
    <x v="2"/>
    <x v="6"/>
  </r>
  <r>
    <x v="1"/>
    <x v="2"/>
    <x v="2"/>
    <n v="0"/>
    <x v="1"/>
    <x v="6"/>
    <x v="2"/>
    <x v="1"/>
    <x v="1"/>
    <x v="15"/>
  </r>
  <r>
    <x v="0"/>
    <x v="2"/>
    <x v="5"/>
    <n v="1"/>
    <x v="3"/>
    <x v="2"/>
    <x v="1"/>
    <x v="3"/>
    <x v="2"/>
    <x v="14"/>
  </r>
  <r>
    <x v="0"/>
    <x v="2"/>
    <x v="2"/>
    <n v="0"/>
    <x v="1"/>
    <x v="2"/>
    <x v="1"/>
    <x v="1"/>
    <x v="1"/>
    <x v="15"/>
  </r>
  <r>
    <x v="0"/>
    <x v="2"/>
    <x v="2"/>
    <n v="0"/>
    <x v="1"/>
    <x v="3"/>
    <x v="2"/>
    <x v="1"/>
    <x v="1"/>
    <x v="6"/>
  </r>
  <r>
    <x v="0"/>
    <x v="2"/>
    <x v="0"/>
    <n v="1"/>
    <x v="2"/>
    <x v="3"/>
    <x v="1"/>
    <x v="2"/>
    <x v="0"/>
    <x v="11"/>
  </r>
  <r>
    <x v="0"/>
    <x v="2"/>
    <x v="2"/>
    <n v="0"/>
    <x v="3"/>
    <x v="1"/>
    <x v="3"/>
    <x v="1"/>
    <x v="1"/>
    <x v="11"/>
  </r>
  <r>
    <x v="0"/>
    <x v="2"/>
    <x v="2"/>
    <n v="0"/>
    <x v="1"/>
    <x v="0"/>
    <x v="2"/>
    <x v="1"/>
    <x v="1"/>
    <x v="36"/>
  </r>
  <r>
    <x v="1"/>
    <x v="2"/>
    <x v="4"/>
    <n v="1"/>
    <x v="3"/>
    <x v="2"/>
    <x v="2"/>
    <x v="4"/>
    <x v="5"/>
    <x v="5"/>
  </r>
  <r>
    <x v="0"/>
    <x v="2"/>
    <x v="2"/>
    <n v="0"/>
    <x v="1"/>
    <x v="2"/>
    <x v="2"/>
    <x v="1"/>
    <x v="1"/>
    <x v="59"/>
  </r>
  <r>
    <x v="0"/>
    <x v="2"/>
    <x v="2"/>
    <n v="0"/>
    <x v="3"/>
    <x v="2"/>
    <x v="1"/>
    <x v="1"/>
    <x v="1"/>
    <x v="5"/>
  </r>
  <r>
    <x v="0"/>
    <x v="2"/>
    <x v="3"/>
    <n v="1"/>
    <x v="2"/>
    <x v="0"/>
    <x v="2"/>
    <x v="0"/>
    <x v="2"/>
    <x v="7"/>
  </r>
  <r>
    <x v="0"/>
    <x v="2"/>
    <x v="1"/>
    <n v="1"/>
    <x v="1"/>
    <x v="0"/>
    <x v="1"/>
    <x v="2"/>
    <x v="2"/>
    <x v="5"/>
  </r>
  <r>
    <x v="0"/>
    <x v="2"/>
    <x v="0"/>
    <n v="1"/>
    <x v="2"/>
    <x v="2"/>
    <x v="1"/>
    <x v="0"/>
    <x v="0"/>
    <x v="6"/>
  </r>
  <r>
    <x v="0"/>
    <x v="2"/>
    <x v="1"/>
    <n v="1"/>
    <x v="2"/>
    <x v="0"/>
    <x v="2"/>
    <x v="0"/>
    <x v="4"/>
    <x v="20"/>
  </r>
  <r>
    <x v="0"/>
    <x v="2"/>
    <x v="0"/>
    <n v="1"/>
    <x v="4"/>
    <x v="1"/>
    <x v="1"/>
    <x v="0"/>
    <x v="0"/>
    <x v="15"/>
  </r>
  <r>
    <x v="0"/>
    <x v="2"/>
    <x v="1"/>
    <n v="1"/>
    <x v="2"/>
    <x v="3"/>
    <x v="2"/>
    <x v="2"/>
    <x v="2"/>
    <x v="14"/>
  </r>
  <r>
    <x v="1"/>
    <x v="2"/>
    <x v="3"/>
    <n v="1"/>
    <x v="4"/>
    <x v="1"/>
    <x v="2"/>
    <x v="0"/>
    <x v="2"/>
    <x v="15"/>
  </r>
  <r>
    <x v="1"/>
    <x v="2"/>
    <x v="5"/>
    <n v="1"/>
    <x v="1"/>
    <x v="3"/>
    <x v="3"/>
    <x v="0"/>
    <x v="4"/>
    <x v="15"/>
  </r>
  <r>
    <x v="1"/>
    <x v="2"/>
    <x v="1"/>
    <n v="1"/>
    <x v="0"/>
    <x v="0"/>
    <x v="2"/>
    <x v="2"/>
    <x v="0"/>
    <x v="11"/>
  </r>
  <r>
    <x v="0"/>
    <x v="2"/>
    <x v="3"/>
    <n v="1"/>
    <x v="3"/>
    <x v="6"/>
    <x v="1"/>
    <x v="0"/>
    <x v="0"/>
    <x v="14"/>
  </r>
  <r>
    <x v="0"/>
    <x v="2"/>
    <x v="3"/>
    <n v="1"/>
    <x v="2"/>
    <x v="0"/>
    <x v="2"/>
    <x v="3"/>
    <x v="0"/>
    <x v="8"/>
  </r>
  <r>
    <x v="1"/>
    <x v="2"/>
    <x v="0"/>
    <n v="1"/>
    <x v="2"/>
    <x v="3"/>
    <x v="2"/>
    <x v="3"/>
    <x v="0"/>
    <x v="8"/>
  </r>
  <r>
    <x v="1"/>
    <x v="2"/>
    <x v="5"/>
    <n v="1"/>
    <x v="2"/>
    <x v="1"/>
    <x v="1"/>
    <x v="0"/>
    <x v="2"/>
    <x v="14"/>
  </r>
  <r>
    <x v="0"/>
    <x v="2"/>
    <x v="0"/>
    <n v="1"/>
    <x v="3"/>
    <x v="1"/>
    <x v="2"/>
    <x v="0"/>
    <x v="0"/>
    <x v="15"/>
  </r>
  <r>
    <x v="1"/>
    <x v="2"/>
    <x v="4"/>
    <n v="1"/>
    <x v="1"/>
    <x v="3"/>
    <x v="2"/>
    <x v="4"/>
    <x v="4"/>
    <x v="21"/>
  </r>
  <r>
    <x v="0"/>
    <x v="2"/>
    <x v="1"/>
    <n v="1"/>
    <x v="2"/>
    <x v="0"/>
    <x v="2"/>
    <x v="3"/>
    <x v="0"/>
    <x v="2"/>
  </r>
  <r>
    <x v="1"/>
    <x v="2"/>
    <x v="1"/>
    <n v="1"/>
    <x v="4"/>
    <x v="0"/>
    <x v="1"/>
    <x v="0"/>
    <x v="0"/>
    <x v="15"/>
  </r>
  <r>
    <x v="1"/>
    <x v="2"/>
    <x v="2"/>
    <n v="0"/>
    <x v="3"/>
    <x v="2"/>
    <x v="1"/>
    <x v="1"/>
    <x v="1"/>
    <x v="60"/>
  </r>
  <r>
    <x v="1"/>
    <x v="2"/>
    <x v="2"/>
    <n v="0"/>
    <x v="4"/>
    <x v="1"/>
    <x v="2"/>
    <x v="1"/>
    <x v="1"/>
    <x v="11"/>
  </r>
  <r>
    <x v="0"/>
    <x v="2"/>
    <x v="1"/>
    <n v="1"/>
    <x v="1"/>
    <x v="1"/>
    <x v="1"/>
    <x v="0"/>
    <x v="0"/>
    <x v="61"/>
  </r>
  <r>
    <x v="0"/>
    <x v="2"/>
    <x v="3"/>
    <n v="1"/>
    <x v="3"/>
    <x v="0"/>
    <x v="2"/>
    <x v="0"/>
    <x v="0"/>
    <x v="8"/>
  </r>
  <r>
    <x v="0"/>
    <x v="2"/>
    <x v="3"/>
    <n v="1"/>
    <x v="1"/>
    <x v="1"/>
    <x v="2"/>
    <x v="0"/>
    <x v="2"/>
    <x v="2"/>
  </r>
  <r>
    <x v="1"/>
    <x v="2"/>
    <x v="5"/>
    <n v="1"/>
    <x v="1"/>
    <x v="1"/>
    <x v="1"/>
    <x v="2"/>
    <x v="4"/>
    <x v="11"/>
  </r>
  <r>
    <x v="1"/>
    <x v="2"/>
    <x v="3"/>
    <n v="1"/>
    <x v="1"/>
    <x v="2"/>
    <x v="2"/>
    <x v="0"/>
    <x v="0"/>
    <x v="21"/>
  </r>
  <r>
    <x v="1"/>
    <x v="2"/>
    <x v="1"/>
    <n v="1"/>
    <x v="3"/>
    <x v="2"/>
    <x v="2"/>
    <x v="4"/>
    <x v="4"/>
    <x v="21"/>
  </r>
  <r>
    <x v="1"/>
    <x v="3"/>
    <x v="3"/>
    <n v="1"/>
    <x v="5"/>
    <x v="3"/>
    <x v="3"/>
    <x v="2"/>
    <x v="2"/>
    <x v="8"/>
  </r>
  <r>
    <x v="0"/>
    <x v="3"/>
    <x v="2"/>
    <n v="0"/>
    <x v="2"/>
    <x v="1"/>
    <x v="2"/>
    <x v="1"/>
    <x v="1"/>
    <x v="14"/>
  </r>
  <r>
    <x v="0"/>
    <x v="3"/>
    <x v="2"/>
    <n v="0"/>
    <x v="1"/>
    <x v="0"/>
    <x v="2"/>
    <x v="1"/>
    <x v="1"/>
    <x v="4"/>
  </r>
  <r>
    <x v="0"/>
    <x v="3"/>
    <x v="2"/>
    <n v="0"/>
    <x v="3"/>
    <x v="2"/>
    <x v="2"/>
    <x v="1"/>
    <x v="1"/>
    <x v="0"/>
  </r>
  <r>
    <x v="1"/>
    <x v="3"/>
    <x v="1"/>
    <n v="1"/>
    <x v="2"/>
    <x v="0"/>
    <x v="0"/>
    <x v="4"/>
    <x v="4"/>
    <x v="2"/>
  </r>
  <r>
    <x v="1"/>
    <x v="3"/>
    <x v="2"/>
    <n v="0"/>
    <x v="1"/>
    <x v="1"/>
    <x v="1"/>
    <x v="1"/>
    <x v="1"/>
    <x v="6"/>
  </r>
  <r>
    <x v="0"/>
    <x v="3"/>
    <x v="0"/>
    <n v="1"/>
    <x v="3"/>
    <x v="2"/>
    <x v="1"/>
    <x v="0"/>
    <x v="2"/>
    <x v="62"/>
  </r>
  <r>
    <x v="0"/>
    <x v="3"/>
    <x v="2"/>
    <n v="0"/>
    <x v="1"/>
    <x v="3"/>
    <x v="2"/>
    <x v="1"/>
    <x v="1"/>
    <x v="2"/>
  </r>
  <r>
    <x v="0"/>
    <x v="3"/>
    <x v="2"/>
    <n v="0"/>
    <x v="0"/>
    <x v="0"/>
    <x v="3"/>
    <x v="1"/>
    <x v="1"/>
    <x v="2"/>
  </r>
  <r>
    <x v="0"/>
    <x v="3"/>
    <x v="2"/>
    <n v="0"/>
    <x v="2"/>
    <x v="1"/>
    <x v="2"/>
    <x v="1"/>
    <x v="1"/>
    <x v="14"/>
  </r>
  <r>
    <x v="0"/>
    <x v="3"/>
    <x v="2"/>
    <n v="0"/>
    <x v="2"/>
    <x v="0"/>
    <x v="2"/>
    <x v="1"/>
    <x v="1"/>
    <x v="38"/>
  </r>
  <r>
    <x v="0"/>
    <x v="3"/>
    <x v="2"/>
    <n v="0"/>
    <x v="3"/>
    <x v="1"/>
    <x v="3"/>
    <x v="1"/>
    <x v="1"/>
    <x v="2"/>
  </r>
  <r>
    <x v="1"/>
    <x v="3"/>
    <x v="2"/>
    <n v="0"/>
    <x v="1"/>
    <x v="1"/>
    <x v="1"/>
    <x v="1"/>
    <x v="1"/>
    <x v="14"/>
  </r>
  <r>
    <x v="1"/>
    <x v="3"/>
    <x v="5"/>
    <n v="1"/>
    <x v="2"/>
    <x v="1"/>
    <x v="0"/>
    <x v="0"/>
    <x v="0"/>
    <x v="21"/>
  </r>
  <r>
    <x v="0"/>
    <x v="3"/>
    <x v="2"/>
    <n v="0"/>
    <x v="2"/>
    <x v="3"/>
    <x v="3"/>
    <x v="1"/>
    <x v="1"/>
    <x v="13"/>
  </r>
  <r>
    <x v="0"/>
    <x v="3"/>
    <x v="2"/>
    <n v="0"/>
    <x v="3"/>
    <x v="1"/>
    <x v="1"/>
    <x v="1"/>
    <x v="1"/>
    <x v="14"/>
  </r>
  <r>
    <x v="0"/>
    <x v="3"/>
    <x v="2"/>
    <n v="0"/>
    <x v="0"/>
    <x v="0"/>
    <x v="1"/>
    <x v="1"/>
    <x v="1"/>
    <x v="4"/>
  </r>
  <r>
    <x v="1"/>
    <x v="3"/>
    <x v="0"/>
    <n v="1"/>
    <x v="2"/>
    <x v="0"/>
    <x v="2"/>
    <x v="2"/>
    <x v="2"/>
    <x v="4"/>
  </r>
  <r>
    <x v="1"/>
    <x v="3"/>
    <x v="5"/>
    <n v="1"/>
    <x v="0"/>
    <x v="4"/>
    <x v="2"/>
    <x v="3"/>
    <x v="2"/>
    <x v="21"/>
  </r>
  <r>
    <x v="1"/>
    <x v="3"/>
    <x v="4"/>
    <n v="1"/>
    <x v="2"/>
    <x v="0"/>
    <x v="3"/>
    <x v="4"/>
    <x v="5"/>
    <x v="12"/>
  </r>
  <r>
    <x v="1"/>
    <x v="3"/>
    <x v="0"/>
    <n v="1"/>
    <x v="1"/>
    <x v="0"/>
    <x v="3"/>
    <x v="4"/>
    <x v="0"/>
    <x v="18"/>
  </r>
  <r>
    <x v="1"/>
    <x v="3"/>
    <x v="4"/>
    <n v="1"/>
    <x v="0"/>
    <x v="3"/>
    <x v="2"/>
    <x v="4"/>
    <x v="0"/>
    <x v="13"/>
  </r>
  <r>
    <x v="1"/>
    <x v="3"/>
    <x v="4"/>
    <n v="1"/>
    <x v="2"/>
    <x v="2"/>
    <x v="2"/>
    <x v="3"/>
    <x v="2"/>
    <x v="63"/>
  </r>
  <r>
    <x v="0"/>
    <x v="3"/>
    <x v="1"/>
    <n v="1"/>
    <x v="2"/>
    <x v="0"/>
    <x v="2"/>
    <x v="4"/>
    <x v="4"/>
    <x v="14"/>
  </r>
  <r>
    <x v="1"/>
    <x v="3"/>
    <x v="4"/>
    <n v="1"/>
    <x v="2"/>
    <x v="0"/>
    <x v="1"/>
    <x v="0"/>
    <x v="4"/>
    <x v="11"/>
  </r>
  <r>
    <x v="1"/>
    <x v="3"/>
    <x v="3"/>
    <n v="1"/>
    <x v="3"/>
    <x v="1"/>
    <x v="2"/>
    <x v="2"/>
    <x v="3"/>
    <x v="6"/>
  </r>
  <r>
    <x v="1"/>
    <x v="3"/>
    <x v="4"/>
    <n v="1"/>
    <x v="1"/>
    <x v="1"/>
    <x v="0"/>
    <x v="2"/>
    <x v="3"/>
    <x v="14"/>
  </r>
  <r>
    <x v="1"/>
    <x v="3"/>
    <x v="0"/>
    <n v="1"/>
    <x v="3"/>
    <x v="2"/>
    <x v="1"/>
    <x v="0"/>
    <x v="2"/>
    <x v="64"/>
  </r>
  <r>
    <x v="1"/>
    <x v="3"/>
    <x v="0"/>
    <n v="1"/>
    <x v="0"/>
    <x v="3"/>
    <x v="2"/>
    <x v="0"/>
    <x v="0"/>
    <x v="46"/>
  </r>
  <r>
    <x v="1"/>
    <x v="3"/>
    <x v="0"/>
    <n v="1"/>
    <x v="1"/>
    <x v="3"/>
    <x v="3"/>
    <x v="0"/>
    <x v="4"/>
    <x v="65"/>
  </r>
  <r>
    <x v="1"/>
    <x v="3"/>
    <x v="5"/>
    <n v="1"/>
    <x v="2"/>
    <x v="0"/>
    <x v="2"/>
    <x v="0"/>
    <x v="0"/>
    <x v="34"/>
  </r>
  <r>
    <x v="1"/>
    <x v="3"/>
    <x v="4"/>
    <n v="1"/>
    <x v="2"/>
    <x v="1"/>
    <x v="3"/>
    <x v="4"/>
    <x v="2"/>
    <x v="6"/>
  </r>
  <r>
    <x v="1"/>
    <x v="3"/>
    <x v="1"/>
    <n v="1"/>
    <x v="1"/>
    <x v="1"/>
    <x v="1"/>
    <x v="4"/>
    <x v="4"/>
    <x v="14"/>
  </r>
  <r>
    <x v="0"/>
    <x v="3"/>
    <x v="0"/>
    <n v="1"/>
    <x v="1"/>
    <x v="1"/>
    <x v="1"/>
    <x v="3"/>
    <x v="2"/>
    <x v="6"/>
  </r>
  <r>
    <x v="1"/>
    <x v="3"/>
    <x v="4"/>
    <n v="1"/>
    <x v="2"/>
    <x v="1"/>
    <x v="2"/>
    <x v="4"/>
    <x v="5"/>
    <x v="8"/>
  </r>
  <r>
    <x v="0"/>
    <x v="3"/>
    <x v="2"/>
    <n v="0"/>
    <x v="3"/>
    <x v="0"/>
    <x v="1"/>
    <x v="1"/>
    <x v="1"/>
    <x v="11"/>
  </r>
  <r>
    <x v="1"/>
    <x v="3"/>
    <x v="4"/>
    <n v="1"/>
    <x v="2"/>
    <x v="0"/>
    <x v="2"/>
    <x v="0"/>
    <x v="2"/>
    <x v="11"/>
  </r>
  <r>
    <x v="1"/>
    <x v="3"/>
    <x v="3"/>
    <n v="1"/>
    <x v="2"/>
    <x v="4"/>
    <x v="3"/>
    <x v="2"/>
    <x v="2"/>
    <x v="66"/>
  </r>
  <r>
    <x v="0"/>
    <x v="3"/>
    <x v="3"/>
    <n v="1"/>
    <x v="3"/>
    <x v="2"/>
    <x v="1"/>
    <x v="0"/>
    <x v="2"/>
    <x v="21"/>
  </r>
  <r>
    <x v="1"/>
    <x v="3"/>
    <x v="3"/>
    <n v="1"/>
    <x v="0"/>
    <x v="4"/>
    <x v="3"/>
    <x v="3"/>
    <x v="4"/>
    <x v="18"/>
  </r>
  <r>
    <x v="1"/>
    <x v="3"/>
    <x v="4"/>
    <n v="1"/>
    <x v="2"/>
    <x v="3"/>
    <x v="0"/>
    <x v="4"/>
    <x v="3"/>
    <x v="67"/>
  </r>
  <r>
    <x v="0"/>
    <x v="3"/>
    <x v="3"/>
    <n v="1"/>
    <x v="0"/>
    <x v="0"/>
    <x v="3"/>
    <x v="0"/>
    <x v="0"/>
    <x v="21"/>
  </r>
  <r>
    <x v="0"/>
    <x v="3"/>
    <x v="0"/>
    <n v="1"/>
    <x v="2"/>
    <x v="0"/>
    <x v="3"/>
    <x v="3"/>
    <x v="0"/>
    <x v="14"/>
  </r>
  <r>
    <x v="1"/>
    <x v="3"/>
    <x v="3"/>
    <n v="1"/>
    <x v="4"/>
    <x v="1"/>
    <x v="1"/>
    <x v="0"/>
    <x v="0"/>
    <x v="68"/>
  </r>
  <r>
    <x v="1"/>
    <x v="3"/>
    <x v="4"/>
    <n v="1"/>
    <x v="1"/>
    <x v="3"/>
    <x v="2"/>
    <x v="4"/>
    <x v="3"/>
    <x v="14"/>
  </r>
  <r>
    <x v="0"/>
    <x v="3"/>
    <x v="1"/>
    <n v="1"/>
    <x v="2"/>
    <x v="1"/>
    <x v="1"/>
    <x v="0"/>
    <x v="2"/>
    <x v="61"/>
  </r>
  <r>
    <x v="0"/>
    <x v="3"/>
    <x v="3"/>
    <n v="1"/>
    <x v="2"/>
    <x v="3"/>
    <x v="3"/>
    <x v="0"/>
    <x v="0"/>
    <x v="69"/>
  </r>
  <r>
    <x v="0"/>
    <x v="3"/>
    <x v="3"/>
    <n v="1"/>
    <x v="1"/>
    <x v="2"/>
    <x v="2"/>
    <x v="4"/>
    <x v="0"/>
    <x v="23"/>
  </r>
  <r>
    <x v="1"/>
    <x v="3"/>
    <x v="3"/>
    <n v="1"/>
    <x v="2"/>
    <x v="0"/>
    <x v="2"/>
    <x v="4"/>
    <x v="3"/>
    <x v="7"/>
  </r>
  <r>
    <x v="0"/>
    <x v="3"/>
    <x v="3"/>
    <n v="1"/>
    <x v="1"/>
    <x v="0"/>
    <x v="2"/>
    <x v="0"/>
    <x v="0"/>
    <x v="8"/>
  </r>
  <r>
    <x v="0"/>
    <x v="3"/>
    <x v="2"/>
    <n v="0"/>
    <x v="0"/>
    <x v="0"/>
    <x v="2"/>
    <x v="1"/>
    <x v="1"/>
    <x v="8"/>
  </r>
  <r>
    <x v="0"/>
    <x v="3"/>
    <x v="1"/>
    <n v="1"/>
    <x v="3"/>
    <x v="3"/>
    <x v="1"/>
    <x v="0"/>
    <x v="2"/>
    <x v="11"/>
  </r>
  <r>
    <x v="1"/>
    <x v="3"/>
    <x v="3"/>
    <n v="1"/>
    <x v="2"/>
    <x v="3"/>
    <x v="2"/>
    <x v="0"/>
    <x v="4"/>
    <x v="38"/>
  </r>
  <r>
    <x v="1"/>
    <x v="3"/>
    <x v="4"/>
    <n v="1"/>
    <x v="1"/>
    <x v="3"/>
    <x v="3"/>
    <x v="2"/>
    <x v="2"/>
    <x v="10"/>
  </r>
  <r>
    <x v="1"/>
    <x v="3"/>
    <x v="4"/>
    <n v="1"/>
    <x v="2"/>
    <x v="1"/>
    <x v="2"/>
    <x v="4"/>
    <x v="4"/>
    <x v="21"/>
  </r>
  <r>
    <x v="0"/>
    <x v="3"/>
    <x v="4"/>
    <n v="1"/>
    <x v="2"/>
    <x v="1"/>
    <x v="2"/>
    <x v="3"/>
    <x v="2"/>
    <x v="6"/>
  </r>
  <r>
    <x v="0"/>
    <x v="3"/>
    <x v="1"/>
    <n v="1"/>
    <x v="0"/>
    <x v="0"/>
    <x v="3"/>
    <x v="3"/>
    <x v="0"/>
    <x v="12"/>
  </r>
  <r>
    <x v="0"/>
    <x v="3"/>
    <x v="3"/>
    <n v="1"/>
    <x v="2"/>
    <x v="0"/>
    <x v="2"/>
    <x v="0"/>
    <x v="0"/>
    <x v="10"/>
  </r>
  <r>
    <x v="1"/>
    <x v="3"/>
    <x v="3"/>
    <n v="1"/>
    <x v="0"/>
    <x v="3"/>
    <x v="3"/>
    <x v="4"/>
    <x v="4"/>
    <x v="44"/>
  </r>
  <r>
    <x v="1"/>
    <x v="3"/>
    <x v="3"/>
    <n v="1"/>
    <x v="2"/>
    <x v="0"/>
    <x v="3"/>
    <x v="3"/>
    <x v="2"/>
    <x v="5"/>
  </r>
  <r>
    <x v="0"/>
    <x v="3"/>
    <x v="3"/>
    <n v="1"/>
    <x v="2"/>
    <x v="3"/>
    <x v="3"/>
    <x v="3"/>
    <x v="0"/>
    <x v="70"/>
  </r>
  <r>
    <x v="1"/>
    <x v="3"/>
    <x v="3"/>
    <n v="1"/>
    <x v="1"/>
    <x v="1"/>
    <x v="3"/>
    <x v="0"/>
    <x v="0"/>
    <x v="8"/>
  </r>
  <r>
    <x v="1"/>
    <x v="3"/>
    <x v="1"/>
    <n v="1"/>
    <x v="3"/>
    <x v="0"/>
    <x v="3"/>
    <x v="2"/>
    <x v="2"/>
    <x v="71"/>
  </r>
  <r>
    <x v="1"/>
    <x v="3"/>
    <x v="3"/>
    <n v="1"/>
    <x v="2"/>
    <x v="0"/>
    <x v="2"/>
    <x v="3"/>
    <x v="2"/>
    <x v="21"/>
  </r>
  <r>
    <x v="1"/>
    <x v="3"/>
    <x v="3"/>
    <n v="1"/>
    <x v="5"/>
    <x v="4"/>
    <x v="3"/>
    <x v="0"/>
    <x v="2"/>
    <x v="65"/>
  </r>
  <r>
    <x v="1"/>
    <x v="3"/>
    <x v="3"/>
    <n v="1"/>
    <x v="2"/>
    <x v="1"/>
    <x v="2"/>
    <x v="4"/>
    <x v="2"/>
    <x v="27"/>
  </r>
  <r>
    <x v="1"/>
    <x v="3"/>
    <x v="1"/>
    <n v="1"/>
    <x v="1"/>
    <x v="3"/>
    <x v="2"/>
    <x v="0"/>
    <x v="2"/>
    <x v="27"/>
  </r>
  <r>
    <x v="1"/>
    <x v="3"/>
    <x v="4"/>
    <n v="1"/>
    <x v="0"/>
    <x v="3"/>
    <x v="2"/>
    <x v="2"/>
    <x v="5"/>
    <x v="2"/>
  </r>
  <r>
    <x v="1"/>
    <x v="3"/>
    <x v="4"/>
    <n v="1"/>
    <x v="2"/>
    <x v="0"/>
    <x v="2"/>
    <x v="4"/>
    <x v="5"/>
    <x v="11"/>
  </r>
  <r>
    <x v="0"/>
    <x v="3"/>
    <x v="2"/>
    <n v="0"/>
    <x v="2"/>
    <x v="0"/>
    <x v="1"/>
    <x v="1"/>
    <x v="1"/>
    <x v="37"/>
  </r>
  <r>
    <x v="1"/>
    <x v="3"/>
    <x v="3"/>
    <n v="1"/>
    <x v="2"/>
    <x v="0"/>
    <x v="2"/>
    <x v="0"/>
    <x v="0"/>
    <x v="72"/>
  </r>
  <r>
    <x v="0"/>
    <x v="3"/>
    <x v="5"/>
    <n v="1"/>
    <x v="2"/>
    <x v="0"/>
    <x v="2"/>
    <x v="3"/>
    <x v="2"/>
    <x v="11"/>
  </r>
  <r>
    <x v="0"/>
    <x v="3"/>
    <x v="2"/>
    <n v="0"/>
    <x v="1"/>
    <x v="1"/>
    <x v="1"/>
    <x v="1"/>
    <x v="1"/>
    <x v="5"/>
  </r>
  <r>
    <x v="1"/>
    <x v="3"/>
    <x v="5"/>
    <n v="1"/>
    <x v="2"/>
    <x v="3"/>
    <x v="3"/>
    <x v="2"/>
    <x v="2"/>
    <x v="21"/>
  </r>
  <r>
    <x v="0"/>
    <x v="3"/>
    <x v="2"/>
    <n v="0"/>
    <x v="2"/>
    <x v="3"/>
    <x v="3"/>
    <x v="1"/>
    <x v="1"/>
    <x v="36"/>
  </r>
  <r>
    <x v="1"/>
    <x v="3"/>
    <x v="4"/>
    <n v="1"/>
    <x v="2"/>
    <x v="3"/>
    <x v="3"/>
    <x v="2"/>
    <x v="2"/>
    <x v="73"/>
  </r>
  <r>
    <x v="0"/>
    <x v="3"/>
    <x v="2"/>
    <n v="0"/>
    <x v="2"/>
    <x v="0"/>
    <x v="2"/>
    <x v="1"/>
    <x v="1"/>
    <x v="4"/>
  </r>
  <r>
    <x v="1"/>
    <x v="3"/>
    <x v="1"/>
    <n v="1"/>
    <x v="2"/>
    <x v="1"/>
    <x v="0"/>
    <x v="4"/>
    <x v="0"/>
    <x v="2"/>
  </r>
  <r>
    <x v="0"/>
    <x v="3"/>
    <x v="1"/>
    <n v="1"/>
    <x v="2"/>
    <x v="2"/>
    <x v="1"/>
    <x v="0"/>
    <x v="2"/>
    <x v="37"/>
  </r>
  <r>
    <x v="1"/>
    <x v="3"/>
    <x v="4"/>
    <n v="1"/>
    <x v="0"/>
    <x v="3"/>
    <x v="2"/>
    <x v="2"/>
    <x v="0"/>
    <x v="37"/>
  </r>
  <r>
    <x v="1"/>
    <x v="3"/>
    <x v="4"/>
    <n v="1"/>
    <x v="1"/>
    <x v="1"/>
    <x v="2"/>
    <x v="0"/>
    <x v="2"/>
    <x v="34"/>
  </r>
  <r>
    <x v="0"/>
    <x v="3"/>
    <x v="3"/>
    <n v="1"/>
    <x v="2"/>
    <x v="2"/>
    <x v="2"/>
    <x v="3"/>
    <x v="5"/>
    <x v="2"/>
  </r>
  <r>
    <x v="0"/>
    <x v="3"/>
    <x v="2"/>
    <n v="0"/>
    <x v="3"/>
    <x v="0"/>
    <x v="3"/>
    <x v="1"/>
    <x v="1"/>
    <x v="21"/>
  </r>
  <r>
    <x v="0"/>
    <x v="3"/>
    <x v="1"/>
    <n v="1"/>
    <x v="2"/>
    <x v="3"/>
    <x v="3"/>
    <x v="0"/>
    <x v="2"/>
    <x v="30"/>
  </r>
  <r>
    <x v="1"/>
    <x v="3"/>
    <x v="1"/>
    <n v="1"/>
    <x v="3"/>
    <x v="2"/>
    <x v="3"/>
    <x v="2"/>
    <x v="2"/>
    <x v="7"/>
  </r>
  <r>
    <x v="1"/>
    <x v="3"/>
    <x v="4"/>
    <n v="1"/>
    <x v="2"/>
    <x v="0"/>
    <x v="2"/>
    <x v="0"/>
    <x v="4"/>
    <x v="74"/>
  </r>
  <r>
    <x v="0"/>
    <x v="3"/>
    <x v="1"/>
    <n v="1"/>
    <x v="1"/>
    <x v="1"/>
    <x v="2"/>
    <x v="0"/>
    <x v="0"/>
    <x v="75"/>
  </r>
  <r>
    <x v="0"/>
    <x v="3"/>
    <x v="2"/>
    <n v="0"/>
    <x v="2"/>
    <x v="0"/>
    <x v="0"/>
    <x v="1"/>
    <x v="1"/>
    <x v="46"/>
  </r>
  <r>
    <x v="0"/>
    <x v="3"/>
    <x v="2"/>
    <n v="0"/>
    <x v="2"/>
    <x v="0"/>
    <x v="1"/>
    <x v="1"/>
    <x v="1"/>
    <x v="14"/>
  </r>
  <r>
    <x v="1"/>
    <x v="3"/>
    <x v="4"/>
    <n v="1"/>
    <x v="3"/>
    <x v="0"/>
    <x v="2"/>
    <x v="2"/>
    <x v="4"/>
    <x v="6"/>
  </r>
  <r>
    <x v="1"/>
    <x v="3"/>
    <x v="5"/>
    <n v="1"/>
    <x v="1"/>
    <x v="3"/>
    <x v="2"/>
    <x v="0"/>
    <x v="0"/>
    <x v="64"/>
  </r>
  <r>
    <x v="1"/>
    <x v="3"/>
    <x v="3"/>
    <n v="1"/>
    <x v="2"/>
    <x v="3"/>
    <x v="2"/>
    <x v="0"/>
    <x v="2"/>
    <x v="2"/>
  </r>
  <r>
    <x v="0"/>
    <x v="3"/>
    <x v="2"/>
    <n v="0"/>
    <x v="2"/>
    <x v="0"/>
    <x v="3"/>
    <x v="1"/>
    <x v="1"/>
    <x v="76"/>
  </r>
  <r>
    <x v="0"/>
    <x v="3"/>
    <x v="2"/>
    <n v="0"/>
    <x v="2"/>
    <x v="0"/>
    <x v="2"/>
    <x v="1"/>
    <x v="1"/>
    <x v="21"/>
  </r>
  <r>
    <x v="0"/>
    <x v="3"/>
    <x v="2"/>
    <n v="0"/>
    <x v="2"/>
    <x v="0"/>
    <x v="2"/>
    <x v="1"/>
    <x v="1"/>
    <x v="26"/>
  </r>
  <r>
    <x v="1"/>
    <x v="3"/>
    <x v="5"/>
    <n v="1"/>
    <x v="1"/>
    <x v="1"/>
    <x v="3"/>
    <x v="4"/>
    <x v="2"/>
    <x v="4"/>
  </r>
  <r>
    <x v="0"/>
    <x v="3"/>
    <x v="3"/>
    <n v="1"/>
    <x v="2"/>
    <x v="4"/>
    <x v="2"/>
    <x v="0"/>
    <x v="0"/>
    <x v="8"/>
  </r>
  <r>
    <x v="0"/>
    <x v="3"/>
    <x v="0"/>
    <n v="1"/>
    <x v="1"/>
    <x v="0"/>
    <x v="1"/>
    <x v="3"/>
    <x v="0"/>
    <x v="4"/>
  </r>
  <r>
    <x v="0"/>
    <x v="3"/>
    <x v="2"/>
    <n v="0"/>
    <x v="3"/>
    <x v="1"/>
    <x v="1"/>
    <x v="1"/>
    <x v="1"/>
    <x v="14"/>
  </r>
  <r>
    <x v="1"/>
    <x v="3"/>
    <x v="1"/>
    <n v="1"/>
    <x v="4"/>
    <x v="1"/>
    <x v="2"/>
    <x v="3"/>
    <x v="2"/>
    <x v="77"/>
  </r>
  <r>
    <x v="0"/>
    <x v="3"/>
    <x v="2"/>
    <n v="0"/>
    <x v="1"/>
    <x v="3"/>
    <x v="2"/>
    <x v="1"/>
    <x v="1"/>
    <x v="4"/>
  </r>
  <r>
    <x v="1"/>
    <x v="3"/>
    <x v="1"/>
    <n v="1"/>
    <x v="2"/>
    <x v="0"/>
    <x v="2"/>
    <x v="0"/>
    <x v="4"/>
    <x v="4"/>
  </r>
  <r>
    <x v="0"/>
    <x v="3"/>
    <x v="3"/>
    <n v="1"/>
    <x v="1"/>
    <x v="1"/>
    <x v="2"/>
    <x v="3"/>
    <x v="2"/>
    <x v="15"/>
  </r>
  <r>
    <x v="0"/>
    <x v="3"/>
    <x v="4"/>
    <n v="1"/>
    <x v="1"/>
    <x v="1"/>
    <x v="2"/>
    <x v="3"/>
    <x v="4"/>
    <x v="14"/>
  </r>
  <r>
    <x v="0"/>
    <x v="3"/>
    <x v="1"/>
    <n v="1"/>
    <x v="0"/>
    <x v="0"/>
    <x v="3"/>
    <x v="3"/>
    <x v="0"/>
    <x v="21"/>
  </r>
  <r>
    <x v="1"/>
    <x v="3"/>
    <x v="1"/>
    <n v="1"/>
    <x v="1"/>
    <x v="2"/>
    <x v="2"/>
    <x v="0"/>
    <x v="2"/>
    <x v="5"/>
  </r>
  <r>
    <x v="1"/>
    <x v="3"/>
    <x v="4"/>
    <n v="1"/>
    <x v="0"/>
    <x v="3"/>
    <x v="3"/>
    <x v="0"/>
    <x v="2"/>
    <x v="30"/>
  </r>
  <r>
    <x v="1"/>
    <x v="3"/>
    <x v="3"/>
    <n v="1"/>
    <x v="2"/>
    <x v="0"/>
    <x v="0"/>
    <x v="4"/>
    <x v="5"/>
    <x v="10"/>
  </r>
  <r>
    <x v="1"/>
    <x v="3"/>
    <x v="3"/>
    <n v="1"/>
    <x v="0"/>
    <x v="3"/>
    <x v="0"/>
    <x v="2"/>
    <x v="2"/>
    <x v="10"/>
  </r>
  <r>
    <x v="1"/>
    <x v="3"/>
    <x v="2"/>
    <n v="0"/>
    <x v="2"/>
    <x v="3"/>
    <x v="2"/>
    <x v="1"/>
    <x v="1"/>
    <x v="78"/>
  </r>
  <r>
    <x v="1"/>
    <x v="3"/>
    <x v="1"/>
    <n v="1"/>
    <x v="2"/>
    <x v="3"/>
    <x v="1"/>
    <x v="4"/>
    <x v="4"/>
    <x v="4"/>
  </r>
  <r>
    <x v="1"/>
    <x v="3"/>
    <x v="4"/>
    <n v="1"/>
    <x v="1"/>
    <x v="0"/>
    <x v="2"/>
    <x v="4"/>
    <x v="4"/>
    <x v="15"/>
  </r>
  <r>
    <x v="1"/>
    <x v="3"/>
    <x v="1"/>
    <n v="1"/>
    <x v="2"/>
    <x v="0"/>
    <x v="3"/>
    <x v="0"/>
    <x v="4"/>
    <x v="3"/>
  </r>
  <r>
    <x v="0"/>
    <x v="3"/>
    <x v="2"/>
    <n v="0"/>
    <x v="0"/>
    <x v="0"/>
    <x v="2"/>
    <x v="1"/>
    <x v="1"/>
    <x v="79"/>
  </r>
  <r>
    <x v="1"/>
    <x v="3"/>
    <x v="3"/>
    <n v="1"/>
    <x v="2"/>
    <x v="1"/>
    <x v="2"/>
    <x v="0"/>
    <x v="0"/>
    <x v="7"/>
  </r>
  <r>
    <x v="1"/>
    <x v="3"/>
    <x v="4"/>
    <n v="1"/>
    <x v="1"/>
    <x v="3"/>
    <x v="2"/>
    <x v="4"/>
    <x v="5"/>
    <x v="34"/>
  </r>
  <r>
    <x v="0"/>
    <x v="3"/>
    <x v="2"/>
    <n v="0"/>
    <x v="2"/>
    <x v="3"/>
    <x v="2"/>
    <x v="1"/>
    <x v="1"/>
    <x v="19"/>
  </r>
  <r>
    <x v="1"/>
    <x v="3"/>
    <x v="1"/>
    <n v="1"/>
    <x v="2"/>
    <x v="0"/>
    <x v="3"/>
    <x v="3"/>
    <x v="2"/>
    <x v="43"/>
  </r>
  <r>
    <x v="0"/>
    <x v="3"/>
    <x v="2"/>
    <n v="0"/>
    <x v="1"/>
    <x v="0"/>
    <x v="2"/>
    <x v="1"/>
    <x v="1"/>
    <x v="21"/>
  </r>
  <r>
    <x v="0"/>
    <x v="3"/>
    <x v="2"/>
    <n v="0"/>
    <x v="5"/>
    <x v="4"/>
    <x v="0"/>
    <x v="1"/>
    <x v="1"/>
    <x v="8"/>
  </r>
  <r>
    <x v="1"/>
    <x v="3"/>
    <x v="1"/>
    <n v="1"/>
    <x v="1"/>
    <x v="1"/>
    <x v="2"/>
    <x v="2"/>
    <x v="4"/>
    <x v="15"/>
  </r>
  <r>
    <x v="1"/>
    <x v="3"/>
    <x v="1"/>
    <n v="1"/>
    <x v="1"/>
    <x v="0"/>
    <x v="2"/>
    <x v="0"/>
    <x v="2"/>
    <x v="15"/>
  </r>
  <r>
    <x v="1"/>
    <x v="4"/>
    <x v="4"/>
    <n v="1"/>
    <x v="2"/>
    <x v="3"/>
    <x v="3"/>
    <x v="4"/>
    <x v="4"/>
    <x v="20"/>
  </r>
  <r>
    <x v="0"/>
    <x v="4"/>
    <x v="3"/>
    <n v="1"/>
    <x v="1"/>
    <x v="3"/>
    <x v="0"/>
    <x v="3"/>
    <x v="2"/>
    <x v="20"/>
  </r>
  <r>
    <x v="1"/>
    <x v="4"/>
    <x v="5"/>
    <n v="1"/>
    <x v="3"/>
    <x v="0"/>
    <x v="3"/>
    <x v="3"/>
    <x v="2"/>
    <x v="20"/>
  </r>
  <r>
    <x v="1"/>
    <x v="4"/>
    <x v="5"/>
    <n v="1"/>
    <x v="2"/>
    <x v="2"/>
    <x v="0"/>
    <x v="3"/>
    <x v="4"/>
    <x v="20"/>
  </r>
  <r>
    <x v="1"/>
    <x v="4"/>
    <x v="5"/>
    <n v="1"/>
    <x v="2"/>
    <x v="0"/>
    <x v="2"/>
    <x v="2"/>
    <x v="0"/>
    <x v="80"/>
  </r>
  <r>
    <x v="0"/>
    <x v="4"/>
    <x v="2"/>
    <n v="0"/>
    <x v="2"/>
    <x v="1"/>
    <x v="3"/>
    <x v="1"/>
    <x v="1"/>
    <x v="20"/>
  </r>
  <r>
    <x v="1"/>
    <x v="4"/>
    <x v="4"/>
    <n v="1"/>
    <x v="1"/>
    <x v="0"/>
    <x v="1"/>
    <x v="4"/>
    <x v="3"/>
    <x v="2"/>
  </r>
  <r>
    <x v="1"/>
    <x v="4"/>
    <x v="4"/>
    <n v="1"/>
    <x v="1"/>
    <x v="3"/>
    <x v="2"/>
    <x v="3"/>
    <x v="2"/>
    <x v="4"/>
  </r>
  <r>
    <x v="0"/>
    <x v="4"/>
    <x v="3"/>
    <n v="1"/>
    <x v="5"/>
    <x v="4"/>
    <x v="0"/>
    <x v="0"/>
    <x v="0"/>
    <x v="20"/>
  </r>
  <r>
    <x v="0"/>
    <x v="4"/>
    <x v="1"/>
    <n v="1"/>
    <x v="1"/>
    <x v="3"/>
    <x v="3"/>
    <x v="0"/>
    <x v="0"/>
    <x v="20"/>
  </r>
  <r>
    <x v="0"/>
    <x v="4"/>
    <x v="1"/>
    <n v="1"/>
    <x v="2"/>
    <x v="0"/>
    <x v="0"/>
    <x v="3"/>
    <x v="4"/>
    <x v="20"/>
  </r>
  <r>
    <x v="1"/>
    <x v="4"/>
    <x v="3"/>
    <n v="1"/>
    <x v="1"/>
    <x v="0"/>
    <x v="3"/>
    <x v="3"/>
    <x v="4"/>
    <x v="4"/>
  </r>
  <r>
    <x v="1"/>
    <x v="4"/>
    <x v="5"/>
    <n v="1"/>
    <x v="2"/>
    <x v="0"/>
    <x v="0"/>
    <x v="2"/>
    <x v="0"/>
    <x v="8"/>
  </r>
  <r>
    <x v="1"/>
    <x v="4"/>
    <x v="2"/>
    <n v="0"/>
    <x v="0"/>
    <x v="0"/>
    <x v="3"/>
    <x v="1"/>
    <x v="1"/>
    <x v="4"/>
  </r>
  <r>
    <x v="1"/>
    <x v="4"/>
    <x v="4"/>
    <n v="1"/>
    <x v="2"/>
    <x v="0"/>
    <x v="3"/>
    <x v="4"/>
    <x v="5"/>
    <x v="20"/>
  </r>
  <r>
    <x v="0"/>
    <x v="4"/>
    <x v="0"/>
    <n v="1"/>
    <x v="1"/>
    <x v="3"/>
    <x v="0"/>
    <x v="4"/>
    <x v="4"/>
    <x v="2"/>
  </r>
  <r>
    <x v="0"/>
    <x v="4"/>
    <x v="2"/>
    <n v="0"/>
    <x v="2"/>
    <x v="0"/>
    <x v="0"/>
    <x v="1"/>
    <x v="1"/>
    <x v="8"/>
  </r>
  <r>
    <x v="0"/>
    <x v="4"/>
    <x v="1"/>
    <n v="1"/>
    <x v="1"/>
    <x v="1"/>
    <x v="2"/>
    <x v="2"/>
    <x v="2"/>
    <x v="20"/>
  </r>
  <r>
    <x v="0"/>
    <x v="4"/>
    <x v="0"/>
    <n v="1"/>
    <x v="2"/>
    <x v="0"/>
    <x v="3"/>
    <x v="0"/>
    <x v="0"/>
    <x v="72"/>
  </r>
  <r>
    <x v="0"/>
    <x v="4"/>
    <x v="5"/>
    <n v="1"/>
    <x v="2"/>
    <x v="0"/>
    <x v="3"/>
    <x v="3"/>
    <x v="4"/>
    <x v="4"/>
  </r>
  <r>
    <x v="0"/>
    <x v="4"/>
    <x v="2"/>
    <n v="0"/>
    <x v="2"/>
    <x v="3"/>
    <x v="2"/>
    <x v="1"/>
    <x v="1"/>
    <x v="20"/>
  </r>
  <r>
    <x v="0"/>
    <x v="4"/>
    <x v="2"/>
    <n v="0"/>
    <x v="2"/>
    <x v="0"/>
    <x v="2"/>
    <x v="1"/>
    <x v="1"/>
    <x v="20"/>
  </r>
  <r>
    <x v="1"/>
    <x v="4"/>
    <x v="2"/>
    <n v="0"/>
    <x v="0"/>
    <x v="4"/>
    <x v="3"/>
    <x v="1"/>
    <x v="1"/>
    <x v="12"/>
  </r>
  <r>
    <x v="0"/>
    <x v="4"/>
    <x v="3"/>
    <n v="1"/>
    <x v="0"/>
    <x v="4"/>
    <x v="0"/>
    <x v="2"/>
    <x v="2"/>
    <x v="20"/>
  </r>
  <r>
    <x v="1"/>
    <x v="4"/>
    <x v="4"/>
    <n v="1"/>
    <x v="1"/>
    <x v="0"/>
    <x v="2"/>
    <x v="2"/>
    <x v="5"/>
    <x v="26"/>
  </r>
  <r>
    <x v="1"/>
    <x v="4"/>
    <x v="5"/>
    <n v="1"/>
    <x v="2"/>
    <x v="3"/>
    <x v="2"/>
    <x v="4"/>
    <x v="2"/>
    <x v="8"/>
  </r>
  <r>
    <x v="0"/>
    <x v="4"/>
    <x v="1"/>
    <n v="1"/>
    <x v="2"/>
    <x v="0"/>
    <x v="3"/>
    <x v="2"/>
    <x v="0"/>
    <x v="4"/>
  </r>
  <r>
    <x v="0"/>
    <x v="4"/>
    <x v="3"/>
    <n v="1"/>
    <x v="2"/>
    <x v="3"/>
    <x v="0"/>
    <x v="0"/>
    <x v="2"/>
    <x v="4"/>
  </r>
  <r>
    <x v="0"/>
    <x v="4"/>
    <x v="2"/>
    <n v="0"/>
    <x v="2"/>
    <x v="3"/>
    <x v="2"/>
    <x v="1"/>
    <x v="1"/>
    <x v="20"/>
  </r>
  <r>
    <x v="1"/>
    <x v="4"/>
    <x v="1"/>
    <n v="1"/>
    <x v="0"/>
    <x v="3"/>
    <x v="2"/>
    <x v="0"/>
    <x v="2"/>
    <x v="33"/>
  </r>
  <r>
    <x v="1"/>
    <x v="4"/>
    <x v="1"/>
    <n v="1"/>
    <x v="2"/>
    <x v="0"/>
    <x v="0"/>
    <x v="2"/>
    <x v="2"/>
    <x v="4"/>
  </r>
  <r>
    <x v="0"/>
    <x v="5"/>
    <x v="3"/>
    <n v="1"/>
    <x v="2"/>
    <x v="0"/>
    <x v="0"/>
    <x v="0"/>
    <x v="2"/>
    <x v="20"/>
  </r>
  <r>
    <x v="1"/>
    <x v="5"/>
    <x v="4"/>
    <n v="1"/>
    <x v="0"/>
    <x v="3"/>
    <x v="0"/>
    <x v="3"/>
    <x v="2"/>
    <x v="20"/>
  </r>
  <r>
    <x v="1"/>
    <x v="5"/>
    <x v="5"/>
    <n v="1"/>
    <x v="3"/>
    <x v="2"/>
    <x v="0"/>
    <x v="0"/>
    <x v="0"/>
    <x v="20"/>
  </r>
  <r>
    <x v="1"/>
    <x v="5"/>
    <x v="3"/>
    <n v="1"/>
    <x v="1"/>
    <x v="1"/>
    <x v="0"/>
    <x v="4"/>
    <x v="3"/>
    <x v="4"/>
  </r>
  <r>
    <x v="1"/>
    <x v="5"/>
    <x v="2"/>
    <n v="0"/>
    <x v="2"/>
    <x v="2"/>
    <x v="3"/>
    <x v="1"/>
    <x v="1"/>
    <x v="20"/>
  </r>
  <r>
    <x v="0"/>
    <x v="5"/>
    <x v="1"/>
    <n v="1"/>
    <x v="1"/>
    <x v="1"/>
    <x v="2"/>
    <x v="3"/>
    <x v="0"/>
    <x v="21"/>
  </r>
  <r>
    <x v="1"/>
    <x v="5"/>
    <x v="3"/>
    <n v="1"/>
    <x v="3"/>
    <x v="2"/>
    <x v="0"/>
    <x v="3"/>
    <x v="2"/>
    <x v="20"/>
  </r>
  <r>
    <x v="1"/>
    <x v="5"/>
    <x v="3"/>
    <n v="1"/>
    <x v="5"/>
    <x v="5"/>
    <x v="0"/>
    <x v="2"/>
    <x v="4"/>
    <x v="20"/>
  </r>
  <r>
    <x v="1"/>
    <x v="5"/>
    <x v="4"/>
    <n v="1"/>
    <x v="2"/>
    <x v="0"/>
    <x v="1"/>
    <x v="4"/>
    <x v="5"/>
    <x v="20"/>
  </r>
  <r>
    <x v="0"/>
    <x v="5"/>
    <x v="2"/>
    <n v="0"/>
    <x v="0"/>
    <x v="0"/>
    <x v="3"/>
    <x v="1"/>
    <x v="1"/>
    <x v="20"/>
  </r>
  <r>
    <x v="1"/>
    <x v="5"/>
    <x v="1"/>
    <n v="1"/>
    <x v="2"/>
    <x v="4"/>
    <x v="0"/>
    <x v="4"/>
    <x v="4"/>
    <x v="20"/>
  </r>
  <r>
    <x v="1"/>
    <x v="5"/>
    <x v="0"/>
    <n v="1"/>
    <x v="5"/>
    <x v="4"/>
    <x v="3"/>
    <x v="2"/>
    <x v="4"/>
    <x v="20"/>
  </r>
  <r>
    <x v="1"/>
    <x v="5"/>
    <x v="3"/>
    <n v="1"/>
    <x v="2"/>
    <x v="0"/>
    <x v="0"/>
    <x v="4"/>
    <x v="3"/>
    <x v="14"/>
  </r>
  <r>
    <x v="1"/>
    <x v="5"/>
    <x v="3"/>
    <n v="1"/>
    <x v="0"/>
    <x v="4"/>
    <x v="3"/>
    <x v="2"/>
    <x v="2"/>
    <x v="20"/>
  </r>
  <r>
    <x v="1"/>
    <x v="5"/>
    <x v="2"/>
    <n v="0"/>
    <x v="1"/>
    <x v="3"/>
    <x v="3"/>
    <x v="1"/>
    <x v="1"/>
    <x v="20"/>
  </r>
  <r>
    <x v="0"/>
    <x v="5"/>
    <x v="2"/>
    <n v="0"/>
    <x v="2"/>
    <x v="3"/>
    <x v="3"/>
    <x v="1"/>
    <x v="1"/>
    <x v="20"/>
  </r>
  <r>
    <x v="1"/>
    <x v="5"/>
    <x v="0"/>
    <n v="1"/>
    <x v="5"/>
    <x v="4"/>
    <x v="0"/>
    <x v="2"/>
    <x v="2"/>
    <x v="20"/>
  </r>
  <r>
    <x v="1"/>
    <x v="5"/>
    <x v="3"/>
    <n v="1"/>
    <x v="0"/>
    <x v="4"/>
    <x v="0"/>
    <x v="0"/>
    <x v="2"/>
    <x v="20"/>
  </r>
  <r>
    <x v="1"/>
    <x v="5"/>
    <x v="4"/>
    <n v="1"/>
    <x v="0"/>
    <x v="3"/>
    <x v="3"/>
    <x v="2"/>
    <x v="4"/>
    <x v="20"/>
  </r>
  <r>
    <x v="0"/>
    <x v="5"/>
    <x v="2"/>
    <n v="0"/>
    <x v="0"/>
    <x v="4"/>
    <x v="0"/>
    <x v="1"/>
    <x v="1"/>
    <x v="8"/>
  </r>
  <r>
    <x v="1"/>
    <x v="5"/>
    <x v="3"/>
    <n v="1"/>
    <x v="2"/>
    <x v="0"/>
    <x v="2"/>
    <x v="2"/>
    <x v="2"/>
    <x v="20"/>
  </r>
  <r>
    <x v="0"/>
    <x v="6"/>
    <x v="2"/>
    <n v="0"/>
    <x v="2"/>
    <x v="0"/>
    <x v="4"/>
    <x v="1"/>
    <x v="1"/>
    <x v="10"/>
  </r>
  <r>
    <x v="1"/>
    <x v="6"/>
    <x v="0"/>
    <n v="1"/>
    <x v="1"/>
    <x v="3"/>
    <x v="4"/>
    <x v="0"/>
    <x v="0"/>
    <x v="20"/>
  </r>
  <r>
    <x v="0"/>
    <x v="6"/>
    <x v="0"/>
    <n v="1"/>
    <x v="0"/>
    <x v="3"/>
    <x v="4"/>
    <x v="2"/>
    <x v="0"/>
    <x v="20"/>
  </r>
  <r>
    <x v="0"/>
    <x v="6"/>
    <x v="0"/>
    <n v="1"/>
    <x v="1"/>
    <x v="0"/>
    <x v="4"/>
    <x v="2"/>
    <x v="2"/>
    <x v="4"/>
  </r>
  <r>
    <x v="1"/>
    <x v="6"/>
    <x v="3"/>
    <n v="1"/>
    <x v="0"/>
    <x v="0"/>
    <x v="4"/>
    <x v="3"/>
    <x v="0"/>
    <x v="8"/>
  </r>
  <r>
    <x v="0"/>
    <x v="6"/>
    <x v="2"/>
    <n v="0"/>
    <x v="2"/>
    <x v="0"/>
    <x v="4"/>
    <x v="1"/>
    <x v="1"/>
    <x v="20"/>
  </r>
  <r>
    <x v="0"/>
    <x v="6"/>
    <x v="2"/>
    <n v="0"/>
    <x v="2"/>
    <x v="3"/>
    <x v="4"/>
    <x v="1"/>
    <x v="1"/>
    <x v="8"/>
  </r>
  <r>
    <x v="1"/>
    <x v="6"/>
    <x v="2"/>
    <n v="0"/>
    <x v="0"/>
    <x v="3"/>
    <x v="4"/>
    <x v="1"/>
    <x v="1"/>
    <x v="20"/>
  </r>
  <r>
    <x v="1"/>
    <x v="6"/>
    <x v="3"/>
    <n v="1"/>
    <x v="0"/>
    <x v="3"/>
    <x v="4"/>
    <x v="0"/>
    <x v="0"/>
    <x v="20"/>
  </r>
  <r>
    <x v="1"/>
    <x v="6"/>
    <x v="3"/>
    <n v="1"/>
    <x v="2"/>
    <x v="0"/>
    <x v="4"/>
    <x v="0"/>
    <x v="0"/>
    <x v="36"/>
  </r>
  <r>
    <x v="0"/>
    <x v="6"/>
    <x v="0"/>
    <n v="1"/>
    <x v="0"/>
    <x v="3"/>
    <x v="4"/>
    <x v="2"/>
    <x v="0"/>
    <x v="8"/>
  </r>
  <r>
    <x v="1"/>
    <x v="6"/>
    <x v="3"/>
    <n v="1"/>
    <x v="1"/>
    <x v="1"/>
    <x v="4"/>
    <x v="2"/>
    <x v="4"/>
    <x v="8"/>
  </r>
  <r>
    <x v="1"/>
    <x v="6"/>
    <x v="3"/>
    <n v="1"/>
    <x v="0"/>
    <x v="3"/>
    <x v="4"/>
    <x v="2"/>
    <x v="0"/>
    <x v="20"/>
  </r>
  <r>
    <x v="1"/>
    <x v="6"/>
    <x v="5"/>
    <n v="1"/>
    <x v="0"/>
    <x v="3"/>
    <x v="4"/>
    <x v="2"/>
    <x v="4"/>
    <x v="20"/>
  </r>
  <r>
    <x v="0"/>
    <x v="6"/>
    <x v="0"/>
    <n v="1"/>
    <x v="2"/>
    <x v="0"/>
    <x v="4"/>
    <x v="0"/>
    <x v="2"/>
    <x v="10"/>
  </r>
  <r>
    <x v="1"/>
    <x v="6"/>
    <x v="0"/>
    <n v="1"/>
    <x v="0"/>
    <x v="3"/>
    <x v="4"/>
    <x v="3"/>
    <x v="0"/>
    <x v="20"/>
  </r>
  <r>
    <x v="1"/>
    <x v="6"/>
    <x v="0"/>
    <n v="1"/>
    <x v="1"/>
    <x v="1"/>
    <x v="4"/>
    <x v="2"/>
    <x v="4"/>
    <x v="20"/>
  </r>
  <r>
    <x v="0"/>
    <x v="6"/>
    <x v="2"/>
    <n v="0"/>
    <x v="2"/>
    <x v="3"/>
    <x v="4"/>
    <x v="1"/>
    <x v="1"/>
    <x v="20"/>
  </r>
  <r>
    <x v="0"/>
    <x v="6"/>
    <x v="2"/>
    <n v="0"/>
    <x v="5"/>
    <x v="4"/>
    <x v="4"/>
    <x v="1"/>
    <x v="1"/>
    <x v="20"/>
  </r>
  <r>
    <x v="0"/>
    <x v="6"/>
    <x v="3"/>
    <n v="1"/>
    <x v="0"/>
    <x v="0"/>
    <x v="4"/>
    <x v="3"/>
    <x v="4"/>
    <x v="20"/>
  </r>
  <r>
    <x v="1"/>
    <x v="6"/>
    <x v="5"/>
    <n v="1"/>
    <x v="5"/>
    <x v="4"/>
    <x v="4"/>
    <x v="0"/>
    <x v="0"/>
    <x v="20"/>
  </r>
  <r>
    <x v="1"/>
    <x v="6"/>
    <x v="1"/>
    <n v="1"/>
    <x v="2"/>
    <x v="3"/>
    <x v="4"/>
    <x v="3"/>
    <x v="2"/>
    <x v="8"/>
  </r>
  <r>
    <x v="1"/>
    <x v="6"/>
    <x v="5"/>
    <n v="1"/>
    <x v="0"/>
    <x v="3"/>
    <x v="4"/>
    <x v="3"/>
    <x v="4"/>
    <x v="20"/>
  </r>
  <r>
    <x v="1"/>
    <x v="6"/>
    <x v="1"/>
    <n v="1"/>
    <x v="3"/>
    <x v="0"/>
    <x v="4"/>
    <x v="3"/>
    <x v="4"/>
    <x v="4"/>
  </r>
  <r>
    <x v="1"/>
    <x v="6"/>
    <x v="5"/>
    <n v="1"/>
    <x v="0"/>
    <x v="3"/>
    <x v="4"/>
    <x v="0"/>
    <x v="0"/>
    <x v="20"/>
  </r>
  <r>
    <x v="0"/>
    <x v="6"/>
    <x v="2"/>
    <n v="0"/>
    <x v="2"/>
    <x v="0"/>
    <x v="4"/>
    <x v="1"/>
    <x v="1"/>
    <x v="20"/>
  </r>
  <r>
    <x v="1"/>
    <x v="6"/>
    <x v="3"/>
    <n v="1"/>
    <x v="3"/>
    <x v="1"/>
    <x v="4"/>
    <x v="0"/>
    <x v="0"/>
    <x v="20"/>
  </r>
  <r>
    <x v="0"/>
    <x v="6"/>
    <x v="2"/>
    <n v="0"/>
    <x v="5"/>
    <x v="3"/>
    <x v="4"/>
    <x v="1"/>
    <x v="1"/>
    <x v="20"/>
  </r>
  <r>
    <x v="0"/>
    <x v="6"/>
    <x v="2"/>
    <n v="0"/>
    <x v="0"/>
    <x v="3"/>
    <x v="4"/>
    <x v="1"/>
    <x v="1"/>
    <x v="20"/>
  </r>
  <r>
    <x v="1"/>
    <x v="6"/>
    <x v="2"/>
    <n v="0"/>
    <x v="1"/>
    <x v="0"/>
    <x v="4"/>
    <x v="1"/>
    <x v="1"/>
    <x v="10"/>
  </r>
  <r>
    <x v="1"/>
    <x v="6"/>
    <x v="3"/>
    <n v="1"/>
    <x v="2"/>
    <x v="0"/>
    <x v="4"/>
    <x v="4"/>
    <x v="4"/>
    <x v="20"/>
  </r>
  <r>
    <x v="1"/>
    <x v="6"/>
    <x v="1"/>
    <n v="1"/>
    <x v="3"/>
    <x v="2"/>
    <x v="4"/>
    <x v="0"/>
    <x v="0"/>
    <x v="20"/>
  </r>
  <r>
    <x v="0"/>
    <x v="6"/>
    <x v="3"/>
    <n v="1"/>
    <x v="0"/>
    <x v="3"/>
    <x v="4"/>
    <x v="4"/>
    <x v="0"/>
    <x v="20"/>
  </r>
  <r>
    <x v="1"/>
    <x v="6"/>
    <x v="2"/>
    <n v="0"/>
    <x v="0"/>
    <x v="0"/>
    <x v="4"/>
    <x v="1"/>
    <x v="1"/>
    <x v="12"/>
  </r>
  <r>
    <x v="1"/>
    <x v="6"/>
    <x v="3"/>
    <n v="1"/>
    <x v="2"/>
    <x v="0"/>
    <x v="4"/>
    <x v="0"/>
    <x v="0"/>
    <x v="76"/>
  </r>
  <r>
    <x v="0"/>
    <x v="6"/>
    <x v="2"/>
    <n v="0"/>
    <x v="0"/>
    <x v="3"/>
    <x v="4"/>
    <x v="1"/>
    <x v="1"/>
    <x v="20"/>
  </r>
  <r>
    <x v="1"/>
    <x v="6"/>
    <x v="5"/>
    <n v="1"/>
    <x v="2"/>
    <x v="0"/>
    <x v="4"/>
    <x v="0"/>
    <x v="2"/>
    <x v="20"/>
  </r>
  <r>
    <x v="0"/>
    <x v="6"/>
    <x v="2"/>
    <n v="0"/>
    <x v="5"/>
    <x v="4"/>
    <x v="4"/>
    <x v="1"/>
    <x v="1"/>
    <x v="20"/>
  </r>
  <r>
    <x v="0"/>
    <x v="6"/>
    <x v="2"/>
    <n v="0"/>
    <x v="0"/>
    <x v="3"/>
    <x v="4"/>
    <x v="1"/>
    <x v="1"/>
    <x v="8"/>
  </r>
  <r>
    <x v="1"/>
    <x v="6"/>
    <x v="3"/>
    <n v="1"/>
    <x v="2"/>
    <x v="0"/>
    <x v="4"/>
    <x v="4"/>
    <x v="4"/>
    <x v="76"/>
  </r>
  <r>
    <x v="0"/>
    <x v="6"/>
    <x v="2"/>
    <n v="0"/>
    <x v="1"/>
    <x v="3"/>
    <x v="4"/>
    <x v="1"/>
    <x v="1"/>
    <x v="76"/>
  </r>
  <r>
    <x v="1"/>
    <x v="7"/>
    <x v="2"/>
    <n v="0"/>
    <x v="1"/>
    <x v="1"/>
    <x v="1"/>
    <x v="1"/>
    <x v="1"/>
    <x v="21"/>
  </r>
  <r>
    <x v="1"/>
    <x v="7"/>
    <x v="4"/>
    <n v="1"/>
    <x v="1"/>
    <x v="0"/>
    <x v="2"/>
    <x v="0"/>
    <x v="0"/>
    <x v="15"/>
  </r>
  <r>
    <x v="0"/>
    <x v="7"/>
    <x v="3"/>
    <n v="1"/>
    <x v="3"/>
    <x v="0"/>
    <x v="1"/>
    <x v="0"/>
    <x v="0"/>
    <x v="74"/>
  </r>
  <r>
    <x v="1"/>
    <x v="7"/>
    <x v="5"/>
    <n v="1"/>
    <x v="3"/>
    <x v="1"/>
    <x v="2"/>
    <x v="2"/>
    <x v="4"/>
    <x v="11"/>
  </r>
  <r>
    <x v="1"/>
    <x v="7"/>
    <x v="0"/>
    <n v="1"/>
    <x v="1"/>
    <x v="1"/>
    <x v="3"/>
    <x v="2"/>
    <x v="2"/>
    <x v="62"/>
  </r>
  <r>
    <x v="0"/>
    <x v="7"/>
    <x v="3"/>
    <n v="1"/>
    <x v="1"/>
    <x v="0"/>
    <x v="2"/>
    <x v="3"/>
    <x v="2"/>
    <x v="13"/>
  </r>
  <r>
    <x v="1"/>
    <x v="7"/>
    <x v="2"/>
    <n v="0"/>
    <x v="2"/>
    <x v="0"/>
    <x v="3"/>
    <x v="1"/>
    <x v="1"/>
    <x v="81"/>
  </r>
  <r>
    <x v="0"/>
    <x v="7"/>
    <x v="2"/>
    <n v="0"/>
    <x v="2"/>
    <x v="0"/>
    <x v="3"/>
    <x v="1"/>
    <x v="1"/>
    <x v="2"/>
  </r>
  <r>
    <x v="0"/>
    <x v="7"/>
    <x v="2"/>
    <n v="0"/>
    <x v="3"/>
    <x v="2"/>
    <x v="2"/>
    <x v="1"/>
    <x v="1"/>
    <x v="2"/>
  </r>
  <r>
    <x v="1"/>
    <x v="7"/>
    <x v="1"/>
    <n v="1"/>
    <x v="1"/>
    <x v="3"/>
    <x v="2"/>
    <x v="0"/>
    <x v="0"/>
    <x v="4"/>
  </r>
  <r>
    <x v="0"/>
    <x v="7"/>
    <x v="2"/>
    <n v="0"/>
    <x v="3"/>
    <x v="2"/>
    <x v="2"/>
    <x v="1"/>
    <x v="1"/>
    <x v="10"/>
  </r>
  <r>
    <x v="1"/>
    <x v="7"/>
    <x v="5"/>
    <n v="1"/>
    <x v="4"/>
    <x v="1"/>
    <x v="1"/>
    <x v="0"/>
    <x v="2"/>
    <x v="6"/>
  </r>
  <r>
    <x v="1"/>
    <x v="7"/>
    <x v="2"/>
    <n v="0"/>
    <x v="1"/>
    <x v="1"/>
    <x v="1"/>
    <x v="1"/>
    <x v="1"/>
    <x v="8"/>
  </r>
  <r>
    <x v="0"/>
    <x v="7"/>
    <x v="2"/>
    <n v="0"/>
    <x v="2"/>
    <x v="0"/>
    <x v="2"/>
    <x v="1"/>
    <x v="1"/>
    <x v="20"/>
  </r>
  <r>
    <x v="0"/>
    <x v="7"/>
    <x v="4"/>
    <n v="1"/>
    <x v="2"/>
    <x v="0"/>
    <x v="1"/>
    <x v="4"/>
    <x v="0"/>
    <x v="8"/>
  </r>
  <r>
    <x v="0"/>
    <x v="7"/>
    <x v="2"/>
    <n v="0"/>
    <x v="2"/>
    <x v="0"/>
    <x v="2"/>
    <x v="1"/>
    <x v="1"/>
    <x v="21"/>
  </r>
  <r>
    <x v="1"/>
    <x v="7"/>
    <x v="2"/>
    <n v="0"/>
    <x v="2"/>
    <x v="1"/>
    <x v="3"/>
    <x v="1"/>
    <x v="1"/>
    <x v="79"/>
  </r>
  <r>
    <x v="0"/>
    <x v="7"/>
    <x v="5"/>
    <n v="1"/>
    <x v="1"/>
    <x v="0"/>
    <x v="2"/>
    <x v="3"/>
    <x v="2"/>
    <x v="10"/>
  </r>
  <r>
    <x v="0"/>
    <x v="7"/>
    <x v="2"/>
    <n v="0"/>
    <x v="3"/>
    <x v="0"/>
    <x v="1"/>
    <x v="1"/>
    <x v="1"/>
    <x v="79"/>
  </r>
  <r>
    <x v="0"/>
    <x v="7"/>
    <x v="2"/>
    <n v="0"/>
    <x v="3"/>
    <x v="1"/>
    <x v="1"/>
    <x v="1"/>
    <x v="1"/>
    <x v="8"/>
  </r>
  <r>
    <x v="0"/>
    <x v="7"/>
    <x v="2"/>
    <n v="0"/>
    <x v="3"/>
    <x v="3"/>
    <x v="1"/>
    <x v="1"/>
    <x v="1"/>
    <x v="8"/>
  </r>
  <r>
    <x v="0"/>
    <x v="7"/>
    <x v="2"/>
    <n v="0"/>
    <x v="2"/>
    <x v="0"/>
    <x v="1"/>
    <x v="1"/>
    <x v="1"/>
    <x v="1"/>
  </r>
  <r>
    <x v="1"/>
    <x v="7"/>
    <x v="1"/>
    <n v="1"/>
    <x v="3"/>
    <x v="0"/>
    <x v="2"/>
    <x v="2"/>
    <x v="4"/>
    <x v="4"/>
  </r>
  <r>
    <x v="1"/>
    <x v="7"/>
    <x v="2"/>
    <n v="0"/>
    <x v="3"/>
    <x v="0"/>
    <x v="2"/>
    <x v="1"/>
    <x v="1"/>
    <x v="0"/>
  </r>
  <r>
    <x v="1"/>
    <x v="7"/>
    <x v="1"/>
    <n v="1"/>
    <x v="3"/>
    <x v="2"/>
    <x v="2"/>
    <x v="3"/>
    <x v="2"/>
    <x v="15"/>
  </r>
  <r>
    <x v="1"/>
    <x v="7"/>
    <x v="2"/>
    <n v="0"/>
    <x v="1"/>
    <x v="3"/>
    <x v="2"/>
    <x v="1"/>
    <x v="1"/>
    <x v="10"/>
  </r>
  <r>
    <x v="1"/>
    <x v="7"/>
    <x v="1"/>
    <n v="1"/>
    <x v="1"/>
    <x v="1"/>
    <x v="1"/>
    <x v="0"/>
    <x v="0"/>
    <x v="21"/>
  </r>
  <r>
    <x v="1"/>
    <x v="7"/>
    <x v="0"/>
    <n v="1"/>
    <x v="3"/>
    <x v="0"/>
    <x v="3"/>
    <x v="3"/>
    <x v="2"/>
    <x v="21"/>
  </r>
  <r>
    <x v="0"/>
    <x v="7"/>
    <x v="2"/>
    <n v="0"/>
    <x v="3"/>
    <x v="1"/>
    <x v="2"/>
    <x v="1"/>
    <x v="1"/>
    <x v="10"/>
  </r>
  <r>
    <x v="1"/>
    <x v="7"/>
    <x v="1"/>
    <n v="1"/>
    <x v="0"/>
    <x v="1"/>
    <x v="2"/>
    <x v="3"/>
    <x v="0"/>
    <x v="49"/>
  </r>
  <r>
    <x v="1"/>
    <x v="7"/>
    <x v="5"/>
    <n v="1"/>
    <x v="1"/>
    <x v="2"/>
    <x v="2"/>
    <x v="3"/>
    <x v="0"/>
    <x v="6"/>
  </r>
  <r>
    <x v="1"/>
    <x v="7"/>
    <x v="3"/>
    <n v="2"/>
    <x v="3"/>
    <x v="1"/>
    <x v="1"/>
    <x v="3"/>
    <x v="5"/>
    <x v="34"/>
  </r>
  <r>
    <x v="0"/>
    <x v="7"/>
    <x v="2"/>
    <n v="0"/>
    <x v="2"/>
    <x v="0"/>
    <x v="2"/>
    <x v="1"/>
    <x v="1"/>
    <x v="15"/>
  </r>
  <r>
    <x v="1"/>
    <x v="7"/>
    <x v="3"/>
    <n v="1"/>
    <x v="2"/>
    <x v="0"/>
    <x v="2"/>
    <x v="2"/>
    <x v="0"/>
    <x v="29"/>
  </r>
  <r>
    <x v="0"/>
    <x v="7"/>
    <x v="5"/>
    <n v="1"/>
    <x v="2"/>
    <x v="0"/>
    <x v="2"/>
    <x v="3"/>
    <x v="4"/>
    <x v="21"/>
  </r>
  <r>
    <x v="0"/>
    <x v="7"/>
    <x v="2"/>
    <n v="0"/>
    <x v="3"/>
    <x v="0"/>
    <x v="2"/>
    <x v="1"/>
    <x v="1"/>
    <x v="55"/>
  </r>
  <r>
    <x v="0"/>
    <x v="7"/>
    <x v="1"/>
    <n v="1"/>
    <x v="2"/>
    <x v="0"/>
    <x v="2"/>
    <x v="3"/>
    <x v="0"/>
    <x v="14"/>
  </r>
  <r>
    <x v="1"/>
    <x v="7"/>
    <x v="1"/>
    <n v="1"/>
    <x v="3"/>
    <x v="0"/>
    <x v="2"/>
    <x v="4"/>
    <x v="4"/>
    <x v="2"/>
  </r>
  <r>
    <x v="0"/>
    <x v="7"/>
    <x v="1"/>
    <n v="1"/>
    <x v="3"/>
    <x v="2"/>
    <x v="2"/>
    <x v="3"/>
    <x v="4"/>
    <x v="15"/>
  </r>
  <r>
    <x v="1"/>
    <x v="7"/>
    <x v="5"/>
    <n v="1"/>
    <x v="3"/>
    <x v="0"/>
    <x v="3"/>
    <x v="0"/>
    <x v="2"/>
    <x v="23"/>
  </r>
  <r>
    <x v="1"/>
    <x v="7"/>
    <x v="0"/>
    <n v="1"/>
    <x v="0"/>
    <x v="3"/>
    <x v="3"/>
    <x v="3"/>
    <x v="2"/>
    <x v="11"/>
  </r>
  <r>
    <x v="1"/>
    <x v="7"/>
    <x v="0"/>
    <n v="1"/>
    <x v="3"/>
    <x v="1"/>
    <x v="1"/>
    <x v="0"/>
    <x v="2"/>
    <x v="11"/>
  </r>
  <r>
    <x v="1"/>
    <x v="7"/>
    <x v="3"/>
    <n v="1"/>
    <x v="3"/>
    <x v="2"/>
    <x v="1"/>
    <x v="3"/>
    <x v="0"/>
    <x v="82"/>
  </r>
  <r>
    <x v="1"/>
    <x v="7"/>
    <x v="5"/>
    <n v="1"/>
    <x v="1"/>
    <x v="3"/>
    <x v="1"/>
    <x v="0"/>
    <x v="0"/>
    <x v="8"/>
  </r>
  <r>
    <x v="1"/>
    <x v="7"/>
    <x v="3"/>
    <n v="1"/>
    <x v="3"/>
    <x v="0"/>
    <x v="1"/>
    <x v="2"/>
    <x v="2"/>
    <x v="83"/>
  </r>
  <r>
    <x v="0"/>
    <x v="7"/>
    <x v="4"/>
    <n v="1"/>
    <x v="3"/>
    <x v="0"/>
    <x v="2"/>
    <x v="0"/>
    <x v="0"/>
    <x v="73"/>
  </r>
  <r>
    <x v="0"/>
    <x v="7"/>
    <x v="2"/>
    <n v="0"/>
    <x v="1"/>
    <x v="0"/>
    <x v="2"/>
    <x v="1"/>
    <x v="1"/>
    <x v="61"/>
  </r>
  <r>
    <x v="0"/>
    <x v="7"/>
    <x v="5"/>
    <n v="1"/>
    <x v="2"/>
    <x v="0"/>
    <x v="2"/>
    <x v="0"/>
    <x v="0"/>
    <x v="14"/>
  </r>
  <r>
    <x v="0"/>
    <x v="7"/>
    <x v="2"/>
    <n v="0"/>
    <x v="2"/>
    <x v="0"/>
    <x v="2"/>
    <x v="1"/>
    <x v="1"/>
    <x v="84"/>
  </r>
  <r>
    <x v="1"/>
    <x v="7"/>
    <x v="5"/>
    <n v="1"/>
    <x v="1"/>
    <x v="0"/>
    <x v="2"/>
    <x v="0"/>
    <x v="2"/>
    <x v="14"/>
  </r>
  <r>
    <x v="1"/>
    <x v="7"/>
    <x v="3"/>
    <n v="1"/>
    <x v="4"/>
    <x v="2"/>
    <x v="0"/>
    <x v="0"/>
    <x v="2"/>
    <x v="85"/>
  </r>
  <r>
    <x v="1"/>
    <x v="7"/>
    <x v="0"/>
    <n v="1"/>
    <x v="2"/>
    <x v="0"/>
    <x v="2"/>
    <x v="0"/>
    <x v="2"/>
    <x v="30"/>
  </r>
  <r>
    <x v="1"/>
    <x v="7"/>
    <x v="4"/>
    <n v="1"/>
    <x v="2"/>
    <x v="0"/>
    <x v="2"/>
    <x v="3"/>
    <x v="2"/>
    <x v="11"/>
  </r>
  <r>
    <x v="0"/>
    <x v="7"/>
    <x v="2"/>
    <n v="0"/>
    <x v="3"/>
    <x v="2"/>
    <x v="2"/>
    <x v="1"/>
    <x v="1"/>
    <x v="66"/>
  </r>
  <r>
    <x v="1"/>
    <x v="7"/>
    <x v="1"/>
    <n v="1"/>
    <x v="3"/>
    <x v="2"/>
    <x v="2"/>
    <x v="3"/>
    <x v="2"/>
    <x v="86"/>
  </r>
  <r>
    <x v="1"/>
    <x v="7"/>
    <x v="1"/>
    <n v="1"/>
    <x v="1"/>
    <x v="2"/>
    <x v="1"/>
    <x v="3"/>
    <x v="4"/>
    <x v="34"/>
  </r>
  <r>
    <x v="1"/>
    <x v="7"/>
    <x v="0"/>
    <n v="1"/>
    <x v="1"/>
    <x v="1"/>
    <x v="2"/>
    <x v="3"/>
    <x v="0"/>
    <x v="87"/>
  </r>
  <r>
    <x v="0"/>
    <x v="7"/>
    <x v="1"/>
    <n v="1"/>
    <x v="1"/>
    <x v="5"/>
    <x v="2"/>
    <x v="3"/>
    <x v="4"/>
    <x v="8"/>
  </r>
  <r>
    <x v="1"/>
    <x v="7"/>
    <x v="4"/>
    <n v="1"/>
    <x v="2"/>
    <x v="0"/>
    <x v="2"/>
    <x v="2"/>
    <x v="4"/>
    <x v="65"/>
  </r>
  <r>
    <x v="0"/>
    <x v="7"/>
    <x v="3"/>
    <n v="1"/>
    <x v="1"/>
    <x v="0"/>
    <x v="2"/>
    <x v="0"/>
    <x v="0"/>
    <x v="65"/>
  </r>
  <r>
    <x v="1"/>
    <x v="7"/>
    <x v="4"/>
    <n v="1"/>
    <x v="2"/>
    <x v="3"/>
    <x v="0"/>
    <x v="2"/>
    <x v="5"/>
    <x v="6"/>
  </r>
  <r>
    <x v="1"/>
    <x v="7"/>
    <x v="3"/>
    <n v="1"/>
    <x v="0"/>
    <x v="0"/>
    <x v="3"/>
    <x v="3"/>
    <x v="4"/>
    <x v="88"/>
  </r>
  <r>
    <x v="1"/>
    <x v="7"/>
    <x v="0"/>
    <n v="1"/>
    <x v="2"/>
    <x v="0"/>
    <x v="2"/>
    <x v="4"/>
    <x v="5"/>
    <x v="10"/>
  </r>
  <r>
    <x v="0"/>
    <x v="7"/>
    <x v="2"/>
    <n v="0"/>
    <x v="3"/>
    <x v="0"/>
    <x v="1"/>
    <x v="1"/>
    <x v="1"/>
    <x v="26"/>
  </r>
  <r>
    <x v="0"/>
    <x v="7"/>
    <x v="2"/>
    <n v="0"/>
    <x v="2"/>
    <x v="1"/>
    <x v="2"/>
    <x v="1"/>
    <x v="1"/>
    <x v="21"/>
  </r>
  <r>
    <x v="1"/>
    <x v="7"/>
    <x v="1"/>
    <n v="1"/>
    <x v="1"/>
    <x v="2"/>
    <x v="2"/>
    <x v="3"/>
    <x v="2"/>
    <x v="15"/>
  </r>
  <r>
    <x v="1"/>
    <x v="7"/>
    <x v="3"/>
    <n v="1"/>
    <x v="4"/>
    <x v="2"/>
    <x v="1"/>
    <x v="0"/>
    <x v="0"/>
    <x v="2"/>
  </r>
  <r>
    <x v="0"/>
    <x v="7"/>
    <x v="3"/>
    <n v="1"/>
    <x v="3"/>
    <x v="0"/>
    <x v="1"/>
    <x v="2"/>
    <x v="0"/>
    <x v="8"/>
  </r>
  <r>
    <x v="0"/>
    <x v="7"/>
    <x v="2"/>
    <n v="0"/>
    <x v="2"/>
    <x v="1"/>
    <x v="1"/>
    <x v="1"/>
    <x v="1"/>
    <x v="10"/>
  </r>
  <r>
    <x v="1"/>
    <x v="7"/>
    <x v="2"/>
    <n v="0"/>
    <x v="3"/>
    <x v="0"/>
    <x v="1"/>
    <x v="1"/>
    <x v="1"/>
    <x v="2"/>
  </r>
  <r>
    <x v="0"/>
    <x v="7"/>
    <x v="3"/>
    <n v="1"/>
    <x v="4"/>
    <x v="1"/>
    <x v="2"/>
    <x v="3"/>
    <x v="0"/>
    <x v="14"/>
  </r>
  <r>
    <x v="1"/>
    <x v="7"/>
    <x v="1"/>
    <n v="1"/>
    <x v="1"/>
    <x v="1"/>
    <x v="1"/>
    <x v="3"/>
    <x v="2"/>
    <x v="5"/>
  </r>
  <r>
    <x v="0"/>
    <x v="7"/>
    <x v="3"/>
    <n v="1"/>
    <x v="1"/>
    <x v="0"/>
    <x v="1"/>
    <x v="0"/>
    <x v="0"/>
    <x v="33"/>
  </r>
  <r>
    <x v="1"/>
    <x v="7"/>
    <x v="4"/>
    <n v="1"/>
    <x v="1"/>
    <x v="1"/>
    <x v="1"/>
    <x v="0"/>
    <x v="5"/>
    <x v="5"/>
  </r>
  <r>
    <x v="0"/>
    <x v="7"/>
    <x v="2"/>
    <n v="0"/>
    <x v="2"/>
    <x v="0"/>
    <x v="1"/>
    <x v="1"/>
    <x v="1"/>
    <x v="89"/>
  </r>
  <r>
    <x v="0"/>
    <x v="7"/>
    <x v="2"/>
    <n v="0"/>
    <x v="2"/>
    <x v="0"/>
    <x v="2"/>
    <x v="1"/>
    <x v="1"/>
    <x v="62"/>
  </r>
  <r>
    <x v="0"/>
    <x v="7"/>
    <x v="2"/>
    <n v="0"/>
    <x v="3"/>
    <x v="1"/>
    <x v="2"/>
    <x v="1"/>
    <x v="1"/>
    <x v="2"/>
  </r>
  <r>
    <x v="0"/>
    <x v="7"/>
    <x v="0"/>
    <n v="1"/>
    <x v="2"/>
    <x v="3"/>
    <x v="3"/>
    <x v="2"/>
    <x v="0"/>
    <x v="2"/>
  </r>
  <r>
    <x v="0"/>
    <x v="7"/>
    <x v="3"/>
    <n v="1"/>
    <x v="5"/>
    <x v="0"/>
    <x v="2"/>
    <x v="3"/>
    <x v="0"/>
    <x v="20"/>
  </r>
  <r>
    <x v="0"/>
    <x v="7"/>
    <x v="2"/>
    <n v="0"/>
    <x v="3"/>
    <x v="2"/>
    <x v="1"/>
    <x v="1"/>
    <x v="1"/>
    <x v="21"/>
  </r>
  <r>
    <x v="1"/>
    <x v="7"/>
    <x v="2"/>
    <n v="0"/>
    <x v="2"/>
    <x v="1"/>
    <x v="3"/>
    <x v="1"/>
    <x v="1"/>
    <x v="52"/>
  </r>
  <r>
    <x v="1"/>
    <x v="7"/>
    <x v="2"/>
    <n v="0"/>
    <x v="4"/>
    <x v="1"/>
    <x v="1"/>
    <x v="1"/>
    <x v="1"/>
    <x v="6"/>
  </r>
  <r>
    <x v="0"/>
    <x v="7"/>
    <x v="2"/>
    <n v="0"/>
    <x v="2"/>
    <x v="2"/>
    <x v="1"/>
    <x v="1"/>
    <x v="1"/>
    <x v="8"/>
  </r>
  <r>
    <x v="0"/>
    <x v="7"/>
    <x v="2"/>
    <n v="0"/>
    <x v="3"/>
    <x v="1"/>
    <x v="1"/>
    <x v="1"/>
    <x v="1"/>
    <x v="11"/>
  </r>
  <r>
    <x v="1"/>
    <x v="7"/>
    <x v="2"/>
    <n v="0"/>
    <x v="2"/>
    <x v="1"/>
    <x v="1"/>
    <x v="1"/>
    <x v="1"/>
    <x v="21"/>
  </r>
  <r>
    <x v="1"/>
    <x v="7"/>
    <x v="2"/>
    <n v="0"/>
    <x v="3"/>
    <x v="2"/>
    <x v="1"/>
    <x v="1"/>
    <x v="1"/>
    <x v="6"/>
  </r>
  <r>
    <x v="1"/>
    <x v="7"/>
    <x v="2"/>
    <n v="0"/>
    <x v="2"/>
    <x v="1"/>
    <x v="2"/>
    <x v="1"/>
    <x v="1"/>
    <x v="2"/>
  </r>
  <r>
    <x v="1"/>
    <x v="7"/>
    <x v="2"/>
    <n v="0"/>
    <x v="3"/>
    <x v="0"/>
    <x v="2"/>
    <x v="1"/>
    <x v="1"/>
    <x v="11"/>
  </r>
  <r>
    <x v="0"/>
    <x v="7"/>
    <x v="2"/>
    <n v="0"/>
    <x v="3"/>
    <x v="3"/>
    <x v="1"/>
    <x v="1"/>
    <x v="1"/>
    <x v="4"/>
  </r>
  <r>
    <x v="0"/>
    <x v="7"/>
    <x v="2"/>
    <n v="0"/>
    <x v="2"/>
    <x v="2"/>
    <x v="2"/>
    <x v="1"/>
    <x v="1"/>
    <x v="38"/>
  </r>
  <r>
    <x v="0"/>
    <x v="7"/>
    <x v="2"/>
    <n v="0"/>
    <x v="3"/>
    <x v="1"/>
    <x v="2"/>
    <x v="1"/>
    <x v="1"/>
    <x v="4"/>
  </r>
  <r>
    <x v="0"/>
    <x v="7"/>
    <x v="3"/>
    <n v="1"/>
    <x v="3"/>
    <x v="1"/>
    <x v="1"/>
    <x v="0"/>
    <x v="0"/>
    <x v="2"/>
  </r>
  <r>
    <x v="0"/>
    <x v="7"/>
    <x v="2"/>
    <n v="0"/>
    <x v="1"/>
    <x v="1"/>
    <x v="2"/>
    <x v="1"/>
    <x v="1"/>
    <x v="10"/>
  </r>
  <r>
    <x v="1"/>
    <x v="7"/>
    <x v="4"/>
    <n v="1"/>
    <x v="2"/>
    <x v="0"/>
    <x v="0"/>
    <x v="0"/>
    <x v="0"/>
    <x v="14"/>
  </r>
  <r>
    <x v="0"/>
    <x v="7"/>
    <x v="4"/>
    <n v="1"/>
    <x v="1"/>
    <x v="2"/>
    <x v="3"/>
    <x v="2"/>
    <x v="4"/>
    <x v="15"/>
  </r>
  <r>
    <x v="0"/>
    <x v="7"/>
    <x v="2"/>
    <n v="0"/>
    <x v="3"/>
    <x v="1"/>
    <x v="1"/>
    <x v="1"/>
    <x v="1"/>
    <x v="3"/>
  </r>
  <r>
    <x v="1"/>
    <x v="7"/>
    <x v="2"/>
    <n v="0"/>
    <x v="0"/>
    <x v="0"/>
    <x v="2"/>
    <x v="1"/>
    <x v="1"/>
    <x v="6"/>
  </r>
  <r>
    <x v="1"/>
    <x v="7"/>
    <x v="5"/>
    <n v="1"/>
    <x v="1"/>
    <x v="2"/>
    <x v="1"/>
    <x v="2"/>
    <x v="5"/>
    <x v="4"/>
  </r>
  <r>
    <x v="0"/>
    <x v="7"/>
    <x v="2"/>
    <n v="0"/>
    <x v="1"/>
    <x v="1"/>
    <x v="3"/>
    <x v="1"/>
    <x v="1"/>
    <x v="90"/>
  </r>
  <r>
    <x v="1"/>
    <x v="7"/>
    <x v="4"/>
    <n v="1"/>
    <x v="0"/>
    <x v="3"/>
    <x v="3"/>
    <x v="3"/>
    <x v="4"/>
    <x v="91"/>
  </r>
  <r>
    <x v="1"/>
    <x v="7"/>
    <x v="3"/>
    <n v="1"/>
    <x v="2"/>
    <x v="2"/>
    <x v="2"/>
    <x v="3"/>
    <x v="2"/>
    <x v="14"/>
  </r>
  <r>
    <x v="0"/>
    <x v="7"/>
    <x v="2"/>
    <n v="0"/>
    <x v="3"/>
    <x v="2"/>
    <x v="1"/>
    <x v="1"/>
    <x v="1"/>
    <x v="7"/>
  </r>
  <r>
    <x v="1"/>
    <x v="7"/>
    <x v="2"/>
    <n v="0"/>
    <x v="3"/>
    <x v="2"/>
    <x v="2"/>
    <x v="1"/>
    <x v="1"/>
    <x v="9"/>
  </r>
  <r>
    <x v="1"/>
    <x v="7"/>
    <x v="3"/>
    <n v="1"/>
    <x v="2"/>
    <x v="0"/>
    <x v="3"/>
    <x v="3"/>
    <x v="0"/>
    <x v="2"/>
  </r>
  <r>
    <x v="0"/>
    <x v="7"/>
    <x v="1"/>
    <n v="1"/>
    <x v="3"/>
    <x v="1"/>
    <x v="2"/>
    <x v="3"/>
    <x v="2"/>
    <x v="6"/>
  </r>
  <r>
    <x v="0"/>
    <x v="7"/>
    <x v="2"/>
    <n v="0"/>
    <x v="4"/>
    <x v="6"/>
    <x v="1"/>
    <x v="1"/>
    <x v="1"/>
    <x v="21"/>
  </r>
  <r>
    <x v="0"/>
    <x v="7"/>
    <x v="2"/>
    <n v="0"/>
    <x v="2"/>
    <x v="1"/>
    <x v="1"/>
    <x v="1"/>
    <x v="1"/>
    <x v="4"/>
  </r>
  <r>
    <x v="1"/>
    <x v="7"/>
    <x v="4"/>
    <n v="1"/>
    <x v="0"/>
    <x v="3"/>
    <x v="2"/>
    <x v="2"/>
    <x v="4"/>
    <x v="24"/>
  </r>
  <r>
    <x v="1"/>
    <x v="7"/>
    <x v="4"/>
    <n v="1"/>
    <x v="2"/>
    <x v="4"/>
    <x v="2"/>
    <x v="2"/>
    <x v="5"/>
    <x v="8"/>
  </r>
  <r>
    <x v="0"/>
    <x v="7"/>
    <x v="5"/>
    <n v="1"/>
    <x v="1"/>
    <x v="0"/>
    <x v="2"/>
    <x v="3"/>
    <x v="4"/>
    <x v="13"/>
  </r>
  <r>
    <x v="1"/>
    <x v="7"/>
    <x v="4"/>
    <n v="1"/>
    <x v="3"/>
    <x v="3"/>
    <x v="1"/>
    <x v="0"/>
    <x v="0"/>
    <x v="5"/>
  </r>
  <r>
    <x v="0"/>
    <x v="7"/>
    <x v="2"/>
    <n v="0"/>
    <x v="2"/>
    <x v="1"/>
    <x v="3"/>
    <x v="1"/>
    <x v="1"/>
    <x v="12"/>
  </r>
  <r>
    <x v="1"/>
    <x v="7"/>
    <x v="5"/>
    <n v="1"/>
    <x v="2"/>
    <x v="3"/>
    <x v="2"/>
    <x v="0"/>
    <x v="0"/>
    <x v="2"/>
  </r>
  <r>
    <x v="1"/>
    <x v="7"/>
    <x v="2"/>
    <n v="0"/>
    <x v="3"/>
    <x v="0"/>
    <x v="1"/>
    <x v="1"/>
    <x v="1"/>
    <x v="23"/>
  </r>
  <r>
    <x v="1"/>
    <x v="7"/>
    <x v="4"/>
    <n v="1"/>
    <x v="1"/>
    <x v="0"/>
    <x v="2"/>
    <x v="3"/>
    <x v="5"/>
    <x v="21"/>
  </r>
  <r>
    <x v="1"/>
    <x v="7"/>
    <x v="4"/>
    <n v="1"/>
    <x v="1"/>
    <x v="2"/>
    <x v="2"/>
    <x v="0"/>
    <x v="0"/>
    <x v="21"/>
  </r>
  <r>
    <x v="1"/>
    <x v="7"/>
    <x v="1"/>
    <n v="1"/>
    <x v="1"/>
    <x v="2"/>
    <x v="1"/>
    <x v="2"/>
    <x v="2"/>
    <x v="8"/>
  </r>
  <r>
    <x v="0"/>
    <x v="7"/>
    <x v="0"/>
    <n v="1"/>
    <x v="1"/>
    <x v="0"/>
    <x v="2"/>
    <x v="3"/>
    <x v="2"/>
    <x v="81"/>
  </r>
  <r>
    <x v="1"/>
    <x v="8"/>
    <x v="2"/>
    <n v="0"/>
    <x v="1"/>
    <x v="0"/>
    <x v="4"/>
    <x v="1"/>
    <x v="1"/>
    <x v="20"/>
  </r>
  <r>
    <x v="0"/>
    <x v="8"/>
    <x v="2"/>
    <n v="0"/>
    <x v="2"/>
    <x v="0"/>
    <x v="4"/>
    <x v="1"/>
    <x v="1"/>
    <x v="2"/>
  </r>
  <r>
    <x v="1"/>
    <x v="8"/>
    <x v="2"/>
    <n v="0"/>
    <x v="5"/>
    <x v="4"/>
    <x v="4"/>
    <x v="1"/>
    <x v="1"/>
    <x v="20"/>
  </r>
  <r>
    <x v="0"/>
    <x v="8"/>
    <x v="3"/>
    <n v="1"/>
    <x v="1"/>
    <x v="0"/>
    <x v="4"/>
    <x v="0"/>
    <x v="0"/>
    <x v="20"/>
  </r>
  <r>
    <x v="0"/>
    <x v="8"/>
    <x v="2"/>
    <n v="0"/>
    <x v="5"/>
    <x v="4"/>
    <x v="4"/>
    <x v="1"/>
    <x v="1"/>
    <x v="20"/>
  </r>
  <r>
    <x v="0"/>
    <x v="8"/>
    <x v="2"/>
    <n v="0"/>
    <x v="1"/>
    <x v="3"/>
    <x v="4"/>
    <x v="1"/>
    <x v="1"/>
    <x v="4"/>
  </r>
  <r>
    <x v="0"/>
    <x v="8"/>
    <x v="2"/>
    <n v="0"/>
    <x v="5"/>
    <x v="3"/>
    <x v="4"/>
    <x v="1"/>
    <x v="1"/>
    <x v="20"/>
  </r>
  <r>
    <x v="0"/>
    <x v="8"/>
    <x v="2"/>
    <n v="0"/>
    <x v="0"/>
    <x v="3"/>
    <x v="4"/>
    <x v="1"/>
    <x v="1"/>
    <x v="20"/>
  </r>
  <r>
    <x v="0"/>
    <x v="8"/>
    <x v="2"/>
    <n v="0"/>
    <x v="0"/>
    <x v="3"/>
    <x v="4"/>
    <x v="1"/>
    <x v="1"/>
    <x v="20"/>
  </r>
  <r>
    <x v="1"/>
    <x v="8"/>
    <x v="3"/>
    <n v="1"/>
    <x v="0"/>
    <x v="3"/>
    <x v="4"/>
    <x v="4"/>
    <x v="4"/>
    <x v="20"/>
  </r>
  <r>
    <x v="1"/>
    <x v="8"/>
    <x v="5"/>
    <n v="1"/>
    <x v="0"/>
    <x v="3"/>
    <x v="4"/>
    <x v="3"/>
    <x v="2"/>
    <x v="8"/>
  </r>
  <r>
    <x v="0"/>
    <x v="8"/>
    <x v="5"/>
    <n v="1"/>
    <x v="0"/>
    <x v="3"/>
    <x v="4"/>
    <x v="3"/>
    <x v="2"/>
    <x v="20"/>
  </r>
  <r>
    <x v="0"/>
    <x v="8"/>
    <x v="2"/>
    <n v="0"/>
    <x v="1"/>
    <x v="0"/>
    <x v="4"/>
    <x v="1"/>
    <x v="1"/>
    <x v="20"/>
  </r>
  <r>
    <x v="0"/>
    <x v="8"/>
    <x v="2"/>
    <n v="0"/>
    <x v="1"/>
    <x v="3"/>
    <x v="4"/>
    <x v="1"/>
    <x v="1"/>
    <x v="20"/>
  </r>
  <r>
    <x v="0"/>
    <x v="8"/>
    <x v="2"/>
    <n v="0"/>
    <x v="5"/>
    <x v="4"/>
    <x v="4"/>
    <x v="1"/>
    <x v="1"/>
    <x v="20"/>
  </r>
  <r>
    <x v="0"/>
    <x v="8"/>
    <x v="2"/>
    <n v="0"/>
    <x v="5"/>
    <x v="3"/>
    <x v="4"/>
    <x v="1"/>
    <x v="1"/>
    <x v="20"/>
  </r>
  <r>
    <x v="0"/>
    <x v="8"/>
    <x v="2"/>
    <n v="0"/>
    <x v="5"/>
    <x v="4"/>
    <x v="4"/>
    <x v="1"/>
    <x v="1"/>
    <x v="20"/>
  </r>
  <r>
    <x v="0"/>
    <x v="8"/>
    <x v="2"/>
    <n v="0"/>
    <x v="0"/>
    <x v="3"/>
    <x v="4"/>
    <x v="1"/>
    <x v="1"/>
    <x v="20"/>
  </r>
  <r>
    <x v="0"/>
    <x v="8"/>
    <x v="3"/>
    <n v="1"/>
    <x v="5"/>
    <x v="4"/>
    <x v="4"/>
    <x v="3"/>
    <x v="2"/>
    <x v="20"/>
  </r>
  <r>
    <x v="0"/>
    <x v="8"/>
    <x v="2"/>
    <n v="0"/>
    <x v="0"/>
    <x v="3"/>
    <x v="4"/>
    <x v="1"/>
    <x v="1"/>
    <x v="4"/>
  </r>
  <r>
    <x v="1"/>
    <x v="8"/>
    <x v="3"/>
    <n v="1"/>
    <x v="0"/>
    <x v="3"/>
    <x v="4"/>
    <x v="2"/>
    <x v="0"/>
    <x v="20"/>
  </r>
  <r>
    <x v="1"/>
    <x v="8"/>
    <x v="5"/>
    <n v="1"/>
    <x v="0"/>
    <x v="3"/>
    <x v="4"/>
    <x v="4"/>
    <x v="4"/>
    <x v="20"/>
  </r>
  <r>
    <x v="1"/>
    <x v="8"/>
    <x v="3"/>
    <n v="1"/>
    <x v="2"/>
    <x v="3"/>
    <x v="4"/>
    <x v="3"/>
    <x v="0"/>
    <x v="2"/>
  </r>
  <r>
    <x v="1"/>
    <x v="8"/>
    <x v="0"/>
    <n v="1"/>
    <x v="0"/>
    <x v="4"/>
    <x v="4"/>
    <x v="4"/>
    <x v="2"/>
    <x v="20"/>
  </r>
  <r>
    <x v="1"/>
    <x v="8"/>
    <x v="2"/>
    <n v="0"/>
    <x v="1"/>
    <x v="1"/>
    <x v="4"/>
    <x v="1"/>
    <x v="1"/>
    <x v="20"/>
  </r>
  <r>
    <x v="0"/>
    <x v="8"/>
    <x v="2"/>
    <n v="0"/>
    <x v="2"/>
    <x v="1"/>
    <x v="4"/>
    <x v="1"/>
    <x v="1"/>
    <x v="20"/>
  </r>
  <r>
    <x v="1"/>
    <x v="8"/>
    <x v="5"/>
    <n v="1"/>
    <x v="0"/>
    <x v="3"/>
    <x v="4"/>
    <x v="0"/>
    <x v="0"/>
    <x v="20"/>
  </r>
  <r>
    <x v="0"/>
    <x v="8"/>
    <x v="2"/>
    <n v="0"/>
    <x v="0"/>
    <x v="3"/>
    <x v="4"/>
    <x v="1"/>
    <x v="1"/>
    <x v="8"/>
  </r>
  <r>
    <x v="0"/>
    <x v="8"/>
    <x v="3"/>
    <n v="1"/>
    <x v="2"/>
    <x v="0"/>
    <x v="4"/>
    <x v="0"/>
    <x v="0"/>
    <x v="20"/>
  </r>
  <r>
    <x v="0"/>
    <x v="8"/>
    <x v="2"/>
    <n v="0"/>
    <x v="0"/>
    <x v="3"/>
    <x v="4"/>
    <x v="1"/>
    <x v="1"/>
    <x v="20"/>
  </r>
  <r>
    <x v="0"/>
    <x v="8"/>
    <x v="0"/>
    <n v="1"/>
    <x v="2"/>
    <x v="3"/>
    <x v="4"/>
    <x v="3"/>
    <x v="0"/>
    <x v="2"/>
  </r>
  <r>
    <x v="0"/>
    <x v="8"/>
    <x v="4"/>
    <n v="1"/>
    <x v="0"/>
    <x v="3"/>
    <x v="4"/>
    <x v="0"/>
    <x v="0"/>
    <x v="20"/>
  </r>
  <r>
    <x v="1"/>
    <x v="8"/>
    <x v="4"/>
    <n v="1"/>
    <x v="1"/>
    <x v="1"/>
    <x v="4"/>
    <x v="4"/>
    <x v="2"/>
    <x v="6"/>
  </r>
  <r>
    <x v="1"/>
    <x v="8"/>
    <x v="1"/>
    <n v="1"/>
    <x v="2"/>
    <x v="0"/>
    <x v="4"/>
    <x v="0"/>
    <x v="0"/>
    <x v="20"/>
  </r>
  <r>
    <x v="0"/>
    <x v="8"/>
    <x v="3"/>
    <n v="1"/>
    <x v="1"/>
    <x v="1"/>
    <x v="4"/>
    <x v="3"/>
    <x v="0"/>
    <x v="6"/>
  </r>
  <r>
    <x v="0"/>
    <x v="8"/>
    <x v="2"/>
    <n v="0"/>
    <x v="2"/>
    <x v="0"/>
    <x v="4"/>
    <x v="1"/>
    <x v="1"/>
    <x v="20"/>
  </r>
  <r>
    <x v="0"/>
    <x v="8"/>
    <x v="2"/>
    <n v="0"/>
    <x v="2"/>
    <x v="3"/>
    <x v="4"/>
    <x v="1"/>
    <x v="1"/>
    <x v="20"/>
  </r>
  <r>
    <x v="0"/>
    <x v="8"/>
    <x v="5"/>
    <n v="1"/>
    <x v="0"/>
    <x v="3"/>
    <x v="4"/>
    <x v="2"/>
    <x v="0"/>
    <x v="20"/>
  </r>
  <r>
    <x v="0"/>
    <x v="8"/>
    <x v="2"/>
    <n v="0"/>
    <x v="2"/>
    <x v="0"/>
    <x v="4"/>
    <x v="1"/>
    <x v="1"/>
    <x v="20"/>
  </r>
  <r>
    <x v="1"/>
    <x v="8"/>
    <x v="3"/>
    <n v="1"/>
    <x v="0"/>
    <x v="3"/>
    <x v="4"/>
    <x v="2"/>
    <x v="4"/>
    <x v="4"/>
  </r>
  <r>
    <x v="1"/>
    <x v="8"/>
    <x v="4"/>
    <n v="1"/>
    <x v="0"/>
    <x v="3"/>
    <x v="4"/>
    <x v="2"/>
    <x v="2"/>
    <x v="14"/>
  </r>
  <r>
    <x v="1"/>
    <x v="8"/>
    <x v="4"/>
    <n v="1"/>
    <x v="0"/>
    <x v="3"/>
    <x v="4"/>
    <x v="0"/>
    <x v="5"/>
    <x v="20"/>
  </r>
  <r>
    <x v="0"/>
    <x v="8"/>
    <x v="2"/>
    <n v="0"/>
    <x v="2"/>
    <x v="0"/>
    <x v="4"/>
    <x v="1"/>
    <x v="1"/>
    <x v="20"/>
  </r>
  <r>
    <x v="1"/>
    <x v="8"/>
    <x v="1"/>
    <n v="1"/>
    <x v="5"/>
    <x v="4"/>
    <x v="4"/>
    <x v="3"/>
    <x v="2"/>
    <x v="50"/>
  </r>
  <r>
    <x v="0"/>
    <x v="8"/>
    <x v="2"/>
    <n v="0"/>
    <x v="2"/>
    <x v="0"/>
    <x v="4"/>
    <x v="1"/>
    <x v="1"/>
    <x v="20"/>
  </r>
  <r>
    <x v="1"/>
    <x v="8"/>
    <x v="2"/>
    <n v="0"/>
    <x v="0"/>
    <x v="3"/>
    <x v="4"/>
    <x v="1"/>
    <x v="1"/>
    <x v="20"/>
  </r>
  <r>
    <x v="1"/>
    <x v="8"/>
    <x v="4"/>
    <n v="1"/>
    <x v="2"/>
    <x v="3"/>
    <x v="4"/>
    <x v="4"/>
    <x v="2"/>
    <x v="20"/>
  </r>
  <r>
    <x v="1"/>
    <x v="8"/>
    <x v="3"/>
    <n v="1"/>
    <x v="5"/>
    <x v="3"/>
    <x v="4"/>
    <x v="4"/>
    <x v="3"/>
    <x v="20"/>
  </r>
  <r>
    <x v="0"/>
    <x v="9"/>
    <x v="2"/>
    <n v="0"/>
    <x v="2"/>
    <x v="0"/>
    <x v="2"/>
    <x v="1"/>
    <x v="1"/>
    <x v="2"/>
  </r>
  <r>
    <x v="0"/>
    <x v="9"/>
    <x v="2"/>
    <n v="0"/>
    <x v="1"/>
    <x v="0"/>
    <x v="2"/>
    <x v="1"/>
    <x v="1"/>
    <x v="92"/>
  </r>
  <r>
    <x v="0"/>
    <x v="9"/>
    <x v="2"/>
    <n v="0"/>
    <x v="2"/>
    <x v="0"/>
    <x v="1"/>
    <x v="1"/>
    <x v="1"/>
    <x v="93"/>
  </r>
  <r>
    <x v="0"/>
    <x v="9"/>
    <x v="1"/>
    <n v="1"/>
    <x v="3"/>
    <x v="0"/>
    <x v="2"/>
    <x v="4"/>
    <x v="0"/>
    <x v="13"/>
  </r>
  <r>
    <x v="0"/>
    <x v="9"/>
    <x v="3"/>
    <n v="1"/>
    <x v="3"/>
    <x v="0"/>
    <x v="0"/>
    <x v="0"/>
    <x v="0"/>
    <x v="8"/>
  </r>
  <r>
    <x v="0"/>
    <x v="9"/>
    <x v="3"/>
    <n v="1"/>
    <x v="2"/>
    <x v="1"/>
    <x v="1"/>
    <x v="0"/>
    <x v="0"/>
    <x v="3"/>
  </r>
  <r>
    <x v="0"/>
    <x v="9"/>
    <x v="2"/>
    <n v="0"/>
    <x v="3"/>
    <x v="0"/>
    <x v="2"/>
    <x v="1"/>
    <x v="1"/>
    <x v="8"/>
  </r>
  <r>
    <x v="0"/>
    <x v="9"/>
    <x v="1"/>
    <n v="1"/>
    <x v="2"/>
    <x v="1"/>
    <x v="1"/>
    <x v="4"/>
    <x v="0"/>
    <x v="15"/>
  </r>
  <r>
    <x v="0"/>
    <x v="9"/>
    <x v="2"/>
    <n v="0"/>
    <x v="3"/>
    <x v="3"/>
    <x v="2"/>
    <x v="1"/>
    <x v="1"/>
    <x v="20"/>
  </r>
  <r>
    <x v="0"/>
    <x v="9"/>
    <x v="3"/>
    <n v="1"/>
    <x v="0"/>
    <x v="4"/>
    <x v="3"/>
    <x v="0"/>
    <x v="0"/>
    <x v="12"/>
  </r>
  <r>
    <x v="0"/>
    <x v="9"/>
    <x v="2"/>
    <n v="0"/>
    <x v="4"/>
    <x v="1"/>
    <x v="1"/>
    <x v="1"/>
    <x v="1"/>
    <x v="35"/>
  </r>
  <r>
    <x v="0"/>
    <x v="9"/>
    <x v="1"/>
    <n v="1"/>
    <x v="1"/>
    <x v="1"/>
    <x v="2"/>
    <x v="0"/>
    <x v="0"/>
    <x v="14"/>
  </r>
  <r>
    <x v="0"/>
    <x v="9"/>
    <x v="2"/>
    <n v="0"/>
    <x v="2"/>
    <x v="1"/>
    <x v="2"/>
    <x v="1"/>
    <x v="1"/>
    <x v="21"/>
  </r>
  <r>
    <x v="0"/>
    <x v="9"/>
    <x v="2"/>
    <n v="0"/>
    <x v="0"/>
    <x v="0"/>
    <x v="0"/>
    <x v="1"/>
    <x v="1"/>
    <x v="2"/>
  </r>
  <r>
    <x v="0"/>
    <x v="9"/>
    <x v="2"/>
    <n v="0"/>
    <x v="1"/>
    <x v="1"/>
    <x v="3"/>
    <x v="1"/>
    <x v="1"/>
    <x v="37"/>
  </r>
  <r>
    <x v="0"/>
    <x v="9"/>
    <x v="2"/>
    <n v="0"/>
    <x v="3"/>
    <x v="0"/>
    <x v="3"/>
    <x v="1"/>
    <x v="1"/>
    <x v="2"/>
  </r>
  <r>
    <x v="0"/>
    <x v="9"/>
    <x v="2"/>
    <n v="0"/>
    <x v="2"/>
    <x v="0"/>
    <x v="2"/>
    <x v="1"/>
    <x v="1"/>
    <x v="23"/>
  </r>
  <r>
    <x v="1"/>
    <x v="9"/>
    <x v="3"/>
    <n v="1"/>
    <x v="1"/>
    <x v="1"/>
    <x v="0"/>
    <x v="3"/>
    <x v="2"/>
    <x v="33"/>
  </r>
  <r>
    <x v="1"/>
    <x v="9"/>
    <x v="2"/>
    <n v="0"/>
    <x v="1"/>
    <x v="2"/>
    <x v="1"/>
    <x v="1"/>
    <x v="1"/>
    <x v="94"/>
  </r>
  <r>
    <x v="1"/>
    <x v="9"/>
    <x v="3"/>
    <n v="1"/>
    <x v="2"/>
    <x v="1"/>
    <x v="1"/>
    <x v="2"/>
    <x v="4"/>
    <x v="2"/>
  </r>
  <r>
    <x v="1"/>
    <x v="9"/>
    <x v="1"/>
    <n v="1"/>
    <x v="0"/>
    <x v="3"/>
    <x v="3"/>
    <x v="2"/>
    <x v="4"/>
    <x v="8"/>
  </r>
  <r>
    <x v="1"/>
    <x v="9"/>
    <x v="3"/>
    <n v="1"/>
    <x v="2"/>
    <x v="3"/>
    <x v="3"/>
    <x v="2"/>
    <x v="3"/>
    <x v="8"/>
  </r>
  <r>
    <x v="1"/>
    <x v="9"/>
    <x v="4"/>
    <n v="1"/>
    <x v="3"/>
    <x v="0"/>
    <x v="3"/>
    <x v="4"/>
    <x v="2"/>
    <x v="35"/>
  </r>
  <r>
    <x v="1"/>
    <x v="9"/>
    <x v="5"/>
    <n v="1"/>
    <x v="1"/>
    <x v="1"/>
    <x v="3"/>
    <x v="2"/>
    <x v="0"/>
    <x v="14"/>
  </r>
  <r>
    <x v="1"/>
    <x v="9"/>
    <x v="3"/>
    <n v="1"/>
    <x v="1"/>
    <x v="0"/>
    <x v="1"/>
    <x v="2"/>
    <x v="2"/>
    <x v="19"/>
  </r>
  <r>
    <x v="1"/>
    <x v="9"/>
    <x v="5"/>
    <n v="1"/>
    <x v="2"/>
    <x v="1"/>
    <x v="2"/>
    <x v="2"/>
    <x v="4"/>
    <x v="89"/>
  </r>
  <r>
    <x v="1"/>
    <x v="9"/>
    <x v="0"/>
    <n v="1"/>
    <x v="2"/>
    <x v="3"/>
    <x v="2"/>
    <x v="0"/>
    <x v="4"/>
    <x v="14"/>
  </r>
  <r>
    <x v="1"/>
    <x v="9"/>
    <x v="1"/>
    <n v="1"/>
    <x v="0"/>
    <x v="3"/>
    <x v="2"/>
    <x v="3"/>
    <x v="0"/>
    <x v="37"/>
  </r>
  <r>
    <x v="1"/>
    <x v="9"/>
    <x v="5"/>
    <n v="1"/>
    <x v="3"/>
    <x v="3"/>
    <x v="1"/>
    <x v="4"/>
    <x v="4"/>
    <x v="11"/>
  </r>
  <r>
    <x v="1"/>
    <x v="9"/>
    <x v="1"/>
    <n v="1"/>
    <x v="0"/>
    <x v="3"/>
    <x v="3"/>
    <x v="4"/>
    <x v="2"/>
    <x v="46"/>
  </r>
  <r>
    <x v="0"/>
    <x v="9"/>
    <x v="2"/>
    <n v="0"/>
    <x v="1"/>
    <x v="1"/>
    <x v="1"/>
    <x v="1"/>
    <x v="1"/>
    <x v="44"/>
  </r>
  <r>
    <x v="1"/>
    <x v="9"/>
    <x v="0"/>
    <n v="1"/>
    <x v="3"/>
    <x v="0"/>
    <x v="2"/>
    <x v="3"/>
    <x v="2"/>
    <x v="26"/>
  </r>
  <r>
    <x v="1"/>
    <x v="10"/>
    <x v="3"/>
    <n v="1"/>
    <x v="2"/>
    <x v="2"/>
    <x v="1"/>
    <x v="0"/>
    <x v="0"/>
    <x v="21"/>
  </r>
  <r>
    <x v="1"/>
    <x v="10"/>
    <x v="3"/>
    <n v="1"/>
    <x v="3"/>
    <x v="6"/>
    <x v="2"/>
    <x v="3"/>
    <x v="4"/>
    <x v="95"/>
  </r>
  <r>
    <x v="0"/>
    <x v="10"/>
    <x v="5"/>
    <n v="1"/>
    <x v="3"/>
    <x v="0"/>
    <x v="3"/>
    <x v="0"/>
    <x v="0"/>
    <x v="11"/>
  </r>
  <r>
    <x v="0"/>
    <x v="10"/>
    <x v="3"/>
    <n v="1"/>
    <x v="3"/>
    <x v="2"/>
    <x v="1"/>
    <x v="0"/>
    <x v="0"/>
    <x v="96"/>
  </r>
  <r>
    <x v="0"/>
    <x v="10"/>
    <x v="4"/>
    <n v="1"/>
    <x v="2"/>
    <x v="0"/>
    <x v="2"/>
    <x v="4"/>
    <x v="2"/>
    <x v="2"/>
  </r>
  <r>
    <x v="0"/>
    <x v="10"/>
    <x v="5"/>
    <n v="1"/>
    <x v="1"/>
    <x v="0"/>
    <x v="2"/>
    <x v="3"/>
    <x v="0"/>
    <x v="2"/>
  </r>
  <r>
    <x v="0"/>
    <x v="10"/>
    <x v="3"/>
    <n v="1"/>
    <x v="2"/>
    <x v="0"/>
    <x v="2"/>
    <x v="0"/>
    <x v="2"/>
    <x v="4"/>
  </r>
  <r>
    <x v="1"/>
    <x v="10"/>
    <x v="4"/>
    <n v="1"/>
    <x v="3"/>
    <x v="2"/>
    <x v="1"/>
    <x v="4"/>
    <x v="0"/>
    <x v="15"/>
  </r>
  <r>
    <x v="1"/>
    <x v="10"/>
    <x v="4"/>
    <n v="1"/>
    <x v="0"/>
    <x v="0"/>
    <x v="3"/>
    <x v="4"/>
    <x v="4"/>
    <x v="8"/>
  </r>
  <r>
    <x v="0"/>
    <x v="10"/>
    <x v="2"/>
    <n v="0"/>
    <x v="4"/>
    <x v="1"/>
    <x v="2"/>
    <x v="1"/>
    <x v="1"/>
    <x v="14"/>
  </r>
  <r>
    <x v="0"/>
    <x v="10"/>
    <x v="2"/>
    <n v="0"/>
    <x v="3"/>
    <x v="1"/>
    <x v="3"/>
    <x v="1"/>
    <x v="1"/>
    <x v="8"/>
  </r>
  <r>
    <x v="1"/>
    <x v="10"/>
    <x v="4"/>
    <n v="1"/>
    <x v="1"/>
    <x v="0"/>
    <x v="2"/>
    <x v="4"/>
    <x v="4"/>
    <x v="4"/>
  </r>
  <r>
    <x v="0"/>
    <x v="10"/>
    <x v="4"/>
    <n v="1"/>
    <x v="3"/>
    <x v="2"/>
    <x v="2"/>
    <x v="4"/>
    <x v="3"/>
    <x v="2"/>
  </r>
  <r>
    <x v="0"/>
    <x v="10"/>
    <x v="1"/>
    <n v="1"/>
    <x v="1"/>
    <x v="2"/>
    <x v="1"/>
    <x v="2"/>
    <x v="2"/>
    <x v="4"/>
  </r>
  <r>
    <x v="0"/>
    <x v="10"/>
    <x v="1"/>
    <n v="1"/>
    <x v="3"/>
    <x v="0"/>
    <x v="2"/>
    <x v="2"/>
    <x v="2"/>
    <x v="4"/>
  </r>
  <r>
    <x v="0"/>
    <x v="10"/>
    <x v="1"/>
    <n v="1"/>
    <x v="2"/>
    <x v="2"/>
    <x v="1"/>
    <x v="0"/>
    <x v="0"/>
    <x v="15"/>
  </r>
  <r>
    <x v="1"/>
    <x v="10"/>
    <x v="4"/>
    <n v="1"/>
    <x v="3"/>
    <x v="1"/>
    <x v="1"/>
    <x v="4"/>
    <x v="2"/>
    <x v="15"/>
  </r>
  <r>
    <x v="0"/>
    <x v="10"/>
    <x v="4"/>
    <n v="1"/>
    <x v="3"/>
    <x v="2"/>
    <x v="1"/>
    <x v="4"/>
    <x v="5"/>
    <x v="97"/>
  </r>
  <r>
    <x v="1"/>
    <x v="10"/>
    <x v="4"/>
    <n v="1"/>
    <x v="1"/>
    <x v="1"/>
    <x v="2"/>
    <x v="3"/>
    <x v="2"/>
    <x v="35"/>
  </r>
  <r>
    <x v="1"/>
    <x v="10"/>
    <x v="4"/>
    <n v="1"/>
    <x v="3"/>
    <x v="1"/>
    <x v="2"/>
    <x v="4"/>
    <x v="4"/>
    <x v="5"/>
  </r>
  <r>
    <x v="1"/>
    <x v="7"/>
    <x v="4"/>
    <n v="1"/>
    <x v="1"/>
    <x v="2"/>
    <x v="1"/>
    <x v="4"/>
    <x v="3"/>
    <x v="42"/>
  </r>
  <r>
    <x v="1"/>
    <x v="7"/>
    <x v="5"/>
    <n v="1"/>
    <x v="2"/>
    <x v="0"/>
    <x v="2"/>
    <x v="0"/>
    <x v="0"/>
    <x v="4"/>
  </r>
  <r>
    <x v="1"/>
    <x v="7"/>
    <x v="1"/>
    <n v="1"/>
    <x v="2"/>
    <x v="1"/>
    <x v="2"/>
    <x v="0"/>
    <x v="2"/>
    <x v="76"/>
  </r>
  <r>
    <x v="0"/>
    <x v="7"/>
    <x v="0"/>
    <n v="1"/>
    <x v="2"/>
    <x v="1"/>
    <x v="3"/>
    <x v="3"/>
    <x v="0"/>
    <x v="4"/>
  </r>
  <r>
    <x v="1"/>
    <x v="7"/>
    <x v="2"/>
    <n v="0"/>
    <x v="2"/>
    <x v="1"/>
    <x v="2"/>
    <x v="1"/>
    <x v="1"/>
    <x v="98"/>
  </r>
  <r>
    <x v="0"/>
    <x v="7"/>
    <x v="2"/>
    <n v="0"/>
    <x v="1"/>
    <x v="3"/>
    <x v="3"/>
    <x v="1"/>
    <x v="1"/>
    <x v="21"/>
  </r>
  <r>
    <x v="0"/>
    <x v="7"/>
    <x v="3"/>
    <n v="1"/>
    <x v="3"/>
    <x v="3"/>
    <x v="1"/>
    <x v="0"/>
    <x v="0"/>
    <x v="99"/>
  </r>
  <r>
    <x v="0"/>
    <x v="7"/>
    <x v="4"/>
    <n v="1"/>
    <x v="2"/>
    <x v="1"/>
    <x v="3"/>
    <x v="4"/>
    <x v="2"/>
    <x v="67"/>
  </r>
  <r>
    <x v="1"/>
    <x v="7"/>
    <x v="4"/>
    <n v="1"/>
    <x v="1"/>
    <x v="1"/>
    <x v="0"/>
    <x v="4"/>
    <x v="2"/>
    <x v="14"/>
  </r>
  <r>
    <x v="1"/>
    <x v="7"/>
    <x v="5"/>
    <n v="1"/>
    <x v="4"/>
    <x v="1"/>
    <x v="2"/>
    <x v="3"/>
    <x v="2"/>
    <x v="2"/>
  </r>
  <r>
    <x v="0"/>
    <x v="7"/>
    <x v="2"/>
    <n v="0"/>
    <x v="2"/>
    <x v="0"/>
    <x v="3"/>
    <x v="1"/>
    <x v="1"/>
    <x v="15"/>
  </r>
  <r>
    <x v="1"/>
    <x v="7"/>
    <x v="4"/>
    <n v="1"/>
    <x v="1"/>
    <x v="0"/>
    <x v="2"/>
    <x v="4"/>
    <x v="4"/>
    <x v="21"/>
  </r>
  <r>
    <x v="0"/>
    <x v="7"/>
    <x v="2"/>
    <n v="0"/>
    <x v="1"/>
    <x v="1"/>
    <x v="2"/>
    <x v="1"/>
    <x v="1"/>
    <x v="21"/>
  </r>
  <r>
    <x v="0"/>
    <x v="7"/>
    <x v="5"/>
    <n v="1"/>
    <x v="2"/>
    <x v="0"/>
    <x v="2"/>
    <x v="3"/>
    <x v="0"/>
    <x v="15"/>
  </r>
  <r>
    <x v="1"/>
    <x v="3"/>
    <x v="3"/>
    <n v="1"/>
    <x v="1"/>
    <x v="0"/>
    <x v="2"/>
    <x v="3"/>
    <x v="0"/>
    <x v="6"/>
  </r>
  <r>
    <x v="0"/>
    <x v="3"/>
    <x v="5"/>
    <n v="1"/>
    <x v="3"/>
    <x v="2"/>
    <x v="1"/>
    <x v="0"/>
    <x v="2"/>
    <x v="97"/>
  </r>
  <r>
    <x v="0"/>
    <x v="3"/>
    <x v="5"/>
    <n v="1"/>
    <x v="1"/>
    <x v="1"/>
    <x v="2"/>
    <x v="4"/>
    <x v="2"/>
    <x v="100"/>
  </r>
  <r>
    <x v="1"/>
    <x v="3"/>
    <x v="3"/>
    <n v="1"/>
    <x v="2"/>
    <x v="4"/>
    <x v="3"/>
    <x v="4"/>
    <x v="4"/>
    <x v="14"/>
  </r>
  <r>
    <x v="1"/>
    <x v="3"/>
    <x v="5"/>
    <n v="1"/>
    <x v="1"/>
    <x v="1"/>
    <x v="1"/>
    <x v="2"/>
    <x v="4"/>
    <x v="5"/>
  </r>
  <r>
    <x v="1"/>
    <x v="3"/>
    <x v="1"/>
    <n v="1"/>
    <x v="3"/>
    <x v="1"/>
    <x v="2"/>
    <x v="4"/>
    <x v="5"/>
    <x v="14"/>
  </r>
  <r>
    <x v="1"/>
    <x v="3"/>
    <x v="4"/>
    <n v="1"/>
    <x v="2"/>
    <x v="1"/>
    <x v="3"/>
    <x v="2"/>
    <x v="5"/>
    <x v="6"/>
  </r>
  <r>
    <x v="0"/>
    <x v="3"/>
    <x v="3"/>
    <n v="1"/>
    <x v="3"/>
    <x v="2"/>
    <x v="2"/>
    <x v="0"/>
    <x v="2"/>
    <x v="6"/>
  </r>
  <r>
    <x v="1"/>
    <x v="3"/>
    <x v="0"/>
    <n v="1"/>
    <x v="2"/>
    <x v="0"/>
    <x v="0"/>
    <x v="4"/>
    <x v="3"/>
    <x v="6"/>
  </r>
  <r>
    <x v="1"/>
    <x v="3"/>
    <x v="2"/>
    <n v="0"/>
    <x v="3"/>
    <x v="2"/>
    <x v="2"/>
    <x v="1"/>
    <x v="1"/>
    <x v="14"/>
  </r>
  <r>
    <x v="1"/>
    <x v="3"/>
    <x v="0"/>
    <n v="1"/>
    <x v="0"/>
    <x v="0"/>
    <x v="2"/>
    <x v="4"/>
    <x v="3"/>
    <x v="6"/>
  </r>
  <r>
    <x v="0"/>
    <x v="3"/>
    <x v="3"/>
    <n v="1"/>
    <x v="2"/>
    <x v="0"/>
    <x v="1"/>
    <x v="2"/>
    <x v="0"/>
    <x v="71"/>
  </r>
  <r>
    <x v="0"/>
    <x v="3"/>
    <x v="2"/>
    <n v="0"/>
    <x v="2"/>
    <x v="0"/>
    <x v="2"/>
    <x v="1"/>
    <x v="1"/>
    <x v="14"/>
  </r>
  <r>
    <x v="0"/>
    <x v="3"/>
    <x v="3"/>
    <n v="1"/>
    <x v="2"/>
    <x v="4"/>
    <x v="2"/>
    <x v="4"/>
    <x v="4"/>
    <x v="15"/>
  </r>
  <r>
    <x v="1"/>
    <x v="3"/>
    <x v="5"/>
    <n v="1"/>
    <x v="1"/>
    <x v="0"/>
    <x v="2"/>
    <x v="3"/>
    <x v="0"/>
    <x v="29"/>
  </r>
  <r>
    <x v="0"/>
    <x v="3"/>
    <x v="4"/>
    <n v="1"/>
    <x v="2"/>
    <x v="0"/>
    <x v="1"/>
    <x v="4"/>
    <x v="2"/>
    <x v="17"/>
  </r>
  <r>
    <x v="0"/>
    <x v="3"/>
    <x v="2"/>
    <n v="0"/>
    <x v="0"/>
    <x v="3"/>
    <x v="2"/>
    <x v="1"/>
    <x v="1"/>
    <x v="84"/>
  </r>
  <r>
    <x v="0"/>
    <x v="3"/>
    <x v="2"/>
    <n v="0"/>
    <x v="2"/>
    <x v="3"/>
    <x v="2"/>
    <x v="1"/>
    <x v="1"/>
    <x v="62"/>
  </r>
  <r>
    <x v="0"/>
    <x v="3"/>
    <x v="4"/>
    <n v="1"/>
    <x v="1"/>
    <x v="4"/>
    <x v="2"/>
    <x v="0"/>
    <x v="0"/>
    <x v="65"/>
  </r>
  <r>
    <x v="1"/>
    <x v="3"/>
    <x v="3"/>
    <n v="1"/>
    <x v="2"/>
    <x v="1"/>
    <x v="1"/>
    <x v="3"/>
    <x v="0"/>
    <x v="15"/>
  </r>
  <r>
    <x v="1"/>
    <x v="3"/>
    <x v="4"/>
    <n v="1"/>
    <x v="2"/>
    <x v="4"/>
    <x v="3"/>
    <x v="0"/>
    <x v="4"/>
    <x v="31"/>
  </r>
  <r>
    <x v="0"/>
    <x v="3"/>
    <x v="2"/>
    <n v="0"/>
    <x v="1"/>
    <x v="3"/>
    <x v="1"/>
    <x v="1"/>
    <x v="1"/>
    <x v="4"/>
  </r>
  <r>
    <x v="1"/>
    <x v="3"/>
    <x v="3"/>
    <n v="1"/>
    <x v="0"/>
    <x v="4"/>
    <x v="3"/>
    <x v="0"/>
    <x v="2"/>
    <x v="24"/>
  </r>
  <r>
    <x v="0"/>
    <x v="3"/>
    <x v="2"/>
    <n v="0"/>
    <x v="3"/>
    <x v="0"/>
    <x v="1"/>
    <x v="1"/>
    <x v="1"/>
    <x v="36"/>
  </r>
  <r>
    <x v="1"/>
    <x v="7"/>
    <x v="4"/>
    <n v="1"/>
    <x v="2"/>
    <x v="2"/>
    <x v="2"/>
    <x v="0"/>
    <x v="3"/>
    <x v="7"/>
  </r>
  <r>
    <x v="1"/>
    <x v="7"/>
    <x v="4"/>
    <n v="1"/>
    <x v="2"/>
    <x v="1"/>
    <x v="0"/>
    <x v="4"/>
    <x v="2"/>
    <x v="14"/>
  </r>
  <r>
    <x v="1"/>
    <x v="7"/>
    <x v="4"/>
    <n v="1"/>
    <x v="3"/>
    <x v="2"/>
    <x v="2"/>
    <x v="2"/>
    <x v="5"/>
    <x v="38"/>
  </r>
  <r>
    <x v="0"/>
    <x v="7"/>
    <x v="2"/>
    <n v="0"/>
    <x v="1"/>
    <x v="0"/>
    <x v="1"/>
    <x v="1"/>
    <x v="1"/>
    <x v="8"/>
  </r>
  <r>
    <x v="1"/>
    <x v="7"/>
    <x v="4"/>
    <n v="1"/>
    <x v="3"/>
    <x v="2"/>
    <x v="1"/>
    <x v="4"/>
    <x v="3"/>
    <x v="14"/>
  </r>
  <r>
    <x v="1"/>
    <x v="7"/>
    <x v="1"/>
    <n v="1"/>
    <x v="1"/>
    <x v="1"/>
    <x v="2"/>
    <x v="4"/>
    <x v="4"/>
    <x v="21"/>
  </r>
  <r>
    <x v="0"/>
    <x v="7"/>
    <x v="2"/>
    <n v="0"/>
    <x v="1"/>
    <x v="1"/>
    <x v="2"/>
    <x v="1"/>
    <x v="1"/>
    <x v="21"/>
  </r>
  <r>
    <x v="1"/>
    <x v="7"/>
    <x v="5"/>
    <n v="1"/>
    <x v="2"/>
    <x v="0"/>
    <x v="1"/>
    <x v="2"/>
    <x v="4"/>
    <x v="34"/>
  </r>
  <r>
    <x v="1"/>
    <x v="1"/>
    <x v="4"/>
    <n v="1"/>
    <x v="4"/>
    <x v="2"/>
    <x v="1"/>
    <x v="3"/>
    <x v="4"/>
    <x v="5"/>
  </r>
  <r>
    <x v="1"/>
    <x v="1"/>
    <x v="2"/>
    <n v="0"/>
    <x v="4"/>
    <x v="2"/>
    <x v="1"/>
    <x v="1"/>
    <x v="1"/>
    <x v="3"/>
  </r>
  <r>
    <x v="1"/>
    <x v="1"/>
    <x v="5"/>
    <n v="1"/>
    <x v="1"/>
    <x v="0"/>
    <x v="2"/>
    <x v="0"/>
    <x v="0"/>
    <x v="13"/>
  </r>
  <r>
    <x v="1"/>
    <x v="1"/>
    <x v="4"/>
    <n v="1"/>
    <x v="1"/>
    <x v="0"/>
    <x v="2"/>
    <x v="4"/>
    <x v="3"/>
    <x v="63"/>
  </r>
  <r>
    <x v="0"/>
    <x v="4"/>
    <x v="3"/>
    <n v="1"/>
    <x v="1"/>
    <x v="0"/>
    <x v="3"/>
    <x v="0"/>
    <x v="2"/>
    <x v="20"/>
  </r>
  <r>
    <x v="1"/>
    <x v="4"/>
    <x v="0"/>
    <n v="1"/>
    <x v="2"/>
    <x v="0"/>
    <x v="2"/>
    <x v="4"/>
    <x v="0"/>
    <x v="20"/>
  </r>
  <r>
    <x v="0"/>
    <x v="4"/>
    <x v="2"/>
    <n v="0"/>
    <x v="6"/>
    <x v="5"/>
    <x v="4"/>
    <x v="1"/>
    <x v="1"/>
    <x v="20"/>
  </r>
  <r>
    <x v="1"/>
    <x v="0"/>
    <x v="2"/>
    <n v="0"/>
    <x v="2"/>
    <x v="3"/>
    <x v="3"/>
    <x v="1"/>
    <x v="1"/>
    <x v="6"/>
  </r>
  <r>
    <x v="1"/>
    <x v="0"/>
    <x v="2"/>
    <n v="0"/>
    <x v="3"/>
    <x v="1"/>
    <x v="2"/>
    <x v="1"/>
    <x v="1"/>
    <x v="101"/>
  </r>
  <r>
    <x v="1"/>
    <x v="0"/>
    <x v="0"/>
    <n v="1"/>
    <x v="4"/>
    <x v="2"/>
    <x v="2"/>
    <x v="3"/>
    <x v="3"/>
    <x v="11"/>
  </r>
  <r>
    <x v="0"/>
    <x v="1"/>
    <x v="5"/>
    <n v="1"/>
    <x v="2"/>
    <x v="0"/>
    <x v="1"/>
    <x v="0"/>
    <x v="0"/>
    <x v="14"/>
  </r>
  <r>
    <x v="0"/>
    <x v="1"/>
    <x v="3"/>
    <n v="1"/>
    <x v="1"/>
    <x v="0"/>
    <x v="2"/>
    <x v="3"/>
    <x v="5"/>
    <x v="102"/>
  </r>
  <r>
    <x v="0"/>
    <x v="1"/>
    <x v="1"/>
    <n v="1"/>
    <x v="3"/>
    <x v="2"/>
    <x v="2"/>
    <x v="2"/>
    <x v="4"/>
    <x v="45"/>
  </r>
  <r>
    <x v="1"/>
    <x v="1"/>
    <x v="1"/>
    <n v="1"/>
    <x v="3"/>
    <x v="0"/>
    <x v="2"/>
    <x v="0"/>
    <x v="4"/>
    <x v="38"/>
  </r>
  <r>
    <x v="1"/>
    <x v="1"/>
    <x v="1"/>
    <n v="1"/>
    <x v="3"/>
    <x v="0"/>
    <x v="1"/>
    <x v="2"/>
    <x v="4"/>
    <x v="11"/>
  </r>
  <r>
    <x v="0"/>
    <x v="1"/>
    <x v="2"/>
    <n v="0"/>
    <x v="1"/>
    <x v="1"/>
    <x v="2"/>
    <x v="1"/>
    <x v="1"/>
    <x v="41"/>
  </r>
  <r>
    <x v="1"/>
    <x v="1"/>
    <x v="5"/>
    <n v="1"/>
    <x v="2"/>
    <x v="1"/>
    <x v="2"/>
    <x v="0"/>
    <x v="2"/>
    <x v="4"/>
  </r>
  <r>
    <x v="1"/>
    <x v="1"/>
    <x v="0"/>
    <n v="1"/>
    <x v="1"/>
    <x v="1"/>
    <x v="1"/>
    <x v="0"/>
    <x v="5"/>
    <x v="81"/>
  </r>
  <r>
    <x v="1"/>
    <x v="8"/>
    <x v="3"/>
    <n v="1"/>
    <x v="0"/>
    <x v="3"/>
    <x v="2"/>
    <x v="3"/>
    <x v="0"/>
    <x v="20"/>
  </r>
  <r>
    <x v="0"/>
    <x v="3"/>
    <x v="4"/>
    <n v="1"/>
    <x v="2"/>
    <x v="3"/>
    <x v="0"/>
    <x v="3"/>
    <x v="4"/>
    <x v="21"/>
  </r>
  <r>
    <x v="0"/>
    <x v="3"/>
    <x v="4"/>
    <n v="1"/>
    <x v="2"/>
    <x v="0"/>
    <x v="2"/>
    <x v="3"/>
    <x v="4"/>
    <x v="19"/>
  </r>
  <r>
    <x v="0"/>
    <x v="8"/>
    <x v="3"/>
    <n v="1"/>
    <x v="0"/>
    <x v="3"/>
    <x v="4"/>
    <x v="3"/>
    <x v="2"/>
    <x v="2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3">
  <r>
    <x v="0"/>
    <x v="0"/>
    <x v="0"/>
    <n v="1"/>
    <n v="5"/>
    <n v="4"/>
    <x v="0"/>
    <x v="0"/>
    <x v="0"/>
    <x v="0"/>
  </r>
  <r>
    <x v="1"/>
    <x v="0"/>
    <x v="1"/>
    <n v="1"/>
    <n v="3"/>
    <n v="3"/>
    <x v="1"/>
    <x v="0"/>
    <x v="0"/>
    <x v="1"/>
  </r>
  <r>
    <x v="0"/>
    <x v="0"/>
    <x v="2"/>
    <n v="0"/>
    <n v="3"/>
    <n v="3"/>
    <x v="1"/>
    <x v="1"/>
    <x v="1"/>
    <x v="2"/>
  </r>
  <r>
    <x v="0"/>
    <x v="0"/>
    <x v="3"/>
    <n v="1"/>
    <n v="3"/>
    <n v="2"/>
    <x v="2"/>
    <x v="2"/>
    <x v="0"/>
    <x v="3"/>
  </r>
  <r>
    <x v="1"/>
    <x v="0"/>
    <x v="4"/>
    <n v="1"/>
    <n v="4"/>
    <n v="3"/>
    <x v="1"/>
    <x v="0"/>
    <x v="2"/>
    <x v="4"/>
  </r>
  <r>
    <x v="0"/>
    <x v="0"/>
    <x v="3"/>
    <n v="1"/>
    <n v="2"/>
    <n v="2"/>
    <x v="1"/>
    <x v="0"/>
    <x v="0"/>
    <x v="2"/>
  </r>
  <r>
    <x v="0"/>
    <x v="0"/>
    <x v="0"/>
    <n v="1"/>
    <n v="3"/>
    <n v="3"/>
    <x v="2"/>
    <x v="0"/>
    <x v="2"/>
    <x v="5"/>
  </r>
  <r>
    <x v="0"/>
    <x v="0"/>
    <x v="3"/>
    <n v="1"/>
    <n v="3"/>
    <n v="3"/>
    <x v="2"/>
    <x v="0"/>
    <x v="2"/>
    <x v="2"/>
  </r>
  <r>
    <x v="1"/>
    <x v="0"/>
    <x v="4"/>
    <n v="1"/>
    <n v="5"/>
    <n v="3"/>
    <x v="3"/>
    <x v="3"/>
    <x v="0"/>
    <x v="6"/>
  </r>
  <r>
    <x v="0"/>
    <x v="0"/>
    <x v="3"/>
    <n v="1"/>
    <n v="4"/>
    <n v="2"/>
    <x v="1"/>
    <x v="3"/>
    <x v="2"/>
    <x v="7"/>
  </r>
  <r>
    <x v="1"/>
    <x v="0"/>
    <x v="4"/>
    <n v="1"/>
    <n v="2"/>
    <n v="4"/>
    <x v="2"/>
    <x v="4"/>
    <x v="0"/>
    <x v="2"/>
  </r>
  <r>
    <x v="0"/>
    <x v="0"/>
    <x v="2"/>
    <n v="0"/>
    <n v="4"/>
    <n v="4"/>
    <x v="2"/>
    <x v="1"/>
    <x v="1"/>
    <x v="3"/>
  </r>
  <r>
    <x v="1"/>
    <x v="0"/>
    <x v="1"/>
    <n v="1"/>
    <n v="5"/>
    <n v="5"/>
    <x v="2"/>
    <x v="2"/>
    <x v="2"/>
    <x v="8"/>
  </r>
  <r>
    <x v="1"/>
    <x v="0"/>
    <x v="4"/>
    <n v="1"/>
    <n v="5"/>
    <n v="5"/>
    <x v="2"/>
    <x v="4"/>
    <x v="2"/>
    <x v="9"/>
  </r>
  <r>
    <x v="1"/>
    <x v="0"/>
    <x v="3"/>
    <n v="1"/>
    <n v="4"/>
    <n v="4"/>
    <x v="2"/>
    <x v="2"/>
    <x v="3"/>
    <x v="10"/>
  </r>
  <r>
    <x v="1"/>
    <x v="0"/>
    <x v="5"/>
    <n v="1"/>
    <n v="3"/>
    <n v="3"/>
    <x v="1"/>
    <x v="3"/>
    <x v="4"/>
    <x v="11"/>
  </r>
  <r>
    <x v="0"/>
    <x v="0"/>
    <x v="3"/>
    <n v="1"/>
    <n v="1"/>
    <n v="4"/>
    <x v="1"/>
    <x v="0"/>
    <x v="0"/>
    <x v="12"/>
  </r>
  <r>
    <x v="1"/>
    <x v="0"/>
    <x v="0"/>
    <n v="1"/>
    <n v="3"/>
    <n v="5"/>
    <x v="2"/>
    <x v="3"/>
    <x v="4"/>
    <x v="8"/>
  </r>
  <r>
    <x v="1"/>
    <x v="0"/>
    <x v="1"/>
    <n v="1"/>
    <n v="4"/>
    <n v="3"/>
    <x v="3"/>
    <x v="2"/>
    <x v="2"/>
    <x v="13"/>
  </r>
  <r>
    <x v="0"/>
    <x v="0"/>
    <x v="2"/>
    <n v="0"/>
    <n v="3"/>
    <n v="2"/>
    <x v="2"/>
    <x v="1"/>
    <x v="1"/>
    <x v="5"/>
  </r>
  <r>
    <x v="0"/>
    <x v="0"/>
    <x v="0"/>
    <n v="1"/>
    <n v="4"/>
    <n v="4"/>
    <x v="0"/>
    <x v="3"/>
    <x v="2"/>
    <x v="10"/>
  </r>
  <r>
    <x v="1"/>
    <x v="0"/>
    <x v="5"/>
    <n v="1"/>
    <n v="2"/>
    <n v="3"/>
    <x v="1"/>
    <x v="0"/>
    <x v="0"/>
    <x v="14"/>
  </r>
  <r>
    <x v="1"/>
    <x v="0"/>
    <x v="3"/>
    <n v="1"/>
    <n v="1"/>
    <n v="4"/>
    <x v="3"/>
    <x v="0"/>
    <x v="0"/>
    <x v="14"/>
  </r>
  <r>
    <x v="1"/>
    <x v="0"/>
    <x v="0"/>
    <n v="1"/>
    <n v="3"/>
    <n v="3"/>
    <x v="1"/>
    <x v="2"/>
    <x v="2"/>
    <x v="3"/>
  </r>
  <r>
    <x v="0"/>
    <x v="0"/>
    <x v="2"/>
    <n v="0"/>
    <n v="3"/>
    <n v="4"/>
    <x v="1"/>
    <x v="1"/>
    <x v="1"/>
    <x v="2"/>
  </r>
  <r>
    <x v="1"/>
    <x v="0"/>
    <x v="0"/>
    <n v="1"/>
    <n v="2"/>
    <n v="2"/>
    <x v="2"/>
    <x v="3"/>
    <x v="0"/>
    <x v="15"/>
  </r>
  <r>
    <x v="0"/>
    <x v="0"/>
    <x v="3"/>
    <n v="1"/>
    <n v="5"/>
    <n v="2"/>
    <x v="1"/>
    <x v="0"/>
    <x v="0"/>
    <x v="10"/>
  </r>
  <r>
    <x v="1"/>
    <x v="0"/>
    <x v="2"/>
    <n v="0"/>
    <n v="3"/>
    <n v="4"/>
    <x v="3"/>
    <x v="1"/>
    <x v="1"/>
    <x v="3"/>
  </r>
  <r>
    <x v="1"/>
    <x v="0"/>
    <x v="4"/>
    <n v="1"/>
    <n v="2"/>
    <n v="2"/>
    <x v="2"/>
    <x v="4"/>
    <x v="4"/>
    <x v="16"/>
  </r>
  <r>
    <x v="1"/>
    <x v="0"/>
    <x v="0"/>
    <n v="1"/>
    <n v="2"/>
    <n v="4"/>
    <x v="2"/>
    <x v="3"/>
    <x v="0"/>
    <x v="17"/>
  </r>
  <r>
    <x v="0"/>
    <x v="0"/>
    <x v="2"/>
    <n v="0"/>
    <n v="2"/>
    <n v="3"/>
    <x v="3"/>
    <x v="1"/>
    <x v="1"/>
    <x v="10"/>
  </r>
  <r>
    <x v="0"/>
    <x v="0"/>
    <x v="5"/>
    <n v="1"/>
    <n v="2"/>
    <n v="2"/>
    <x v="1"/>
    <x v="0"/>
    <x v="0"/>
    <x v="2"/>
  </r>
  <r>
    <x v="0"/>
    <x v="0"/>
    <x v="2"/>
    <n v="0"/>
    <n v="4"/>
    <n v="2"/>
    <x v="1"/>
    <x v="1"/>
    <x v="1"/>
    <x v="4"/>
  </r>
  <r>
    <x v="0"/>
    <x v="0"/>
    <x v="2"/>
    <n v="0"/>
    <n v="4"/>
    <n v="2"/>
    <x v="1"/>
    <x v="1"/>
    <x v="1"/>
    <x v="18"/>
  </r>
  <r>
    <x v="1"/>
    <x v="0"/>
    <x v="0"/>
    <n v="1"/>
    <n v="2"/>
    <n v="3"/>
    <x v="3"/>
    <x v="3"/>
    <x v="0"/>
    <x v="19"/>
  </r>
  <r>
    <x v="1"/>
    <x v="0"/>
    <x v="2"/>
    <n v="0"/>
    <n v="2"/>
    <n v="2"/>
    <x v="3"/>
    <x v="1"/>
    <x v="1"/>
    <x v="8"/>
  </r>
  <r>
    <x v="0"/>
    <x v="0"/>
    <x v="5"/>
    <n v="1"/>
    <n v="4"/>
    <n v="4"/>
    <x v="2"/>
    <x v="3"/>
    <x v="0"/>
    <x v="20"/>
  </r>
  <r>
    <x v="1"/>
    <x v="0"/>
    <x v="1"/>
    <n v="1"/>
    <n v="4"/>
    <n v="5"/>
    <x v="2"/>
    <x v="4"/>
    <x v="4"/>
    <x v="2"/>
  </r>
  <r>
    <x v="0"/>
    <x v="0"/>
    <x v="2"/>
    <n v="0"/>
    <n v="2"/>
    <n v="3"/>
    <x v="3"/>
    <x v="1"/>
    <x v="1"/>
    <x v="18"/>
  </r>
  <r>
    <x v="1"/>
    <x v="0"/>
    <x v="1"/>
    <n v="1"/>
    <n v="2"/>
    <n v="2"/>
    <x v="2"/>
    <x v="3"/>
    <x v="4"/>
    <x v="14"/>
  </r>
  <r>
    <x v="1"/>
    <x v="0"/>
    <x v="4"/>
    <n v="1"/>
    <n v="2"/>
    <n v="2"/>
    <x v="2"/>
    <x v="4"/>
    <x v="3"/>
    <x v="11"/>
  </r>
  <r>
    <x v="0"/>
    <x v="0"/>
    <x v="4"/>
    <n v="1"/>
    <n v="3"/>
    <n v="4"/>
    <x v="2"/>
    <x v="3"/>
    <x v="4"/>
    <x v="2"/>
  </r>
  <r>
    <x v="0"/>
    <x v="0"/>
    <x v="2"/>
    <n v="0"/>
    <n v="2"/>
    <n v="2"/>
    <x v="3"/>
    <x v="1"/>
    <x v="1"/>
    <x v="5"/>
  </r>
  <r>
    <x v="0"/>
    <x v="0"/>
    <x v="5"/>
    <n v="1"/>
    <n v="4"/>
    <n v="5"/>
    <x v="2"/>
    <x v="0"/>
    <x v="0"/>
    <x v="21"/>
  </r>
  <r>
    <x v="1"/>
    <x v="0"/>
    <x v="4"/>
    <n v="1"/>
    <n v="5"/>
    <n v="4"/>
    <x v="2"/>
    <x v="4"/>
    <x v="4"/>
    <x v="22"/>
  </r>
  <r>
    <x v="0"/>
    <x v="0"/>
    <x v="5"/>
    <n v="1"/>
    <n v="5"/>
    <n v="5"/>
    <x v="3"/>
    <x v="3"/>
    <x v="2"/>
    <x v="10"/>
  </r>
  <r>
    <x v="0"/>
    <x v="0"/>
    <x v="0"/>
    <n v="1"/>
    <n v="3"/>
    <n v="3"/>
    <x v="1"/>
    <x v="0"/>
    <x v="0"/>
    <x v="5"/>
  </r>
  <r>
    <x v="1"/>
    <x v="0"/>
    <x v="4"/>
    <n v="1"/>
    <n v="2"/>
    <n v="3"/>
    <x v="3"/>
    <x v="4"/>
    <x v="2"/>
    <x v="6"/>
  </r>
  <r>
    <x v="1"/>
    <x v="0"/>
    <x v="5"/>
    <n v="1"/>
    <n v="2"/>
    <n v="2"/>
    <x v="2"/>
    <x v="3"/>
    <x v="4"/>
    <x v="6"/>
  </r>
  <r>
    <x v="1"/>
    <x v="0"/>
    <x v="4"/>
    <n v="1"/>
    <n v="3"/>
    <n v="2"/>
    <x v="1"/>
    <x v="3"/>
    <x v="4"/>
    <x v="3"/>
  </r>
  <r>
    <x v="0"/>
    <x v="0"/>
    <x v="3"/>
    <n v="1"/>
    <n v="4"/>
    <n v="4"/>
    <x v="2"/>
    <x v="0"/>
    <x v="0"/>
    <x v="15"/>
  </r>
  <r>
    <x v="0"/>
    <x v="0"/>
    <x v="5"/>
    <n v="1"/>
    <n v="2"/>
    <n v="5"/>
    <x v="1"/>
    <x v="0"/>
    <x v="0"/>
    <x v="11"/>
  </r>
  <r>
    <x v="0"/>
    <x v="0"/>
    <x v="5"/>
    <n v="1"/>
    <n v="2"/>
    <n v="2"/>
    <x v="1"/>
    <x v="0"/>
    <x v="4"/>
    <x v="21"/>
  </r>
  <r>
    <x v="1"/>
    <x v="0"/>
    <x v="2"/>
    <n v="0"/>
    <n v="3"/>
    <n v="3"/>
    <x v="3"/>
    <x v="1"/>
    <x v="1"/>
    <x v="14"/>
  </r>
  <r>
    <x v="1"/>
    <x v="0"/>
    <x v="3"/>
    <n v="1"/>
    <n v="4"/>
    <n v="3"/>
    <x v="3"/>
    <x v="0"/>
    <x v="0"/>
    <x v="12"/>
  </r>
  <r>
    <x v="0"/>
    <x v="0"/>
    <x v="2"/>
    <n v="0"/>
    <n v="3"/>
    <n v="2"/>
    <x v="1"/>
    <x v="1"/>
    <x v="1"/>
    <x v="23"/>
  </r>
  <r>
    <x v="0"/>
    <x v="0"/>
    <x v="2"/>
    <n v="0"/>
    <n v="2"/>
    <n v="3"/>
    <x v="2"/>
    <x v="1"/>
    <x v="1"/>
    <x v="5"/>
  </r>
  <r>
    <x v="1"/>
    <x v="0"/>
    <x v="0"/>
    <n v="1"/>
    <n v="3"/>
    <n v="4"/>
    <x v="1"/>
    <x v="4"/>
    <x v="2"/>
    <x v="6"/>
  </r>
  <r>
    <x v="1"/>
    <x v="0"/>
    <x v="1"/>
    <n v="1"/>
    <n v="4"/>
    <n v="4"/>
    <x v="2"/>
    <x v="2"/>
    <x v="0"/>
    <x v="20"/>
  </r>
  <r>
    <x v="1"/>
    <x v="0"/>
    <x v="1"/>
    <n v="1"/>
    <n v="4"/>
    <n v="4"/>
    <x v="1"/>
    <x v="4"/>
    <x v="0"/>
    <x v="15"/>
  </r>
  <r>
    <x v="0"/>
    <x v="0"/>
    <x v="2"/>
    <n v="0"/>
    <n v="6"/>
    <n v="6"/>
    <x v="3"/>
    <x v="1"/>
    <x v="1"/>
    <x v="10"/>
  </r>
  <r>
    <x v="1"/>
    <x v="0"/>
    <x v="4"/>
    <n v="1"/>
    <n v="2"/>
    <n v="2"/>
    <x v="2"/>
    <x v="4"/>
    <x v="2"/>
    <x v="10"/>
  </r>
  <r>
    <x v="0"/>
    <x v="0"/>
    <x v="5"/>
    <n v="1"/>
    <n v="3"/>
    <n v="4"/>
    <x v="2"/>
    <x v="3"/>
    <x v="0"/>
    <x v="24"/>
  </r>
  <r>
    <x v="0"/>
    <x v="0"/>
    <x v="0"/>
    <n v="1"/>
    <n v="3"/>
    <n v="5"/>
    <x v="2"/>
    <x v="0"/>
    <x v="0"/>
    <x v="11"/>
  </r>
  <r>
    <x v="1"/>
    <x v="0"/>
    <x v="0"/>
    <n v="1"/>
    <n v="2"/>
    <n v="3"/>
    <x v="1"/>
    <x v="3"/>
    <x v="0"/>
    <x v="14"/>
  </r>
  <r>
    <x v="0"/>
    <x v="0"/>
    <x v="3"/>
    <n v="1"/>
    <n v="3"/>
    <n v="2"/>
    <x v="2"/>
    <x v="0"/>
    <x v="0"/>
    <x v="11"/>
  </r>
  <r>
    <x v="0"/>
    <x v="0"/>
    <x v="2"/>
    <n v="0"/>
    <n v="1"/>
    <n v="3"/>
    <x v="1"/>
    <x v="1"/>
    <x v="1"/>
    <x v="25"/>
  </r>
  <r>
    <x v="0"/>
    <x v="0"/>
    <x v="2"/>
    <n v="0"/>
    <n v="5"/>
    <n v="3"/>
    <x v="2"/>
    <x v="1"/>
    <x v="1"/>
    <x v="11"/>
  </r>
  <r>
    <x v="0"/>
    <x v="0"/>
    <x v="2"/>
    <n v="0"/>
    <n v="5"/>
    <n v="6"/>
    <x v="3"/>
    <x v="1"/>
    <x v="1"/>
    <x v="8"/>
  </r>
  <r>
    <x v="1"/>
    <x v="0"/>
    <x v="5"/>
    <n v="1"/>
    <n v="4"/>
    <n v="5"/>
    <x v="2"/>
    <x v="2"/>
    <x v="2"/>
    <x v="15"/>
  </r>
  <r>
    <x v="0"/>
    <x v="0"/>
    <x v="2"/>
    <n v="0"/>
    <n v="4"/>
    <n v="0"/>
    <x v="3"/>
    <x v="1"/>
    <x v="1"/>
    <x v="8"/>
  </r>
  <r>
    <x v="1"/>
    <x v="0"/>
    <x v="1"/>
    <n v="1"/>
    <n v="1"/>
    <n v="2"/>
    <x v="1"/>
    <x v="0"/>
    <x v="2"/>
    <x v="14"/>
  </r>
  <r>
    <x v="1"/>
    <x v="0"/>
    <x v="3"/>
    <n v="1"/>
    <n v="6"/>
    <n v="6"/>
    <x v="0"/>
    <x v="4"/>
    <x v="4"/>
    <x v="2"/>
  </r>
  <r>
    <x v="1"/>
    <x v="0"/>
    <x v="1"/>
    <n v="1"/>
    <n v="6"/>
    <n v="6"/>
    <x v="3"/>
    <x v="4"/>
    <x v="2"/>
    <x v="15"/>
  </r>
  <r>
    <x v="0"/>
    <x v="0"/>
    <x v="3"/>
    <n v="1"/>
    <n v="5"/>
    <n v="5"/>
    <x v="0"/>
    <x v="2"/>
    <x v="0"/>
    <x v="8"/>
  </r>
  <r>
    <x v="1"/>
    <x v="0"/>
    <x v="1"/>
    <n v="1"/>
    <n v="5"/>
    <n v="4"/>
    <x v="3"/>
    <x v="4"/>
    <x v="4"/>
    <x v="14"/>
  </r>
  <r>
    <x v="1"/>
    <x v="0"/>
    <x v="3"/>
    <n v="1"/>
    <n v="6"/>
    <n v="6"/>
    <x v="3"/>
    <x v="4"/>
    <x v="3"/>
    <x v="26"/>
  </r>
  <r>
    <x v="0"/>
    <x v="0"/>
    <x v="3"/>
    <n v="1"/>
    <n v="4"/>
    <n v="4"/>
    <x v="2"/>
    <x v="4"/>
    <x v="2"/>
    <x v="4"/>
  </r>
  <r>
    <x v="1"/>
    <x v="0"/>
    <x v="5"/>
    <n v="1"/>
    <n v="5"/>
    <n v="5"/>
    <x v="2"/>
    <x v="4"/>
    <x v="2"/>
    <x v="27"/>
  </r>
  <r>
    <x v="1"/>
    <x v="0"/>
    <x v="5"/>
    <n v="1"/>
    <n v="2"/>
    <n v="3"/>
    <x v="2"/>
    <x v="4"/>
    <x v="2"/>
    <x v="19"/>
  </r>
  <r>
    <x v="1"/>
    <x v="0"/>
    <x v="5"/>
    <n v="1"/>
    <n v="3"/>
    <n v="2"/>
    <x v="1"/>
    <x v="4"/>
    <x v="2"/>
    <x v="27"/>
  </r>
  <r>
    <x v="0"/>
    <x v="0"/>
    <x v="3"/>
    <n v="1"/>
    <n v="3"/>
    <n v="3"/>
    <x v="1"/>
    <x v="2"/>
    <x v="0"/>
    <x v="11"/>
  </r>
  <r>
    <x v="1"/>
    <x v="0"/>
    <x v="4"/>
    <n v="1"/>
    <n v="4"/>
    <n v="4"/>
    <x v="2"/>
    <x v="4"/>
    <x v="2"/>
    <x v="5"/>
  </r>
  <r>
    <x v="0"/>
    <x v="0"/>
    <x v="3"/>
    <n v="1"/>
    <n v="1"/>
    <n v="2"/>
    <x v="1"/>
    <x v="0"/>
    <x v="0"/>
    <x v="27"/>
  </r>
  <r>
    <x v="1"/>
    <x v="0"/>
    <x v="4"/>
    <n v="1"/>
    <n v="4"/>
    <n v="4"/>
    <x v="1"/>
    <x v="4"/>
    <x v="5"/>
    <x v="11"/>
  </r>
  <r>
    <x v="1"/>
    <x v="0"/>
    <x v="3"/>
    <n v="1"/>
    <n v="3"/>
    <n v="5"/>
    <x v="2"/>
    <x v="4"/>
    <x v="3"/>
    <x v="15"/>
  </r>
  <r>
    <x v="1"/>
    <x v="0"/>
    <x v="4"/>
    <n v="1"/>
    <n v="4"/>
    <n v="4"/>
    <x v="1"/>
    <x v="4"/>
    <x v="4"/>
    <x v="11"/>
  </r>
  <r>
    <x v="1"/>
    <x v="0"/>
    <x v="2"/>
    <n v="0"/>
    <n v="1"/>
    <n v="2"/>
    <x v="1"/>
    <x v="1"/>
    <x v="1"/>
    <x v="6"/>
  </r>
  <r>
    <x v="0"/>
    <x v="0"/>
    <x v="5"/>
    <n v="1"/>
    <n v="1"/>
    <n v="3"/>
    <x v="1"/>
    <x v="0"/>
    <x v="4"/>
    <x v="14"/>
  </r>
  <r>
    <x v="0"/>
    <x v="0"/>
    <x v="5"/>
    <n v="1"/>
    <n v="3"/>
    <n v="3"/>
    <x v="2"/>
    <x v="0"/>
    <x v="2"/>
    <x v="10"/>
  </r>
  <r>
    <x v="1"/>
    <x v="0"/>
    <x v="2"/>
    <n v="0"/>
    <n v="4"/>
    <n v="6"/>
    <x v="2"/>
    <x v="1"/>
    <x v="1"/>
    <x v="20"/>
  </r>
  <r>
    <x v="0"/>
    <x v="0"/>
    <x v="3"/>
    <n v="1"/>
    <n v="2"/>
    <n v="3"/>
    <x v="2"/>
    <x v="3"/>
    <x v="0"/>
    <x v="2"/>
  </r>
  <r>
    <x v="0"/>
    <x v="0"/>
    <x v="0"/>
    <n v="1"/>
    <n v="2"/>
    <n v="2"/>
    <x v="2"/>
    <x v="0"/>
    <x v="0"/>
    <x v="28"/>
  </r>
  <r>
    <x v="0"/>
    <x v="0"/>
    <x v="1"/>
    <n v="1"/>
    <n v="4"/>
    <n v="4"/>
    <x v="2"/>
    <x v="3"/>
    <x v="2"/>
    <x v="29"/>
  </r>
  <r>
    <x v="0"/>
    <x v="0"/>
    <x v="0"/>
    <n v="1"/>
    <n v="4"/>
    <n v="4"/>
    <x v="2"/>
    <x v="0"/>
    <x v="0"/>
    <x v="6"/>
  </r>
  <r>
    <x v="1"/>
    <x v="0"/>
    <x v="3"/>
    <n v="1"/>
    <n v="4"/>
    <n v="5"/>
    <x v="3"/>
    <x v="0"/>
    <x v="2"/>
    <x v="10"/>
  </r>
  <r>
    <x v="0"/>
    <x v="0"/>
    <x v="2"/>
    <n v="0"/>
    <n v="2"/>
    <n v="4"/>
    <x v="3"/>
    <x v="1"/>
    <x v="1"/>
    <x v="21"/>
  </r>
  <r>
    <x v="1"/>
    <x v="0"/>
    <x v="4"/>
    <n v="1"/>
    <n v="4"/>
    <n v="4"/>
    <x v="3"/>
    <x v="2"/>
    <x v="4"/>
    <x v="15"/>
  </r>
  <r>
    <x v="1"/>
    <x v="0"/>
    <x v="4"/>
    <n v="1"/>
    <n v="3"/>
    <n v="2"/>
    <x v="2"/>
    <x v="0"/>
    <x v="2"/>
    <x v="30"/>
  </r>
  <r>
    <x v="1"/>
    <x v="0"/>
    <x v="1"/>
    <n v="1"/>
    <n v="6"/>
    <n v="6"/>
    <x v="3"/>
    <x v="0"/>
    <x v="4"/>
    <x v="21"/>
  </r>
  <r>
    <x v="0"/>
    <x v="0"/>
    <x v="2"/>
    <n v="0"/>
    <n v="4"/>
    <n v="4"/>
    <x v="1"/>
    <x v="1"/>
    <x v="1"/>
    <x v="14"/>
  </r>
  <r>
    <x v="1"/>
    <x v="0"/>
    <x v="5"/>
    <n v="1"/>
    <n v="4"/>
    <n v="4"/>
    <x v="0"/>
    <x v="0"/>
    <x v="2"/>
    <x v="4"/>
  </r>
  <r>
    <x v="1"/>
    <x v="0"/>
    <x v="1"/>
    <n v="1"/>
    <n v="3"/>
    <n v="4"/>
    <x v="3"/>
    <x v="0"/>
    <x v="0"/>
    <x v="14"/>
  </r>
  <r>
    <x v="1"/>
    <x v="0"/>
    <x v="5"/>
    <n v="1"/>
    <n v="2"/>
    <n v="5"/>
    <x v="2"/>
    <x v="3"/>
    <x v="4"/>
    <x v="31"/>
  </r>
  <r>
    <x v="1"/>
    <x v="0"/>
    <x v="4"/>
    <n v="1"/>
    <n v="4"/>
    <n v="2"/>
    <x v="2"/>
    <x v="3"/>
    <x v="2"/>
    <x v="32"/>
  </r>
  <r>
    <x v="0"/>
    <x v="0"/>
    <x v="3"/>
    <n v="1"/>
    <n v="2"/>
    <n v="3"/>
    <x v="2"/>
    <x v="4"/>
    <x v="2"/>
    <x v="5"/>
  </r>
  <r>
    <x v="0"/>
    <x v="0"/>
    <x v="2"/>
    <n v="0"/>
    <n v="5"/>
    <n v="5"/>
    <x v="2"/>
    <x v="1"/>
    <x v="1"/>
    <x v="33"/>
  </r>
  <r>
    <x v="1"/>
    <x v="0"/>
    <x v="1"/>
    <n v="1"/>
    <n v="3"/>
    <n v="3"/>
    <x v="3"/>
    <x v="0"/>
    <x v="0"/>
    <x v="5"/>
  </r>
  <r>
    <x v="0"/>
    <x v="0"/>
    <x v="0"/>
    <n v="1"/>
    <n v="3"/>
    <n v="2"/>
    <x v="1"/>
    <x v="3"/>
    <x v="2"/>
    <x v="15"/>
  </r>
  <r>
    <x v="0"/>
    <x v="1"/>
    <x v="2"/>
    <n v="0"/>
    <n v="3"/>
    <n v="1"/>
    <x v="2"/>
    <x v="1"/>
    <x v="1"/>
    <x v="4"/>
  </r>
  <r>
    <x v="0"/>
    <x v="1"/>
    <x v="2"/>
    <n v="0"/>
    <n v="4"/>
    <n v="4"/>
    <x v="2"/>
    <x v="1"/>
    <x v="1"/>
    <x v="6"/>
  </r>
  <r>
    <x v="1"/>
    <x v="1"/>
    <x v="4"/>
    <n v="1"/>
    <n v="4"/>
    <n v="4"/>
    <x v="3"/>
    <x v="0"/>
    <x v="4"/>
    <x v="21"/>
  </r>
  <r>
    <x v="1"/>
    <x v="1"/>
    <x v="3"/>
    <n v="1"/>
    <n v="3"/>
    <n v="3"/>
    <x v="2"/>
    <x v="4"/>
    <x v="2"/>
    <x v="34"/>
  </r>
  <r>
    <x v="1"/>
    <x v="1"/>
    <x v="1"/>
    <n v="1"/>
    <n v="2"/>
    <n v="2"/>
    <x v="1"/>
    <x v="4"/>
    <x v="2"/>
    <x v="11"/>
  </r>
  <r>
    <x v="1"/>
    <x v="1"/>
    <x v="4"/>
    <n v="1"/>
    <n v="4"/>
    <n v="4"/>
    <x v="1"/>
    <x v="4"/>
    <x v="5"/>
    <x v="3"/>
  </r>
  <r>
    <x v="1"/>
    <x v="1"/>
    <x v="3"/>
    <n v="1"/>
    <n v="4"/>
    <n v="3"/>
    <x v="1"/>
    <x v="0"/>
    <x v="0"/>
    <x v="5"/>
  </r>
  <r>
    <x v="1"/>
    <x v="1"/>
    <x v="1"/>
    <n v="1"/>
    <n v="3"/>
    <n v="3"/>
    <x v="1"/>
    <x v="3"/>
    <x v="4"/>
    <x v="35"/>
  </r>
  <r>
    <x v="1"/>
    <x v="1"/>
    <x v="3"/>
    <n v="1"/>
    <n v="3"/>
    <n v="2"/>
    <x v="2"/>
    <x v="0"/>
    <x v="0"/>
    <x v="11"/>
  </r>
  <r>
    <x v="1"/>
    <x v="1"/>
    <x v="1"/>
    <n v="1"/>
    <n v="4"/>
    <n v="2"/>
    <x v="1"/>
    <x v="2"/>
    <x v="2"/>
    <x v="34"/>
  </r>
  <r>
    <x v="1"/>
    <x v="1"/>
    <x v="3"/>
    <n v="1"/>
    <n v="1"/>
    <n v="3"/>
    <x v="1"/>
    <x v="0"/>
    <x v="2"/>
    <x v="34"/>
  </r>
  <r>
    <x v="0"/>
    <x v="1"/>
    <x v="3"/>
    <n v="1"/>
    <n v="3"/>
    <n v="2"/>
    <x v="1"/>
    <x v="0"/>
    <x v="0"/>
    <x v="36"/>
  </r>
  <r>
    <x v="0"/>
    <x v="1"/>
    <x v="1"/>
    <n v="1"/>
    <n v="4"/>
    <n v="3"/>
    <x v="1"/>
    <x v="0"/>
    <x v="0"/>
    <x v="37"/>
  </r>
  <r>
    <x v="1"/>
    <x v="1"/>
    <x v="5"/>
    <n v="1"/>
    <n v="3"/>
    <n v="2"/>
    <x v="1"/>
    <x v="0"/>
    <x v="0"/>
    <x v="21"/>
  </r>
  <r>
    <x v="0"/>
    <x v="1"/>
    <x v="0"/>
    <n v="1"/>
    <n v="2"/>
    <n v="3"/>
    <x v="2"/>
    <x v="0"/>
    <x v="0"/>
    <x v="38"/>
  </r>
  <r>
    <x v="1"/>
    <x v="1"/>
    <x v="2"/>
    <n v="0"/>
    <n v="4"/>
    <n v="5"/>
    <x v="2"/>
    <x v="1"/>
    <x v="1"/>
    <x v="21"/>
  </r>
  <r>
    <x v="1"/>
    <x v="1"/>
    <x v="3"/>
    <n v="1"/>
    <n v="2"/>
    <n v="2"/>
    <x v="3"/>
    <x v="0"/>
    <x v="0"/>
    <x v="11"/>
  </r>
  <r>
    <x v="0"/>
    <x v="1"/>
    <x v="5"/>
    <n v="1"/>
    <n v="2"/>
    <n v="2"/>
    <x v="1"/>
    <x v="0"/>
    <x v="2"/>
    <x v="7"/>
  </r>
  <r>
    <x v="0"/>
    <x v="1"/>
    <x v="0"/>
    <n v="1"/>
    <n v="3"/>
    <n v="2"/>
    <x v="2"/>
    <x v="0"/>
    <x v="2"/>
    <x v="8"/>
  </r>
  <r>
    <x v="0"/>
    <x v="1"/>
    <x v="1"/>
    <n v="1"/>
    <n v="2"/>
    <n v="5"/>
    <x v="2"/>
    <x v="3"/>
    <x v="4"/>
    <x v="8"/>
  </r>
  <r>
    <x v="0"/>
    <x v="1"/>
    <x v="2"/>
    <n v="0"/>
    <n v="2"/>
    <n v="3"/>
    <x v="1"/>
    <x v="1"/>
    <x v="1"/>
    <x v="14"/>
  </r>
  <r>
    <x v="1"/>
    <x v="1"/>
    <x v="3"/>
    <n v="1"/>
    <n v="3"/>
    <n v="4"/>
    <x v="2"/>
    <x v="2"/>
    <x v="4"/>
    <x v="39"/>
  </r>
  <r>
    <x v="0"/>
    <x v="1"/>
    <x v="0"/>
    <n v="1"/>
    <n v="4"/>
    <n v="4"/>
    <x v="1"/>
    <x v="0"/>
    <x v="0"/>
    <x v="40"/>
  </r>
  <r>
    <x v="1"/>
    <x v="1"/>
    <x v="3"/>
    <n v="1"/>
    <n v="2"/>
    <n v="2"/>
    <x v="1"/>
    <x v="0"/>
    <x v="0"/>
    <x v="14"/>
  </r>
  <r>
    <x v="0"/>
    <x v="1"/>
    <x v="1"/>
    <n v="1"/>
    <n v="3"/>
    <n v="3"/>
    <x v="1"/>
    <x v="3"/>
    <x v="2"/>
    <x v="14"/>
  </r>
  <r>
    <x v="0"/>
    <x v="1"/>
    <x v="2"/>
    <n v="0"/>
    <n v="3"/>
    <n v="5"/>
    <x v="1"/>
    <x v="1"/>
    <x v="1"/>
    <x v="41"/>
  </r>
  <r>
    <x v="0"/>
    <x v="1"/>
    <x v="1"/>
    <n v="1"/>
    <n v="2"/>
    <n v="2"/>
    <x v="2"/>
    <x v="2"/>
    <x v="4"/>
    <x v="8"/>
  </r>
  <r>
    <x v="1"/>
    <x v="1"/>
    <x v="5"/>
    <n v="1"/>
    <n v="3"/>
    <n v="2"/>
    <x v="3"/>
    <x v="0"/>
    <x v="0"/>
    <x v="6"/>
  </r>
  <r>
    <x v="0"/>
    <x v="1"/>
    <x v="5"/>
    <n v="1"/>
    <n v="1"/>
    <n v="2"/>
    <x v="1"/>
    <x v="0"/>
    <x v="0"/>
    <x v="14"/>
  </r>
  <r>
    <x v="0"/>
    <x v="1"/>
    <x v="1"/>
    <n v="1"/>
    <n v="2"/>
    <n v="4"/>
    <x v="1"/>
    <x v="3"/>
    <x v="0"/>
    <x v="5"/>
  </r>
  <r>
    <x v="0"/>
    <x v="1"/>
    <x v="1"/>
    <n v="1"/>
    <n v="3"/>
    <n v="1"/>
    <x v="1"/>
    <x v="0"/>
    <x v="2"/>
    <x v="42"/>
  </r>
  <r>
    <x v="0"/>
    <x v="1"/>
    <x v="1"/>
    <n v="1"/>
    <n v="4"/>
    <n v="4"/>
    <x v="2"/>
    <x v="3"/>
    <x v="2"/>
    <x v="21"/>
  </r>
  <r>
    <x v="0"/>
    <x v="1"/>
    <x v="5"/>
    <n v="1"/>
    <n v="2"/>
    <n v="3"/>
    <x v="3"/>
    <x v="4"/>
    <x v="2"/>
    <x v="43"/>
  </r>
  <r>
    <x v="1"/>
    <x v="1"/>
    <x v="2"/>
    <n v="0"/>
    <n v="3"/>
    <n v="3"/>
    <x v="2"/>
    <x v="1"/>
    <x v="1"/>
    <x v="21"/>
  </r>
  <r>
    <x v="0"/>
    <x v="1"/>
    <x v="3"/>
    <n v="1"/>
    <n v="4"/>
    <n v="4"/>
    <x v="2"/>
    <x v="0"/>
    <x v="0"/>
    <x v="15"/>
  </r>
  <r>
    <x v="0"/>
    <x v="1"/>
    <x v="3"/>
    <n v="1"/>
    <n v="5"/>
    <n v="6"/>
    <x v="1"/>
    <x v="0"/>
    <x v="2"/>
    <x v="13"/>
  </r>
  <r>
    <x v="1"/>
    <x v="1"/>
    <x v="0"/>
    <n v="1"/>
    <n v="3"/>
    <n v="2"/>
    <x v="3"/>
    <x v="0"/>
    <x v="0"/>
    <x v="30"/>
  </r>
  <r>
    <x v="1"/>
    <x v="1"/>
    <x v="0"/>
    <n v="1"/>
    <n v="2"/>
    <n v="3"/>
    <x v="3"/>
    <x v="0"/>
    <x v="0"/>
    <x v="21"/>
  </r>
  <r>
    <x v="0"/>
    <x v="1"/>
    <x v="1"/>
    <n v="1"/>
    <n v="3"/>
    <n v="2"/>
    <x v="2"/>
    <x v="2"/>
    <x v="0"/>
    <x v="36"/>
  </r>
  <r>
    <x v="0"/>
    <x v="1"/>
    <x v="4"/>
    <n v="1"/>
    <n v="5"/>
    <n v="4"/>
    <x v="3"/>
    <x v="2"/>
    <x v="2"/>
    <x v="5"/>
  </r>
  <r>
    <x v="1"/>
    <x v="1"/>
    <x v="3"/>
    <n v="1"/>
    <n v="2"/>
    <n v="4"/>
    <x v="3"/>
    <x v="4"/>
    <x v="3"/>
    <x v="14"/>
  </r>
  <r>
    <x v="0"/>
    <x v="1"/>
    <x v="1"/>
    <n v="1"/>
    <n v="3"/>
    <n v="3"/>
    <x v="2"/>
    <x v="2"/>
    <x v="4"/>
    <x v="2"/>
  </r>
  <r>
    <x v="1"/>
    <x v="1"/>
    <x v="4"/>
    <n v="1"/>
    <n v="3"/>
    <n v="3"/>
    <x v="1"/>
    <x v="3"/>
    <x v="2"/>
    <x v="44"/>
  </r>
  <r>
    <x v="0"/>
    <x v="1"/>
    <x v="3"/>
    <n v="1"/>
    <n v="4"/>
    <n v="4"/>
    <x v="2"/>
    <x v="4"/>
    <x v="0"/>
    <x v="13"/>
  </r>
  <r>
    <x v="1"/>
    <x v="1"/>
    <x v="3"/>
    <n v="1"/>
    <n v="5"/>
    <n v="5"/>
    <x v="0"/>
    <x v="4"/>
    <x v="3"/>
    <x v="36"/>
  </r>
  <r>
    <x v="1"/>
    <x v="1"/>
    <x v="1"/>
    <n v="1"/>
    <n v="3"/>
    <n v="3"/>
    <x v="1"/>
    <x v="4"/>
    <x v="3"/>
    <x v="3"/>
  </r>
  <r>
    <x v="0"/>
    <x v="1"/>
    <x v="1"/>
    <n v="1"/>
    <n v="5"/>
    <n v="4"/>
    <x v="1"/>
    <x v="0"/>
    <x v="0"/>
    <x v="14"/>
  </r>
  <r>
    <x v="0"/>
    <x v="1"/>
    <x v="4"/>
    <n v="1"/>
    <n v="2"/>
    <n v="2"/>
    <x v="1"/>
    <x v="0"/>
    <x v="0"/>
    <x v="6"/>
  </r>
  <r>
    <x v="0"/>
    <x v="1"/>
    <x v="1"/>
    <n v="1"/>
    <n v="3"/>
    <n v="3"/>
    <x v="2"/>
    <x v="4"/>
    <x v="4"/>
    <x v="7"/>
  </r>
  <r>
    <x v="1"/>
    <x v="1"/>
    <x v="4"/>
    <n v="1"/>
    <n v="2"/>
    <n v="4"/>
    <x v="2"/>
    <x v="2"/>
    <x v="2"/>
    <x v="14"/>
  </r>
  <r>
    <x v="1"/>
    <x v="1"/>
    <x v="3"/>
    <n v="1"/>
    <n v="5"/>
    <n v="5"/>
    <x v="3"/>
    <x v="2"/>
    <x v="4"/>
    <x v="45"/>
  </r>
  <r>
    <x v="0"/>
    <x v="1"/>
    <x v="3"/>
    <n v="1"/>
    <n v="2"/>
    <n v="2"/>
    <x v="1"/>
    <x v="0"/>
    <x v="0"/>
    <x v="14"/>
  </r>
  <r>
    <x v="0"/>
    <x v="1"/>
    <x v="4"/>
    <n v="1"/>
    <n v="2"/>
    <n v="4"/>
    <x v="1"/>
    <x v="2"/>
    <x v="2"/>
    <x v="2"/>
  </r>
  <r>
    <x v="0"/>
    <x v="1"/>
    <x v="5"/>
    <n v="1"/>
    <n v="3"/>
    <n v="4"/>
    <x v="1"/>
    <x v="0"/>
    <x v="0"/>
    <x v="14"/>
  </r>
  <r>
    <x v="0"/>
    <x v="1"/>
    <x v="1"/>
    <n v="1"/>
    <n v="3"/>
    <n v="3"/>
    <x v="2"/>
    <x v="3"/>
    <x v="5"/>
    <x v="43"/>
  </r>
  <r>
    <x v="1"/>
    <x v="1"/>
    <x v="0"/>
    <n v="1"/>
    <n v="4"/>
    <n v="5"/>
    <x v="3"/>
    <x v="4"/>
    <x v="3"/>
    <x v="2"/>
  </r>
  <r>
    <x v="0"/>
    <x v="1"/>
    <x v="4"/>
    <n v="1"/>
    <n v="2"/>
    <n v="4"/>
    <x v="1"/>
    <x v="2"/>
    <x v="4"/>
    <x v="2"/>
  </r>
  <r>
    <x v="0"/>
    <x v="1"/>
    <x v="3"/>
    <n v="1"/>
    <n v="2"/>
    <n v="4"/>
    <x v="2"/>
    <x v="3"/>
    <x v="0"/>
    <x v="7"/>
  </r>
  <r>
    <x v="0"/>
    <x v="1"/>
    <x v="5"/>
    <n v="1"/>
    <n v="5"/>
    <n v="4"/>
    <x v="2"/>
    <x v="3"/>
    <x v="2"/>
    <x v="21"/>
  </r>
  <r>
    <x v="1"/>
    <x v="1"/>
    <x v="4"/>
    <n v="1"/>
    <n v="2"/>
    <n v="3"/>
    <x v="2"/>
    <x v="3"/>
    <x v="4"/>
    <x v="14"/>
  </r>
  <r>
    <x v="1"/>
    <x v="1"/>
    <x v="4"/>
    <n v="1"/>
    <n v="5"/>
    <n v="4"/>
    <x v="1"/>
    <x v="2"/>
    <x v="0"/>
    <x v="46"/>
  </r>
  <r>
    <x v="0"/>
    <x v="1"/>
    <x v="3"/>
    <n v="1"/>
    <n v="2"/>
    <n v="4"/>
    <x v="1"/>
    <x v="4"/>
    <x v="0"/>
    <x v="23"/>
  </r>
  <r>
    <x v="0"/>
    <x v="1"/>
    <x v="3"/>
    <n v="1"/>
    <n v="2"/>
    <n v="3"/>
    <x v="3"/>
    <x v="0"/>
    <x v="0"/>
    <x v="21"/>
  </r>
  <r>
    <x v="0"/>
    <x v="1"/>
    <x v="4"/>
    <n v="1"/>
    <n v="3"/>
    <n v="4"/>
    <x v="2"/>
    <x v="4"/>
    <x v="4"/>
    <x v="47"/>
  </r>
  <r>
    <x v="0"/>
    <x v="1"/>
    <x v="4"/>
    <n v="1"/>
    <n v="3"/>
    <n v="2"/>
    <x v="2"/>
    <x v="2"/>
    <x v="4"/>
    <x v="5"/>
  </r>
  <r>
    <x v="1"/>
    <x v="1"/>
    <x v="0"/>
    <n v="1"/>
    <n v="3"/>
    <n v="3"/>
    <x v="2"/>
    <x v="3"/>
    <x v="2"/>
    <x v="13"/>
  </r>
  <r>
    <x v="1"/>
    <x v="1"/>
    <x v="2"/>
    <n v="0"/>
    <n v="2"/>
    <n v="4"/>
    <x v="0"/>
    <x v="1"/>
    <x v="1"/>
    <x v="12"/>
  </r>
  <r>
    <x v="1"/>
    <x v="1"/>
    <x v="5"/>
    <n v="1"/>
    <n v="3"/>
    <n v="3"/>
    <x v="2"/>
    <x v="2"/>
    <x v="0"/>
    <x v="12"/>
  </r>
  <r>
    <x v="0"/>
    <x v="1"/>
    <x v="0"/>
    <n v="1"/>
    <n v="5"/>
    <n v="5"/>
    <x v="0"/>
    <x v="3"/>
    <x v="2"/>
    <x v="48"/>
  </r>
  <r>
    <x v="0"/>
    <x v="1"/>
    <x v="5"/>
    <n v="1"/>
    <n v="4"/>
    <n v="4"/>
    <x v="2"/>
    <x v="0"/>
    <x v="0"/>
    <x v="49"/>
  </r>
  <r>
    <x v="0"/>
    <x v="1"/>
    <x v="3"/>
    <n v="1"/>
    <n v="5"/>
    <n v="6"/>
    <x v="3"/>
    <x v="3"/>
    <x v="0"/>
    <x v="50"/>
  </r>
  <r>
    <x v="1"/>
    <x v="1"/>
    <x v="4"/>
    <n v="1"/>
    <n v="2"/>
    <n v="2"/>
    <x v="3"/>
    <x v="4"/>
    <x v="3"/>
    <x v="34"/>
  </r>
  <r>
    <x v="0"/>
    <x v="1"/>
    <x v="2"/>
    <n v="0"/>
    <n v="2"/>
    <n v="2"/>
    <x v="1"/>
    <x v="1"/>
    <x v="1"/>
    <x v="51"/>
  </r>
  <r>
    <x v="0"/>
    <x v="1"/>
    <x v="5"/>
    <n v="1"/>
    <n v="5"/>
    <n v="5"/>
    <x v="3"/>
    <x v="0"/>
    <x v="0"/>
    <x v="52"/>
  </r>
  <r>
    <x v="0"/>
    <x v="1"/>
    <x v="3"/>
    <n v="1"/>
    <n v="4"/>
    <n v="4"/>
    <x v="2"/>
    <x v="0"/>
    <x v="0"/>
    <x v="44"/>
  </r>
  <r>
    <x v="0"/>
    <x v="1"/>
    <x v="3"/>
    <n v="1"/>
    <n v="5"/>
    <n v="3"/>
    <x v="1"/>
    <x v="0"/>
    <x v="2"/>
    <x v="8"/>
  </r>
  <r>
    <x v="0"/>
    <x v="1"/>
    <x v="0"/>
    <n v="1"/>
    <n v="2"/>
    <n v="2"/>
    <x v="2"/>
    <x v="0"/>
    <x v="2"/>
    <x v="53"/>
  </r>
  <r>
    <x v="1"/>
    <x v="1"/>
    <x v="3"/>
    <n v="1"/>
    <n v="5"/>
    <n v="5"/>
    <x v="2"/>
    <x v="0"/>
    <x v="4"/>
    <x v="14"/>
  </r>
  <r>
    <x v="0"/>
    <x v="1"/>
    <x v="1"/>
    <n v="1"/>
    <n v="3"/>
    <n v="2"/>
    <x v="1"/>
    <x v="3"/>
    <x v="2"/>
    <x v="54"/>
  </r>
  <r>
    <x v="0"/>
    <x v="1"/>
    <x v="5"/>
    <n v="1"/>
    <n v="5"/>
    <n v="4"/>
    <x v="3"/>
    <x v="4"/>
    <x v="2"/>
    <x v="2"/>
  </r>
  <r>
    <x v="0"/>
    <x v="1"/>
    <x v="2"/>
    <n v="0"/>
    <n v="6"/>
    <n v="6"/>
    <x v="1"/>
    <x v="1"/>
    <x v="1"/>
    <x v="55"/>
  </r>
  <r>
    <x v="0"/>
    <x v="1"/>
    <x v="3"/>
    <n v="1"/>
    <n v="4"/>
    <n v="5"/>
    <x v="3"/>
    <x v="0"/>
    <x v="0"/>
    <x v="21"/>
  </r>
  <r>
    <x v="0"/>
    <x v="1"/>
    <x v="4"/>
    <n v="1"/>
    <n v="4"/>
    <n v="2"/>
    <x v="2"/>
    <x v="0"/>
    <x v="4"/>
    <x v="9"/>
  </r>
  <r>
    <x v="0"/>
    <x v="1"/>
    <x v="3"/>
    <n v="1"/>
    <n v="2"/>
    <n v="2"/>
    <x v="2"/>
    <x v="0"/>
    <x v="0"/>
    <x v="4"/>
  </r>
  <r>
    <x v="0"/>
    <x v="1"/>
    <x v="5"/>
    <n v="1"/>
    <n v="4"/>
    <n v="5"/>
    <x v="3"/>
    <x v="3"/>
    <x v="2"/>
    <x v="8"/>
  </r>
  <r>
    <x v="1"/>
    <x v="1"/>
    <x v="1"/>
    <n v="1"/>
    <n v="4"/>
    <n v="5"/>
    <x v="0"/>
    <x v="3"/>
    <x v="2"/>
    <x v="56"/>
  </r>
  <r>
    <x v="0"/>
    <x v="1"/>
    <x v="0"/>
    <n v="1"/>
    <n v="2"/>
    <n v="4"/>
    <x v="1"/>
    <x v="0"/>
    <x v="0"/>
    <x v="54"/>
  </r>
  <r>
    <x v="1"/>
    <x v="1"/>
    <x v="4"/>
    <n v="1"/>
    <n v="2"/>
    <n v="2"/>
    <x v="2"/>
    <x v="2"/>
    <x v="3"/>
    <x v="11"/>
  </r>
  <r>
    <x v="0"/>
    <x v="1"/>
    <x v="2"/>
    <n v="0"/>
    <n v="2"/>
    <n v="4"/>
    <x v="2"/>
    <x v="1"/>
    <x v="1"/>
    <x v="57"/>
  </r>
  <r>
    <x v="0"/>
    <x v="1"/>
    <x v="1"/>
    <n v="1"/>
    <n v="4"/>
    <n v="4"/>
    <x v="3"/>
    <x v="3"/>
    <x v="2"/>
    <x v="58"/>
  </r>
  <r>
    <x v="0"/>
    <x v="1"/>
    <x v="1"/>
    <n v="1"/>
    <n v="2"/>
    <n v="4"/>
    <x v="1"/>
    <x v="3"/>
    <x v="2"/>
    <x v="14"/>
  </r>
  <r>
    <x v="0"/>
    <x v="1"/>
    <x v="3"/>
    <n v="1"/>
    <n v="3"/>
    <n v="2"/>
    <x v="2"/>
    <x v="0"/>
    <x v="2"/>
    <x v="21"/>
  </r>
  <r>
    <x v="0"/>
    <x v="1"/>
    <x v="0"/>
    <n v="1"/>
    <n v="3"/>
    <n v="3"/>
    <x v="2"/>
    <x v="3"/>
    <x v="2"/>
    <x v="6"/>
  </r>
  <r>
    <x v="1"/>
    <x v="1"/>
    <x v="4"/>
    <n v="1"/>
    <n v="3"/>
    <n v="3"/>
    <x v="3"/>
    <x v="0"/>
    <x v="2"/>
    <x v="35"/>
  </r>
  <r>
    <x v="0"/>
    <x v="2"/>
    <x v="2"/>
    <n v="0"/>
    <n v="2"/>
    <n v="2"/>
    <x v="2"/>
    <x v="1"/>
    <x v="1"/>
    <x v="2"/>
  </r>
  <r>
    <x v="0"/>
    <x v="2"/>
    <x v="3"/>
    <n v="1"/>
    <n v="4"/>
    <n v="4"/>
    <x v="3"/>
    <x v="0"/>
    <x v="2"/>
    <x v="9"/>
  </r>
  <r>
    <x v="0"/>
    <x v="2"/>
    <x v="2"/>
    <n v="0"/>
    <n v="4"/>
    <n v="6"/>
    <x v="3"/>
    <x v="1"/>
    <x v="1"/>
    <x v="4"/>
  </r>
  <r>
    <x v="0"/>
    <x v="2"/>
    <x v="2"/>
    <n v="0"/>
    <n v="3"/>
    <n v="4"/>
    <x v="2"/>
    <x v="1"/>
    <x v="1"/>
    <x v="13"/>
  </r>
  <r>
    <x v="1"/>
    <x v="2"/>
    <x v="2"/>
    <n v="0"/>
    <n v="3"/>
    <n v="3"/>
    <x v="0"/>
    <x v="1"/>
    <x v="1"/>
    <x v="15"/>
  </r>
  <r>
    <x v="0"/>
    <x v="2"/>
    <x v="2"/>
    <n v="0"/>
    <n v="2"/>
    <n v="4"/>
    <x v="2"/>
    <x v="1"/>
    <x v="1"/>
    <x v="30"/>
  </r>
  <r>
    <x v="0"/>
    <x v="2"/>
    <x v="2"/>
    <n v="0"/>
    <n v="5"/>
    <n v="5"/>
    <x v="2"/>
    <x v="1"/>
    <x v="1"/>
    <x v="14"/>
  </r>
  <r>
    <x v="0"/>
    <x v="2"/>
    <x v="2"/>
    <n v="0"/>
    <n v="3"/>
    <n v="4"/>
    <x v="3"/>
    <x v="1"/>
    <x v="1"/>
    <x v="21"/>
  </r>
  <r>
    <x v="1"/>
    <x v="2"/>
    <x v="4"/>
    <n v="1"/>
    <n v="2"/>
    <n v="2"/>
    <x v="1"/>
    <x v="4"/>
    <x v="2"/>
    <x v="5"/>
  </r>
  <r>
    <x v="1"/>
    <x v="2"/>
    <x v="0"/>
    <n v="1"/>
    <n v="3"/>
    <n v="4"/>
    <x v="1"/>
    <x v="0"/>
    <x v="0"/>
    <x v="5"/>
  </r>
  <r>
    <x v="0"/>
    <x v="2"/>
    <x v="5"/>
    <n v="1"/>
    <n v="3"/>
    <n v="3"/>
    <x v="2"/>
    <x v="3"/>
    <x v="4"/>
    <x v="11"/>
  </r>
  <r>
    <x v="1"/>
    <x v="2"/>
    <x v="2"/>
    <n v="0"/>
    <n v="4"/>
    <n v="4"/>
    <x v="2"/>
    <x v="1"/>
    <x v="1"/>
    <x v="2"/>
  </r>
  <r>
    <x v="0"/>
    <x v="2"/>
    <x v="2"/>
    <n v="0"/>
    <n v="4"/>
    <n v="4"/>
    <x v="3"/>
    <x v="1"/>
    <x v="1"/>
    <x v="8"/>
  </r>
  <r>
    <x v="1"/>
    <x v="2"/>
    <x v="1"/>
    <n v="1"/>
    <n v="3"/>
    <n v="4"/>
    <x v="3"/>
    <x v="4"/>
    <x v="2"/>
    <x v="11"/>
  </r>
  <r>
    <x v="1"/>
    <x v="2"/>
    <x v="2"/>
    <n v="0"/>
    <n v="2"/>
    <n v="4"/>
    <x v="2"/>
    <x v="1"/>
    <x v="1"/>
    <x v="8"/>
  </r>
  <r>
    <x v="0"/>
    <x v="2"/>
    <x v="2"/>
    <n v="0"/>
    <n v="4"/>
    <n v="6"/>
    <x v="3"/>
    <x v="1"/>
    <x v="1"/>
    <x v="36"/>
  </r>
  <r>
    <x v="0"/>
    <x v="2"/>
    <x v="2"/>
    <n v="0"/>
    <n v="2"/>
    <n v="3"/>
    <x v="2"/>
    <x v="1"/>
    <x v="1"/>
    <x v="15"/>
  </r>
  <r>
    <x v="1"/>
    <x v="2"/>
    <x v="0"/>
    <n v="1"/>
    <n v="3"/>
    <n v="3"/>
    <x v="3"/>
    <x v="0"/>
    <x v="2"/>
    <x v="3"/>
  </r>
  <r>
    <x v="1"/>
    <x v="2"/>
    <x v="1"/>
    <n v="1"/>
    <n v="4"/>
    <n v="4"/>
    <x v="2"/>
    <x v="0"/>
    <x v="0"/>
    <x v="11"/>
  </r>
  <r>
    <x v="0"/>
    <x v="2"/>
    <x v="2"/>
    <n v="0"/>
    <n v="3"/>
    <n v="4"/>
    <x v="2"/>
    <x v="1"/>
    <x v="1"/>
    <x v="4"/>
  </r>
  <r>
    <x v="1"/>
    <x v="2"/>
    <x v="2"/>
    <n v="0"/>
    <n v="3"/>
    <n v="3"/>
    <x v="2"/>
    <x v="1"/>
    <x v="1"/>
    <x v="15"/>
  </r>
  <r>
    <x v="0"/>
    <x v="2"/>
    <x v="2"/>
    <n v="0"/>
    <n v="3"/>
    <n v="3"/>
    <x v="2"/>
    <x v="1"/>
    <x v="1"/>
    <x v="4"/>
  </r>
  <r>
    <x v="0"/>
    <x v="2"/>
    <x v="1"/>
    <n v="1"/>
    <n v="2"/>
    <n v="2"/>
    <x v="3"/>
    <x v="3"/>
    <x v="4"/>
    <x v="14"/>
  </r>
  <r>
    <x v="0"/>
    <x v="2"/>
    <x v="1"/>
    <n v="1"/>
    <n v="3"/>
    <n v="3"/>
    <x v="2"/>
    <x v="3"/>
    <x v="2"/>
    <x v="23"/>
  </r>
  <r>
    <x v="0"/>
    <x v="2"/>
    <x v="2"/>
    <n v="0"/>
    <n v="2"/>
    <n v="3"/>
    <x v="3"/>
    <x v="1"/>
    <x v="1"/>
    <x v="7"/>
  </r>
  <r>
    <x v="1"/>
    <x v="2"/>
    <x v="2"/>
    <n v="0"/>
    <n v="2"/>
    <n v="4"/>
    <x v="1"/>
    <x v="1"/>
    <x v="1"/>
    <x v="14"/>
  </r>
  <r>
    <x v="1"/>
    <x v="2"/>
    <x v="2"/>
    <n v="0"/>
    <n v="4"/>
    <n v="4"/>
    <x v="1"/>
    <x v="1"/>
    <x v="1"/>
    <x v="15"/>
  </r>
  <r>
    <x v="0"/>
    <x v="2"/>
    <x v="5"/>
    <n v="1"/>
    <n v="3"/>
    <n v="3"/>
    <x v="1"/>
    <x v="2"/>
    <x v="4"/>
    <x v="6"/>
  </r>
  <r>
    <x v="1"/>
    <x v="2"/>
    <x v="1"/>
    <n v="1"/>
    <n v="3"/>
    <n v="3"/>
    <x v="2"/>
    <x v="3"/>
    <x v="0"/>
    <x v="4"/>
  </r>
  <r>
    <x v="1"/>
    <x v="2"/>
    <x v="4"/>
    <n v="1"/>
    <n v="4"/>
    <n v="5"/>
    <x v="1"/>
    <x v="2"/>
    <x v="4"/>
    <x v="21"/>
  </r>
  <r>
    <x v="1"/>
    <x v="2"/>
    <x v="3"/>
    <n v="1"/>
    <n v="2"/>
    <n v="2"/>
    <x v="1"/>
    <x v="0"/>
    <x v="2"/>
    <x v="6"/>
  </r>
  <r>
    <x v="1"/>
    <x v="2"/>
    <x v="2"/>
    <n v="0"/>
    <n v="3"/>
    <n v="1"/>
    <x v="2"/>
    <x v="1"/>
    <x v="1"/>
    <x v="15"/>
  </r>
  <r>
    <x v="0"/>
    <x v="2"/>
    <x v="5"/>
    <n v="1"/>
    <n v="2"/>
    <n v="2"/>
    <x v="1"/>
    <x v="3"/>
    <x v="2"/>
    <x v="14"/>
  </r>
  <r>
    <x v="0"/>
    <x v="2"/>
    <x v="2"/>
    <n v="0"/>
    <n v="3"/>
    <n v="2"/>
    <x v="1"/>
    <x v="1"/>
    <x v="1"/>
    <x v="15"/>
  </r>
  <r>
    <x v="0"/>
    <x v="2"/>
    <x v="2"/>
    <n v="0"/>
    <n v="3"/>
    <n v="5"/>
    <x v="2"/>
    <x v="1"/>
    <x v="1"/>
    <x v="6"/>
  </r>
  <r>
    <x v="0"/>
    <x v="2"/>
    <x v="0"/>
    <n v="1"/>
    <n v="4"/>
    <n v="5"/>
    <x v="1"/>
    <x v="2"/>
    <x v="0"/>
    <x v="11"/>
  </r>
  <r>
    <x v="0"/>
    <x v="2"/>
    <x v="2"/>
    <n v="0"/>
    <n v="2"/>
    <n v="3"/>
    <x v="3"/>
    <x v="1"/>
    <x v="1"/>
    <x v="11"/>
  </r>
  <r>
    <x v="0"/>
    <x v="2"/>
    <x v="2"/>
    <n v="0"/>
    <n v="3"/>
    <n v="4"/>
    <x v="2"/>
    <x v="1"/>
    <x v="1"/>
    <x v="36"/>
  </r>
  <r>
    <x v="1"/>
    <x v="2"/>
    <x v="4"/>
    <n v="1"/>
    <n v="2"/>
    <n v="2"/>
    <x v="2"/>
    <x v="4"/>
    <x v="5"/>
    <x v="5"/>
  </r>
  <r>
    <x v="0"/>
    <x v="2"/>
    <x v="2"/>
    <n v="0"/>
    <n v="3"/>
    <n v="2"/>
    <x v="2"/>
    <x v="1"/>
    <x v="1"/>
    <x v="59"/>
  </r>
  <r>
    <x v="0"/>
    <x v="2"/>
    <x v="2"/>
    <n v="0"/>
    <n v="2"/>
    <n v="2"/>
    <x v="1"/>
    <x v="1"/>
    <x v="1"/>
    <x v="5"/>
  </r>
  <r>
    <x v="0"/>
    <x v="2"/>
    <x v="3"/>
    <n v="1"/>
    <n v="4"/>
    <n v="4"/>
    <x v="2"/>
    <x v="0"/>
    <x v="2"/>
    <x v="7"/>
  </r>
  <r>
    <x v="0"/>
    <x v="2"/>
    <x v="1"/>
    <n v="1"/>
    <n v="3"/>
    <n v="4"/>
    <x v="1"/>
    <x v="2"/>
    <x v="2"/>
    <x v="5"/>
  </r>
  <r>
    <x v="0"/>
    <x v="2"/>
    <x v="0"/>
    <n v="1"/>
    <n v="4"/>
    <n v="2"/>
    <x v="1"/>
    <x v="0"/>
    <x v="0"/>
    <x v="6"/>
  </r>
  <r>
    <x v="0"/>
    <x v="2"/>
    <x v="1"/>
    <n v="1"/>
    <n v="4"/>
    <n v="4"/>
    <x v="2"/>
    <x v="0"/>
    <x v="4"/>
    <x v="20"/>
  </r>
  <r>
    <x v="0"/>
    <x v="2"/>
    <x v="0"/>
    <n v="1"/>
    <n v="1"/>
    <n v="3"/>
    <x v="1"/>
    <x v="0"/>
    <x v="0"/>
    <x v="15"/>
  </r>
  <r>
    <x v="0"/>
    <x v="2"/>
    <x v="1"/>
    <n v="1"/>
    <n v="4"/>
    <n v="5"/>
    <x v="2"/>
    <x v="2"/>
    <x v="2"/>
    <x v="14"/>
  </r>
  <r>
    <x v="1"/>
    <x v="2"/>
    <x v="3"/>
    <n v="1"/>
    <n v="1"/>
    <n v="3"/>
    <x v="2"/>
    <x v="0"/>
    <x v="2"/>
    <x v="15"/>
  </r>
  <r>
    <x v="1"/>
    <x v="2"/>
    <x v="5"/>
    <n v="1"/>
    <n v="3"/>
    <n v="5"/>
    <x v="3"/>
    <x v="0"/>
    <x v="4"/>
    <x v="15"/>
  </r>
  <r>
    <x v="1"/>
    <x v="2"/>
    <x v="1"/>
    <n v="1"/>
    <n v="5"/>
    <n v="4"/>
    <x v="2"/>
    <x v="2"/>
    <x v="0"/>
    <x v="11"/>
  </r>
  <r>
    <x v="0"/>
    <x v="2"/>
    <x v="3"/>
    <n v="1"/>
    <n v="2"/>
    <n v="1"/>
    <x v="1"/>
    <x v="0"/>
    <x v="0"/>
    <x v="14"/>
  </r>
  <r>
    <x v="0"/>
    <x v="2"/>
    <x v="3"/>
    <n v="1"/>
    <n v="4"/>
    <n v="4"/>
    <x v="2"/>
    <x v="3"/>
    <x v="0"/>
    <x v="8"/>
  </r>
  <r>
    <x v="1"/>
    <x v="2"/>
    <x v="0"/>
    <n v="1"/>
    <n v="4"/>
    <n v="5"/>
    <x v="2"/>
    <x v="3"/>
    <x v="0"/>
    <x v="8"/>
  </r>
  <r>
    <x v="1"/>
    <x v="2"/>
    <x v="5"/>
    <n v="1"/>
    <n v="4"/>
    <n v="3"/>
    <x v="1"/>
    <x v="0"/>
    <x v="2"/>
    <x v="14"/>
  </r>
  <r>
    <x v="0"/>
    <x v="2"/>
    <x v="0"/>
    <n v="1"/>
    <n v="2"/>
    <n v="3"/>
    <x v="2"/>
    <x v="0"/>
    <x v="0"/>
    <x v="15"/>
  </r>
  <r>
    <x v="1"/>
    <x v="2"/>
    <x v="4"/>
    <n v="1"/>
    <n v="3"/>
    <n v="5"/>
    <x v="2"/>
    <x v="4"/>
    <x v="4"/>
    <x v="21"/>
  </r>
  <r>
    <x v="0"/>
    <x v="2"/>
    <x v="1"/>
    <n v="1"/>
    <n v="4"/>
    <n v="4"/>
    <x v="2"/>
    <x v="3"/>
    <x v="0"/>
    <x v="2"/>
  </r>
  <r>
    <x v="1"/>
    <x v="2"/>
    <x v="1"/>
    <n v="1"/>
    <n v="1"/>
    <n v="4"/>
    <x v="1"/>
    <x v="0"/>
    <x v="0"/>
    <x v="15"/>
  </r>
  <r>
    <x v="1"/>
    <x v="2"/>
    <x v="2"/>
    <n v="0"/>
    <n v="2"/>
    <n v="2"/>
    <x v="1"/>
    <x v="1"/>
    <x v="1"/>
    <x v="60"/>
  </r>
  <r>
    <x v="1"/>
    <x v="2"/>
    <x v="2"/>
    <n v="0"/>
    <n v="1"/>
    <n v="3"/>
    <x v="2"/>
    <x v="1"/>
    <x v="1"/>
    <x v="11"/>
  </r>
  <r>
    <x v="0"/>
    <x v="2"/>
    <x v="1"/>
    <n v="1"/>
    <n v="3"/>
    <n v="3"/>
    <x v="1"/>
    <x v="0"/>
    <x v="0"/>
    <x v="61"/>
  </r>
  <r>
    <x v="0"/>
    <x v="2"/>
    <x v="3"/>
    <n v="1"/>
    <n v="2"/>
    <n v="4"/>
    <x v="2"/>
    <x v="0"/>
    <x v="0"/>
    <x v="8"/>
  </r>
  <r>
    <x v="0"/>
    <x v="2"/>
    <x v="3"/>
    <n v="1"/>
    <n v="3"/>
    <n v="3"/>
    <x v="2"/>
    <x v="0"/>
    <x v="2"/>
    <x v="2"/>
  </r>
  <r>
    <x v="1"/>
    <x v="2"/>
    <x v="5"/>
    <n v="1"/>
    <n v="3"/>
    <n v="3"/>
    <x v="1"/>
    <x v="2"/>
    <x v="4"/>
    <x v="11"/>
  </r>
  <r>
    <x v="1"/>
    <x v="2"/>
    <x v="3"/>
    <n v="1"/>
    <n v="3"/>
    <n v="2"/>
    <x v="2"/>
    <x v="0"/>
    <x v="0"/>
    <x v="21"/>
  </r>
  <r>
    <x v="1"/>
    <x v="2"/>
    <x v="1"/>
    <n v="1"/>
    <n v="2"/>
    <n v="2"/>
    <x v="2"/>
    <x v="4"/>
    <x v="4"/>
    <x v="21"/>
  </r>
  <r>
    <x v="1"/>
    <x v="3"/>
    <x v="3"/>
    <n v="1"/>
    <n v="6"/>
    <n v="5"/>
    <x v="3"/>
    <x v="2"/>
    <x v="2"/>
    <x v="8"/>
  </r>
  <r>
    <x v="0"/>
    <x v="3"/>
    <x v="2"/>
    <n v="0"/>
    <n v="4"/>
    <n v="3"/>
    <x v="2"/>
    <x v="1"/>
    <x v="1"/>
    <x v="14"/>
  </r>
  <r>
    <x v="0"/>
    <x v="3"/>
    <x v="2"/>
    <n v="0"/>
    <n v="3"/>
    <n v="4"/>
    <x v="2"/>
    <x v="1"/>
    <x v="1"/>
    <x v="4"/>
  </r>
  <r>
    <x v="0"/>
    <x v="3"/>
    <x v="2"/>
    <n v="0"/>
    <n v="2"/>
    <n v="2"/>
    <x v="2"/>
    <x v="1"/>
    <x v="1"/>
    <x v="0"/>
  </r>
  <r>
    <x v="1"/>
    <x v="3"/>
    <x v="1"/>
    <n v="1"/>
    <n v="4"/>
    <n v="4"/>
    <x v="0"/>
    <x v="4"/>
    <x v="4"/>
    <x v="2"/>
  </r>
  <r>
    <x v="1"/>
    <x v="3"/>
    <x v="2"/>
    <n v="0"/>
    <n v="3"/>
    <n v="3"/>
    <x v="1"/>
    <x v="1"/>
    <x v="1"/>
    <x v="6"/>
  </r>
  <r>
    <x v="0"/>
    <x v="3"/>
    <x v="0"/>
    <n v="1"/>
    <n v="2"/>
    <n v="2"/>
    <x v="1"/>
    <x v="0"/>
    <x v="2"/>
    <x v="62"/>
  </r>
  <r>
    <x v="0"/>
    <x v="3"/>
    <x v="2"/>
    <n v="0"/>
    <n v="3"/>
    <n v="5"/>
    <x v="2"/>
    <x v="1"/>
    <x v="1"/>
    <x v="2"/>
  </r>
  <r>
    <x v="0"/>
    <x v="3"/>
    <x v="2"/>
    <n v="0"/>
    <n v="5"/>
    <n v="4"/>
    <x v="3"/>
    <x v="1"/>
    <x v="1"/>
    <x v="2"/>
  </r>
  <r>
    <x v="0"/>
    <x v="3"/>
    <x v="2"/>
    <n v="0"/>
    <n v="4"/>
    <n v="3"/>
    <x v="2"/>
    <x v="1"/>
    <x v="1"/>
    <x v="14"/>
  </r>
  <r>
    <x v="0"/>
    <x v="3"/>
    <x v="2"/>
    <n v="0"/>
    <n v="4"/>
    <n v="4"/>
    <x v="2"/>
    <x v="1"/>
    <x v="1"/>
    <x v="38"/>
  </r>
  <r>
    <x v="0"/>
    <x v="3"/>
    <x v="2"/>
    <n v="0"/>
    <n v="2"/>
    <n v="3"/>
    <x v="3"/>
    <x v="1"/>
    <x v="1"/>
    <x v="2"/>
  </r>
  <r>
    <x v="1"/>
    <x v="3"/>
    <x v="2"/>
    <n v="0"/>
    <n v="3"/>
    <n v="3"/>
    <x v="1"/>
    <x v="1"/>
    <x v="1"/>
    <x v="14"/>
  </r>
  <r>
    <x v="1"/>
    <x v="3"/>
    <x v="5"/>
    <n v="1"/>
    <n v="4"/>
    <n v="3"/>
    <x v="0"/>
    <x v="0"/>
    <x v="0"/>
    <x v="21"/>
  </r>
  <r>
    <x v="0"/>
    <x v="3"/>
    <x v="2"/>
    <n v="0"/>
    <n v="4"/>
    <n v="5"/>
    <x v="3"/>
    <x v="1"/>
    <x v="1"/>
    <x v="13"/>
  </r>
  <r>
    <x v="0"/>
    <x v="3"/>
    <x v="2"/>
    <n v="0"/>
    <n v="2"/>
    <n v="3"/>
    <x v="1"/>
    <x v="1"/>
    <x v="1"/>
    <x v="14"/>
  </r>
  <r>
    <x v="0"/>
    <x v="3"/>
    <x v="2"/>
    <n v="0"/>
    <n v="5"/>
    <n v="4"/>
    <x v="1"/>
    <x v="1"/>
    <x v="1"/>
    <x v="4"/>
  </r>
  <r>
    <x v="1"/>
    <x v="3"/>
    <x v="0"/>
    <n v="1"/>
    <n v="4"/>
    <n v="4"/>
    <x v="2"/>
    <x v="2"/>
    <x v="2"/>
    <x v="4"/>
  </r>
  <r>
    <x v="1"/>
    <x v="3"/>
    <x v="5"/>
    <n v="1"/>
    <n v="5"/>
    <n v="6"/>
    <x v="2"/>
    <x v="3"/>
    <x v="2"/>
    <x v="21"/>
  </r>
  <r>
    <x v="1"/>
    <x v="3"/>
    <x v="4"/>
    <n v="1"/>
    <n v="4"/>
    <n v="4"/>
    <x v="3"/>
    <x v="4"/>
    <x v="5"/>
    <x v="12"/>
  </r>
  <r>
    <x v="1"/>
    <x v="3"/>
    <x v="0"/>
    <n v="1"/>
    <n v="3"/>
    <n v="4"/>
    <x v="3"/>
    <x v="4"/>
    <x v="0"/>
    <x v="18"/>
  </r>
  <r>
    <x v="1"/>
    <x v="3"/>
    <x v="4"/>
    <n v="1"/>
    <n v="5"/>
    <n v="5"/>
    <x v="2"/>
    <x v="4"/>
    <x v="0"/>
    <x v="13"/>
  </r>
  <r>
    <x v="1"/>
    <x v="3"/>
    <x v="4"/>
    <n v="1"/>
    <n v="4"/>
    <n v="2"/>
    <x v="2"/>
    <x v="3"/>
    <x v="2"/>
    <x v="63"/>
  </r>
  <r>
    <x v="0"/>
    <x v="3"/>
    <x v="1"/>
    <n v="1"/>
    <n v="4"/>
    <n v="4"/>
    <x v="2"/>
    <x v="4"/>
    <x v="4"/>
    <x v="14"/>
  </r>
  <r>
    <x v="1"/>
    <x v="3"/>
    <x v="4"/>
    <n v="1"/>
    <n v="4"/>
    <n v="4"/>
    <x v="1"/>
    <x v="0"/>
    <x v="4"/>
    <x v="11"/>
  </r>
  <r>
    <x v="1"/>
    <x v="3"/>
    <x v="3"/>
    <n v="1"/>
    <n v="2"/>
    <n v="3"/>
    <x v="2"/>
    <x v="2"/>
    <x v="3"/>
    <x v="6"/>
  </r>
  <r>
    <x v="1"/>
    <x v="3"/>
    <x v="4"/>
    <n v="1"/>
    <n v="3"/>
    <n v="3"/>
    <x v="0"/>
    <x v="2"/>
    <x v="3"/>
    <x v="14"/>
  </r>
  <r>
    <x v="1"/>
    <x v="3"/>
    <x v="0"/>
    <n v="1"/>
    <n v="2"/>
    <n v="2"/>
    <x v="1"/>
    <x v="0"/>
    <x v="2"/>
    <x v="64"/>
  </r>
  <r>
    <x v="1"/>
    <x v="3"/>
    <x v="0"/>
    <n v="1"/>
    <n v="5"/>
    <n v="5"/>
    <x v="2"/>
    <x v="0"/>
    <x v="0"/>
    <x v="46"/>
  </r>
  <r>
    <x v="1"/>
    <x v="3"/>
    <x v="0"/>
    <n v="1"/>
    <n v="3"/>
    <n v="5"/>
    <x v="3"/>
    <x v="0"/>
    <x v="4"/>
    <x v="65"/>
  </r>
  <r>
    <x v="1"/>
    <x v="3"/>
    <x v="5"/>
    <n v="1"/>
    <n v="4"/>
    <n v="4"/>
    <x v="2"/>
    <x v="0"/>
    <x v="0"/>
    <x v="34"/>
  </r>
  <r>
    <x v="1"/>
    <x v="3"/>
    <x v="4"/>
    <n v="1"/>
    <n v="4"/>
    <n v="3"/>
    <x v="3"/>
    <x v="4"/>
    <x v="2"/>
    <x v="6"/>
  </r>
  <r>
    <x v="1"/>
    <x v="3"/>
    <x v="1"/>
    <n v="1"/>
    <n v="3"/>
    <n v="3"/>
    <x v="1"/>
    <x v="4"/>
    <x v="4"/>
    <x v="14"/>
  </r>
  <r>
    <x v="0"/>
    <x v="3"/>
    <x v="0"/>
    <n v="1"/>
    <n v="3"/>
    <n v="3"/>
    <x v="1"/>
    <x v="3"/>
    <x v="2"/>
    <x v="6"/>
  </r>
  <r>
    <x v="1"/>
    <x v="3"/>
    <x v="4"/>
    <n v="1"/>
    <n v="4"/>
    <n v="3"/>
    <x v="2"/>
    <x v="4"/>
    <x v="5"/>
    <x v="8"/>
  </r>
  <r>
    <x v="0"/>
    <x v="3"/>
    <x v="2"/>
    <n v="0"/>
    <n v="2"/>
    <n v="4"/>
    <x v="1"/>
    <x v="1"/>
    <x v="1"/>
    <x v="11"/>
  </r>
  <r>
    <x v="1"/>
    <x v="3"/>
    <x v="4"/>
    <n v="1"/>
    <n v="4"/>
    <n v="4"/>
    <x v="2"/>
    <x v="0"/>
    <x v="2"/>
    <x v="11"/>
  </r>
  <r>
    <x v="1"/>
    <x v="3"/>
    <x v="3"/>
    <n v="1"/>
    <n v="4"/>
    <n v="6"/>
    <x v="3"/>
    <x v="2"/>
    <x v="2"/>
    <x v="66"/>
  </r>
  <r>
    <x v="0"/>
    <x v="3"/>
    <x v="3"/>
    <n v="1"/>
    <n v="2"/>
    <n v="2"/>
    <x v="1"/>
    <x v="0"/>
    <x v="2"/>
    <x v="21"/>
  </r>
  <r>
    <x v="1"/>
    <x v="3"/>
    <x v="3"/>
    <n v="1"/>
    <n v="5"/>
    <n v="6"/>
    <x v="3"/>
    <x v="3"/>
    <x v="4"/>
    <x v="18"/>
  </r>
  <r>
    <x v="1"/>
    <x v="3"/>
    <x v="4"/>
    <n v="1"/>
    <n v="4"/>
    <n v="5"/>
    <x v="0"/>
    <x v="4"/>
    <x v="3"/>
    <x v="67"/>
  </r>
  <r>
    <x v="0"/>
    <x v="3"/>
    <x v="3"/>
    <n v="1"/>
    <n v="5"/>
    <n v="4"/>
    <x v="3"/>
    <x v="0"/>
    <x v="0"/>
    <x v="21"/>
  </r>
  <r>
    <x v="0"/>
    <x v="3"/>
    <x v="0"/>
    <n v="1"/>
    <n v="4"/>
    <n v="4"/>
    <x v="3"/>
    <x v="3"/>
    <x v="0"/>
    <x v="14"/>
  </r>
  <r>
    <x v="1"/>
    <x v="3"/>
    <x v="3"/>
    <n v="1"/>
    <n v="1"/>
    <n v="3"/>
    <x v="1"/>
    <x v="0"/>
    <x v="0"/>
    <x v="68"/>
  </r>
  <r>
    <x v="1"/>
    <x v="3"/>
    <x v="4"/>
    <n v="1"/>
    <n v="3"/>
    <n v="5"/>
    <x v="2"/>
    <x v="4"/>
    <x v="3"/>
    <x v="14"/>
  </r>
  <r>
    <x v="0"/>
    <x v="3"/>
    <x v="1"/>
    <n v="1"/>
    <n v="4"/>
    <n v="3"/>
    <x v="1"/>
    <x v="0"/>
    <x v="2"/>
    <x v="61"/>
  </r>
  <r>
    <x v="0"/>
    <x v="3"/>
    <x v="3"/>
    <n v="1"/>
    <n v="4"/>
    <n v="5"/>
    <x v="3"/>
    <x v="0"/>
    <x v="0"/>
    <x v="69"/>
  </r>
  <r>
    <x v="0"/>
    <x v="3"/>
    <x v="3"/>
    <n v="1"/>
    <n v="3"/>
    <n v="2"/>
    <x v="2"/>
    <x v="4"/>
    <x v="0"/>
    <x v="23"/>
  </r>
  <r>
    <x v="1"/>
    <x v="3"/>
    <x v="3"/>
    <n v="1"/>
    <n v="4"/>
    <n v="4"/>
    <x v="2"/>
    <x v="4"/>
    <x v="3"/>
    <x v="7"/>
  </r>
  <r>
    <x v="0"/>
    <x v="3"/>
    <x v="3"/>
    <n v="1"/>
    <n v="3"/>
    <n v="4"/>
    <x v="2"/>
    <x v="0"/>
    <x v="0"/>
    <x v="8"/>
  </r>
  <r>
    <x v="0"/>
    <x v="3"/>
    <x v="2"/>
    <n v="0"/>
    <n v="5"/>
    <n v="4"/>
    <x v="2"/>
    <x v="1"/>
    <x v="1"/>
    <x v="8"/>
  </r>
  <r>
    <x v="0"/>
    <x v="3"/>
    <x v="1"/>
    <n v="1"/>
    <n v="2"/>
    <n v="5"/>
    <x v="1"/>
    <x v="0"/>
    <x v="2"/>
    <x v="11"/>
  </r>
  <r>
    <x v="1"/>
    <x v="3"/>
    <x v="3"/>
    <n v="1"/>
    <n v="4"/>
    <n v="5"/>
    <x v="2"/>
    <x v="0"/>
    <x v="4"/>
    <x v="38"/>
  </r>
  <r>
    <x v="1"/>
    <x v="3"/>
    <x v="4"/>
    <n v="1"/>
    <n v="3"/>
    <n v="5"/>
    <x v="3"/>
    <x v="2"/>
    <x v="2"/>
    <x v="10"/>
  </r>
  <r>
    <x v="1"/>
    <x v="3"/>
    <x v="4"/>
    <n v="1"/>
    <n v="4"/>
    <n v="3"/>
    <x v="2"/>
    <x v="4"/>
    <x v="4"/>
    <x v="21"/>
  </r>
  <r>
    <x v="0"/>
    <x v="3"/>
    <x v="4"/>
    <n v="1"/>
    <n v="4"/>
    <n v="3"/>
    <x v="2"/>
    <x v="3"/>
    <x v="2"/>
    <x v="6"/>
  </r>
  <r>
    <x v="0"/>
    <x v="3"/>
    <x v="1"/>
    <n v="1"/>
    <n v="5"/>
    <n v="4"/>
    <x v="3"/>
    <x v="3"/>
    <x v="0"/>
    <x v="12"/>
  </r>
  <r>
    <x v="0"/>
    <x v="3"/>
    <x v="3"/>
    <n v="1"/>
    <n v="4"/>
    <n v="4"/>
    <x v="2"/>
    <x v="0"/>
    <x v="0"/>
    <x v="10"/>
  </r>
  <r>
    <x v="1"/>
    <x v="3"/>
    <x v="3"/>
    <n v="1"/>
    <n v="5"/>
    <n v="5"/>
    <x v="3"/>
    <x v="4"/>
    <x v="4"/>
    <x v="44"/>
  </r>
  <r>
    <x v="1"/>
    <x v="3"/>
    <x v="3"/>
    <n v="1"/>
    <n v="4"/>
    <n v="4"/>
    <x v="3"/>
    <x v="3"/>
    <x v="2"/>
    <x v="5"/>
  </r>
  <r>
    <x v="0"/>
    <x v="3"/>
    <x v="3"/>
    <n v="1"/>
    <n v="4"/>
    <n v="5"/>
    <x v="3"/>
    <x v="3"/>
    <x v="0"/>
    <x v="70"/>
  </r>
  <r>
    <x v="1"/>
    <x v="3"/>
    <x v="3"/>
    <n v="1"/>
    <n v="3"/>
    <n v="3"/>
    <x v="3"/>
    <x v="0"/>
    <x v="0"/>
    <x v="8"/>
  </r>
  <r>
    <x v="1"/>
    <x v="3"/>
    <x v="1"/>
    <n v="1"/>
    <n v="2"/>
    <n v="4"/>
    <x v="3"/>
    <x v="2"/>
    <x v="2"/>
    <x v="71"/>
  </r>
  <r>
    <x v="1"/>
    <x v="3"/>
    <x v="3"/>
    <n v="1"/>
    <n v="4"/>
    <n v="4"/>
    <x v="2"/>
    <x v="3"/>
    <x v="2"/>
    <x v="21"/>
  </r>
  <r>
    <x v="1"/>
    <x v="3"/>
    <x v="3"/>
    <n v="1"/>
    <n v="6"/>
    <n v="6"/>
    <x v="3"/>
    <x v="0"/>
    <x v="2"/>
    <x v="65"/>
  </r>
  <r>
    <x v="1"/>
    <x v="3"/>
    <x v="3"/>
    <n v="1"/>
    <n v="4"/>
    <n v="3"/>
    <x v="2"/>
    <x v="4"/>
    <x v="2"/>
    <x v="27"/>
  </r>
  <r>
    <x v="1"/>
    <x v="3"/>
    <x v="1"/>
    <n v="1"/>
    <n v="3"/>
    <n v="5"/>
    <x v="2"/>
    <x v="0"/>
    <x v="2"/>
    <x v="27"/>
  </r>
  <r>
    <x v="1"/>
    <x v="3"/>
    <x v="4"/>
    <n v="1"/>
    <n v="5"/>
    <n v="5"/>
    <x v="2"/>
    <x v="2"/>
    <x v="5"/>
    <x v="2"/>
  </r>
  <r>
    <x v="1"/>
    <x v="3"/>
    <x v="4"/>
    <n v="1"/>
    <n v="4"/>
    <n v="4"/>
    <x v="2"/>
    <x v="4"/>
    <x v="5"/>
    <x v="11"/>
  </r>
  <r>
    <x v="0"/>
    <x v="3"/>
    <x v="2"/>
    <n v="0"/>
    <n v="4"/>
    <n v="4"/>
    <x v="1"/>
    <x v="1"/>
    <x v="1"/>
    <x v="37"/>
  </r>
  <r>
    <x v="1"/>
    <x v="3"/>
    <x v="3"/>
    <n v="1"/>
    <n v="4"/>
    <n v="4"/>
    <x v="2"/>
    <x v="0"/>
    <x v="0"/>
    <x v="72"/>
  </r>
  <r>
    <x v="0"/>
    <x v="3"/>
    <x v="5"/>
    <n v="1"/>
    <n v="4"/>
    <n v="4"/>
    <x v="2"/>
    <x v="3"/>
    <x v="2"/>
    <x v="11"/>
  </r>
  <r>
    <x v="0"/>
    <x v="3"/>
    <x v="2"/>
    <n v="0"/>
    <n v="3"/>
    <n v="3"/>
    <x v="1"/>
    <x v="1"/>
    <x v="1"/>
    <x v="5"/>
  </r>
  <r>
    <x v="1"/>
    <x v="3"/>
    <x v="5"/>
    <n v="1"/>
    <n v="4"/>
    <n v="5"/>
    <x v="3"/>
    <x v="2"/>
    <x v="2"/>
    <x v="21"/>
  </r>
  <r>
    <x v="0"/>
    <x v="3"/>
    <x v="2"/>
    <n v="0"/>
    <n v="4"/>
    <n v="5"/>
    <x v="3"/>
    <x v="1"/>
    <x v="1"/>
    <x v="36"/>
  </r>
  <r>
    <x v="1"/>
    <x v="3"/>
    <x v="4"/>
    <n v="1"/>
    <n v="4"/>
    <n v="5"/>
    <x v="3"/>
    <x v="2"/>
    <x v="2"/>
    <x v="73"/>
  </r>
  <r>
    <x v="0"/>
    <x v="3"/>
    <x v="2"/>
    <n v="0"/>
    <n v="4"/>
    <n v="4"/>
    <x v="2"/>
    <x v="1"/>
    <x v="1"/>
    <x v="4"/>
  </r>
  <r>
    <x v="1"/>
    <x v="3"/>
    <x v="1"/>
    <n v="1"/>
    <n v="4"/>
    <n v="3"/>
    <x v="0"/>
    <x v="4"/>
    <x v="0"/>
    <x v="2"/>
  </r>
  <r>
    <x v="0"/>
    <x v="3"/>
    <x v="1"/>
    <n v="1"/>
    <n v="4"/>
    <n v="2"/>
    <x v="1"/>
    <x v="0"/>
    <x v="2"/>
    <x v="37"/>
  </r>
  <r>
    <x v="1"/>
    <x v="3"/>
    <x v="4"/>
    <n v="1"/>
    <n v="5"/>
    <n v="5"/>
    <x v="2"/>
    <x v="2"/>
    <x v="0"/>
    <x v="37"/>
  </r>
  <r>
    <x v="1"/>
    <x v="3"/>
    <x v="4"/>
    <n v="1"/>
    <n v="3"/>
    <n v="3"/>
    <x v="2"/>
    <x v="0"/>
    <x v="2"/>
    <x v="34"/>
  </r>
  <r>
    <x v="0"/>
    <x v="3"/>
    <x v="3"/>
    <n v="1"/>
    <n v="4"/>
    <n v="2"/>
    <x v="2"/>
    <x v="3"/>
    <x v="5"/>
    <x v="2"/>
  </r>
  <r>
    <x v="0"/>
    <x v="3"/>
    <x v="2"/>
    <n v="0"/>
    <n v="2"/>
    <n v="4"/>
    <x v="3"/>
    <x v="1"/>
    <x v="1"/>
    <x v="21"/>
  </r>
  <r>
    <x v="0"/>
    <x v="3"/>
    <x v="1"/>
    <n v="1"/>
    <n v="4"/>
    <n v="5"/>
    <x v="3"/>
    <x v="0"/>
    <x v="2"/>
    <x v="30"/>
  </r>
  <r>
    <x v="1"/>
    <x v="3"/>
    <x v="1"/>
    <n v="1"/>
    <n v="2"/>
    <n v="2"/>
    <x v="3"/>
    <x v="2"/>
    <x v="2"/>
    <x v="7"/>
  </r>
  <r>
    <x v="1"/>
    <x v="3"/>
    <x v="4"/>
    <n v="1"/>
    <n v="4"/>
    <n v="4"/>
    <x v="2"/>
    <x v="0"/>
    <x v="4"/>
    <x v="74"/>
  </r>
  <r>
    <x v="0"/>
    <x v="3"/>
    <x v="1"/>
    <n v="1"/>
    <n v="3"/>
    <n v="3"/>
    <x v="2"/>
    <x v="0"/>
    <x v="0"/>
    <x v="75"/>
  </r>
  <r>
    <x v="0"/>
    <x v="3"/>
    <x v="2"/>
    <n v="0"/>
    <n v="4"/>
    <n v="4"/>
    <x v="0"/>
    <x v="1"/>
    <x v="1"/>
    <x v="46"/>
  </r>
  <r>
    <x v="0"/>
    <x v="3"/>
    <x v="2"/>
    <n v="0"/>
    <n v="4"/>
    <n v="4"/>
    <x v="1"/>
    <x v="1"/>
    <x v="1"/>
    <x v="14"/>
  </r>
  <r>
    <x v="1"/>
    <x v="3"/>
    <x v="4"/>
    <n v="1"/>
    <n v="2"/>
    <n v="4"/>
    <x v="2"/>
    <x v="2"/>
    <x v="4"/>
    <x v="6"/>
  </r>
  <r>
    <x v="1"/>
    <x v="3"/>
    <x v="5"/>
    <n v="1"/>
    <n v="3"/>
    <n v="5"/>
    <x v="2"/>
    <x v="0"/>
    <x v="0"/>
    <x v="64"/>
  </r>
  <r>
    <x v="1"/>
    <x v="3"/>
    <x v="3"/>
    <n v="1"/>
    <n v="4"/>
    <n v="5"/>
    <x v="2"/>
    <x v="0"/>
    <x v="2"/>
    <x v="2"/>
  </r>
  <r>
    <x v="0"/>
    <x v="3"/>
    <x v="2"/>
    <n v="0"/>
    <n v="4"/>
    <n v="4"/>
    <x v="3"/>
    <x v="1"/>
    <x v="1"/>
    <x v="76"/>
  </r>
  <r>
    <x v="0"/>
    <x v="3"/>
    <x v="2"/>
    <n v="0"/>
    <n v="4"/>
    <n v="4"/>
    <x v="2"/>
    <x v="1"/>
    <x v="1"/>
    <x v="21"/>
  </r>
  <r>
    <x v="0"/>
    <x v="3"/>
    <x v="2"/>
    <n v="0"/>
    <n v="4"/>
    <n v="4"/>
    <x v="2"/>
    <x v="1"/>
    <x v="1"/>
    <x v="26"/>
  </r>
  <r>
    <x v="1"/>
    <x v="3"/>
    <x v="5"/>
    <n v="1"/>
    <n v="3"/>
    <n v="3"/>
    <x v="3"/>
    <x v="4"/>
    <x v="2"/>
    <x v="4"/>
  </r>
  <r>
    <x v="0"/>
    <x v="3"/>
    <x v="3"/>
    <n v="1"/>
    <n v="4"/>
    <n v="6"/>
    <x v="2"/>
    <x v="0"/>
    <x v="0"/>
    <x v="8"/>
  </r>
  <r>
    <x v="0"/>
    <x v="3"/>
    <x v="0"/>
    <n v="1"/>
    <n v="3"/>
    <n v="4"/>
    <x v="1"/>
    <x v="3"/>
    <x v="0"/>
    <x v="4"/>
  </r>
  <r>
    <x v="0"/>
    <x v="3"/>
    <x v="2"/>
    <n v="0"/>
    <n v="2"/>
    <n v="3"/>
    <x v="1"/>
    <x v="1"/>
    <x v="1"/>
    <x v="14"/>
  </r>
  <r>
    <x v="1"/>
    <x v="3"/>
    <x v="1"/>
    <n v="1"/>
    <n v="1"/>
    <n v="3"/>
    <x v="2"/>
    <x v="3"/>
    <x v="2"/>
    <x v="77"/>
  </r>
  <r>
    <x v="0"/>
    <x v="3"/>
    <x v="2"/>
    <n v="0"/>
    <n v="3"/>
    <n v="5"/>
    <x v="2"/>
    <x v="1"/>
    <x v="1"/>
    <x v="4"/>
  </r>
  <r>
    <x v="1"/>
    <x v="3"/>
    <x v="1"/>
    <n v="1"/>
    <n v="4"/>
    <n v="4"/>
    <x v="2"/>
    <x v="0"/>
    <x v="4"/>
    <x v="4"/>
  </r>
  <r>
    <x v="0"/>
    <x v="3"/>
    <x v="3"/>
    <n v="1"/>
    <n v="3"/>
    <n v="3"/>
    <x v="2"/>
    <x v="3"/>
    <x v="2"/>
    <x v="15"/>
  </r>
  <r>
    <x v="0"/>
    <x v="3"/>
    <x v="4"/>
    <n v="1"/>
    <n v="3"/>
    <n v="3"/>
    <x v="2"/>
    <x v="3"/>
    <x v="4"/>
    <x v="14"/>
  </r>
  <r>
    <x v="0"/>
    <x v="3"/>
    <x v="1"/>
    <n v="1"/>
    <n v="5"/>
    <n v="4"/>
    <x v="3"/>
    <x v="3"/>
    <x v="0"/>
    <x v="21"/>
  </r>
  <r>
    <x v="1"/>
    <x v="3"/>
    <x v="1"/>
    <n v="1"/>
    <n v="3"/>
    <n v="2"/>
    <x v="2"/>
    <x v="0"/>
    <x v="2"/>
    <x v="5"/>
  </r>
  <r>
    <x v="1"/>
    <x v="3"/>
    <x v="4"/>
    <n v="1"/>
    <n v="5"/>
    <n v="5"/>
    <x v="3"/>
    <x v="0"/>
    <x v="2"/>
    <x v="30"/>
  </r>
  <r>
    <x v="1"/>
    <x v="3"/>
    <x v="3"/>
    <n v="1"/>
    <n v="4"/>
    <n v="4"/>
    <x v="0"/>
    <x v="4"/>
    <x v="5"/>
    <x v="10"/>
  </r>
  <r>
    <x v="1"/>
    <x v="3"/>
    <x v="3"/>
    <n v="1"/>
    <n v="5"/>
    <n v="5"/>
    <x v="0"/>
    <x v="2"/>
    <x v="2"/>
    <x v="10"/>
  </r>
  <r>
    <x v="1"/>
    <x v="3"/>
    <x v="2"/>
    <n v="0"/>
    <n v="4"/>
    <n v="5"/>
    <x v="2"/>
    <x v="1"/>
    <x v="1"/>
    <x v="78"/>
  </r>
  <r>
    <x v="1"/>
    <x v="3"/>
    <x v="1"/>
    <n v="1"/>
    <n v="4"/>
    <n v="5"/>
    <x v="1"/>
    <x v="4"/>
    <x v="4"/>
    <x v="4"/>
  </r>
  <r>
    <x v="1"/>
    <x v="3"/>
    <x v="4"/>
    <n v="1"/>
    <n v="3"/>
    <n v="4"/>
    <x v="2"/>
    <x v="4"/>
    <x v="4"/>
    <x v="15"/>
  </r>
  <r>
    <x v="1"/>
    <x v="3"/>
    <x v="1"/>
    <n v="1"/>
    <n v="4"/>
    <n v="4"/>
    <x v="3"/>
    <x v="0"/>
    <x v="4"/>
    <x v="3"/>
  </r>
  <r>
    <x v="0"/>
    <x v="3"/>
    <x v="2"/>
    <n v="0"/>
    <n v="5"/>
    <n v="4"/>
    <x v="2"/>
    <x v="1"/>
    <x v="1"/>
    <x v="79"/>
  </r>
  <r>
    <x v="1"/>
    <x v="3"/>
    <x v="3"/>
    <n v="1"/>
    <n v="4"/>
    <n v="3"/>
    <x v="2"/>
    <x v="0"/>
    <x v="0"/>
    <x v="7"/>
  </r>
  <r>
    <x v="1"/>
    <x v="3"/>
    <x v="4"/>
    <n v="1"/>
    <n v="3"/>
    <n v="5"/>
    <x v="2"/>
    <x v="4"/>
    <x v="5"/>
    <x v="34"/>
  </r>
  <r>
    <x v="0"/>
    <x v="3"/>
    <x v="2"/>
    <n v="0"/>
    <n v="4"/>
    <n v="5"/>
    <x v="2"/>
    <x v="1"/>
    <x v="1"/>
    <x v="19"/>
  </r>
  <r>
    <x v="1"/>
    <x v="3"/>
    <x v="1"/>
    <n v="1"/>
    <n v="4"/>
    <n v="4"/>
    <x v="3"/>
    <x v="3"/>
    <x v="2"/>
    <x v="43"/>
  </r>
  <r>
    <x v="0"/>
    <x v="3"/>
    <x v="2"/>
    <n v="0"/>
    <n v="3"/>
    <n v="4"/>
    <x v="2"/>
    <x v="1"/>
    <x v="1"/>
    <x v="21"/>
  </r>
  <r>
    <x v="0"/>
    <x v="3"/>
    <x v="2"/>
    <n v="0"/>
    <n v="6"/>
    <n v="6"/>
    <x v="0"/>
    <x v="1"/>
    <x v="1"/>
    <x v="8"/>
  </r>
  <r>
    <x v="1"/>
    <x v="3"/>
    <x v="1"/>
    <n v="1"/>
    <n v="3"/>
    <n v="3"/>
    <x v="2"/>
    <x v="2"/>
    <x v="4"/>
    <x v="15"/>
  </r>
  <r>
    <x v="1"/>
    <x v="3"/>
    <x v="1"/>
    <n v="1"/>
    <n v="3"/>
    <n v="4"/>
    <x v="2"/>
    <x v="0"/>
    <x v="2"/>
    <x v="15"/>
  </r>
  <r>
    <x v="1"/>
    <x v="4"/>
    <x v="4"/>
    <n v="1"/>
    <n v="4"/>
    <n v="5"/>
    <x v="3"/>
    <x v="4"/>
    <x v="4"/>
    <x v="20"/>
  </r>
  <r>
    <x v="0"/>
    <x v="4"/>
    <x v="3"/>
    <n v="1"/>
    <n v="3"/>
    <n v="5"/>
    <x v="0"/>
    <x v="3"/>
    <x v="2"/>
    <x v="20"/>
  </r>
  <r>
    <x v="1"/>
    <x v="4"/>
    <x v="5"/>
    <n v="1"/>
    <n v="2"/>
    <n v="4"/>
    <x v="3"/>
    <x v="3"/>
    <x v="2"/>
    <x v="20"/>
  </r>
  <r>
    <x v="1"/>
    <x v="4"/>
    <x v="5"/>
    <n v="1"/>
    <n v="4"/>
    <n v="2"/>
    <x v="0"/>
    <x v="3"/>
    <x v="4"/>
    <x v="20"/>
  </r>
  <r>
    <x v="1"/>
    <x v="4"/>
    <x v="5"/>
    <n v="1"/>
    <n v="4"/>
    <n v="4"/>
    <x v="2"/>
    <x v="2"/>
    <x v="0"/>
    <x v="80"/>
  </r>
  <r>
    <x v="0"/>
    <x v="4"/>
    <x v="2"/>
    <n v="0"/>
    <n v="4"/>
    <n v="3"/>
    <x v="3"/>
    <x v="1"/>
    <x v="1"/>
    <x v="20"/>
  </r>
  <r>
    <x v="1"/>
    <x v="4"/>
    <x v="4"/>
    <n v="1"/>
    <n v="3"/>
    <n v="4"/>
    <x v="1"/>
    <x v="4"/>
    <x v="3"/>
    <x v="2"/>
  </r>
  <r>
    <x v="1"/>
    <x v="4"/>
    <x v="4"/>
    <n v="1"/>
    <n v="3"/>
    <n v="5"/>
    <x v="2"/>
    <x v="3"/>
    <x v="2"/>
    <x v="4"/>
  </r>
  <r>
    <x v="0"/>
    <x v="4"/>
    <x v="3"/>
    <n v="1"/>
    <n v="6"/>
    <n v="6"/>
    <x v="0"/>
    <x v="0"/>
    <x v="0"/>
    <x v="20"/>
  </r>
  <r>
    <x v="0"/>
    <x v="4"/>
    <x v="1"/>
    <n v="1"/>
    <n v="3"/>
    <n v="5"/>
    <x v="3"/>
    <x v="0"/>
    <x v="0"/>
    <x v="20"/>
  </r>
  <r>
    <x v="0"/>
    <x v="4"/>
    <x v="1"/>
    <n v="1"/>
    <n v="4"/>
    <n v="4"/>
    <x v="0"/>
    <x v="3"/>
    <x v="4"/>
    <x v="20"/>
  </r>
  <r>
    <x v="1"/>
    <x v="4"/>
    <x v="3"/>
    <n v="1"/>
    <n v="3"/>
    <n v="4"/>
    <x v="3"/>
    <x v="3"/>
    <x v="4"/>
    <x v="4"/>
  </r>
  <r>
    <x v="1"/>
    <x v="4"/>
    <x v="5"/>
    <n v="1"/>
    <n v="4"/>
    <n v="4"/>
    <x v="0"/>
    <x v="2"/>
    <x v="0"/>
    <x v="8"/>
  </r>
  <r>
    <x v="1"/>
    <x v="4"/>
    <x v="2"/>
    <n v="0"/>
    <n v="5"/>
    <n v="4"/>
    <x v="3"/>
    <x v="1"/>
    <x v="1"/>
    <x v="4"/>
  </r>
  <r>
    <x v="1"/>
    <x v="4"/>
    <x v="4"/>
    <n v="1"/>
    <n v="4"/>
    <n v="4"/>
    <x v="3"/>
    <x v="4"/>
    <x v="5"/>
    <x v="20"/>
  </r>
  <r>
    <x v="0"/>
    <x v="4"/>
    <x v="0"/>
    <n v="1"/>
    <n v="3"/>
    <n v="5"/>
    <x v="0"/>
    <x v="4"/>
    <x v="4"/>
    <x v="2"/>
  </r>
  <r>
    <x v="0"/>
    <x v="4"/>
    <x v="2"/>
    <n v="0"/>
    <n v="4"/>
    <n v="4"/>
    <x v="0"/>
    <x v="1"/>
    <x v="1"/>
    <x v="8"/>
  </r>
  <r>
    <x v="0"/>
    <x v="4"/>
    <x v="1"/>
    <n v="1"/>
    <n v="3"/>
    <n v="3"/>
    <x v="2"/>
    <x v="2"/>
    <x v="2"/>
    <x v="20"/>
  </r>
  <r>
    <x v="0"/>
    <x v="4"/>
    <x v="0"/>
    <n v="1"/>
    <n v="4"/>
    <n v="4"/>
    <x v="3"/>
    <x v="0"/>
    <x v="0"/>
    <x v="72"/>
  </r>
  <r>
    <x v="0"/>
    <x v="4"/>
    <x v="5"/>
    <n v="1"/>
    <n v="4"/>
    <n v="4"/>
    <x v="3"/>
    <x v="3"/>
    <x v="4"/>
    <x v="4"/>
  </r>
  <r>
    <x v="0"/>
    <x v="4"/>
    <x v="2"/>
    <n v="0"/>
    <n v="4"/>
    <n v="5"/>
    <x v="2"/>
    <x v="1"/>
    <x v="1"/>
    <x v="20"/>
  </r>
  <r>
    <x v="0"/>
    <x v="4"/>
    <x v="2"/>
    <n v="0"/>
    <n v="4"/>
    <n v="4"/>
    <x v="2"/>
    <x v="1"/>
    <x v="1"/>
    <x v="20"/>
  </r>
  <r>
    <x v="1"/>
    <x v="4"/>
    <x v="2"/>
    <n v="0"/>
    <n v="5"/>
    <n v="6"/>
    <x v="3"/>
    <x v="1"/>
    <x v="1"/>
    <x v="12"/>
  </r>
  <r>
    <x v="0"/>
    <x v="4"/>
    <x v="3"/>
    <n v="1"/>
    <n v="5"/>
    <n v="6"/>
    <x v="0"/>
    <x v="2"/>
    <x v="2"/>
    <x v="20"/>
  </r>
  <r>
    <x v="1"/>
    <x v="4"/>
    <x v="4"/>
    <n v="1"/>
    <n v="3"/>
    <n v="4"/>
    <x v="2"/>
    <x v="2"/>
    <x v="5"/>
    <x v="26"/>
  </r>
  <r>
    <x v="1"/>
    <x v="4"/>
    <x v="5"/>
    <n v="1"/>
    <n v="4"/>
    <n v="5"/>
    <x v="2"/>
    <x v="4"/>
    <x v="2"/>
    <x v="8"/>
  </r>
  <r>
    <x v="0"/>
    <x v="4"/>
    <x v="1"/>
    <n v="1"/>
    <n v="4"/>
    <n v="4"/>
    <x v="3"/>
    <x v="2"/>
    <x v="0"/>
    <x v="4"/>
  </r>
  <r>
    <x v="0"/>
    <x v="4"/>
    <x v="3"/>
    <n v="1"/>
    <n v="4"/>
    <n v="5"/>
    <x v="0"/>
    <x v="0"/>
    <x v="2"/>
    <x v="4"/>
  </r>
  <r>
    <x v="0"/>
    <x v="4"/>
    <x v="2"/>
    <n v="0"/>
    <n v="4"/>
    <n v="5"/>
    <x v="2"/>
    <x v="1"/>
    <x v="1"/>
    <x v="20"/>
  </r>
  <r>
    <x v="1"/>
    <x v="4"/>
    <x v="1"/>
    <n v="1"/>
    <n v="5"/>
    <n v="5"/>
    <x v="2"/>
    <x v="0"/>
    <x v="2"/>
    <x v="33"/>
  </r>
  <r>
    <x v="1"/>
    <x v="4"/>
    <x v="1"/>
    <n v="1"/>
    <n v="4"/>
    <n v="4"/>
    <x v="0"/>
    <x v="2"/>
    <x v="2"/>
    <x v="4"/>
  </r>
  <r>
    <x v="0"/>
    <x v="5"/>
    <x v="3"/>
    <n v="1"/>
    <n v="4"/>
    <n v="4"/>
    <x v="0"/>
    <x v="0"/>
    <x v="2"/>
    <x v="20"/>
  </r>
  <r>
    <x v="1"/>
    <x v="5"/>
    <x v="4"/>
    <n v="1"/>
    <n v="5"/>
    <n v="5"/>
    <x v="0"/>
    <x v="3"/>
    <x v="2"/>
    <x v="20"/>
  </r>
  <r>
    <x v="1"/>
    <x v="5"/>
    <x v="5"/>
    <n v="1"/>
    <n v="2"/>
    <n v="2"/>
    <x v="0"/>
    <x v="0"/>
    <x v="0"/>
    <x v="20"/>
  </r>
  <r>
    <x v="1"/>
    <x v="5"/>
    <x v="3"/>
    <n v="1"/>
    <n v="3"/>
    <n v="3"/>
    <x v="0"/>
    <x v="4"/>
    <x v="3"/>
    <x v="4"/>
  </r>
  <r>
    <x v="1"/>
    <x v="5"/>
    <x v="2"/>
    <n v="0"/>
    <n v="4"/>
    <n v="2"/>
    <x v="3"/>
    <x v="1"/>
    <x v="1"/>
    <x v="20"/>
  </r>
  <r>
    <x v="0"/>
    <x v="5"/>
    <x v="1"/>
    <n v="1"/>
    <n v="3"/>
    <n v="3"/>
    <x v="2"/>
    <x v="3"/>
    <x v="0"/>
    <x v="21"/>
  </r>
  <r>
    <x v="1"/>
    <x v="5"/>
    <x v="3"/>
    <n v="1"/>
    <n v="2"/>
    <n v="2"/>
    <x v="0"/>
    <x v="3"/>
    <x v="2"/>
    <x v="20"/>
  </r>
  <r>
    <x v="1"/>
    <x v="5"/>
    <x v="3"/>
    <n v="1"/>
    <n v="6"/>
    <n v="0"/>
    <x v="0"/>
    <x v="2"/>
    <x v="4"/>
    <x v="20"/>
  </r>
  <r>
    <x v="1"/>
    <x v="5"/>
    <x v="4"/>
    <n v="1"/>
    <n v="4"/>
    <n v="4"/>
    <x v="1"/>
    <x v="4"/>
    <x v="5"/>
    <x v="20"/>
  </r>
  <r>
    <x v="0"/>
    <x v="5"/>
    <x v="2"/>
    <n v="0"/>
    <n v="5"/>
    <n v="4"/>
    <x v="3"/>
    <x v="1"/>
    <x v="1"/>
    <x v="20"/>
  </r>
  <r>
    <x v="1"/>
    <x v="5"/>
    <x v="1"/>
    <n v="1"/>
    <n v="4"/>
    <n v="6"/>
    <x v="0"/>
    <x v="4"/>
    <x v="4"/>
    <x v="20"/>
  </r>
  <r>
    <x v="1"/>
    <x v="5"/>
    <x v="0"/>
    <n v="1"/>
    <n v="6"/>
    <n v="6"/>
    <x v="3"/>
    <x v="2"/>
    <x v="4"/>
    <x v="20"/>
  </r>
  <r>
    <x v="1"/>
    <x v="5"/>
    <x v="3"/>
    <n v="1"/>
    <n v="4"/>
    <n v="4"/>
    <x v="0"/>
    <x v="4"/>
    <x v="3"/>
    <x v="14"/>
  </r>
  <r>
    <x v="1"/>
    <x v="5"/>
    <x v="3"/>
    <n v="1"/>
    <n v="5"/>
    <n v="6"/>
    <x v="3"/>
    <x v="2"/>
    <x v="2"/>
    <x v="20"/>
  </r>
  <r>
    <x v="1"/>
    <x v="5"/>
    <x v="2"/>
    <n v="0"/>
    <n v="3"/>
    <n v="5"/>
    <x v="3"/>
    <x v="1"/>
    <x v="1"/>
    <x v="20"/>
  </r>
  <r>
    <x v="0"/>
    <x v="5"/>
    <x v="2"/>
    <n v="0"/>
    <n v="4"/>
    <n v="5"/>
    <x v="3"/>
    <x v="1"/>
    <x v="1"/>
    <x v="20"/>
  </r>
  <r>
    <x v="1"/>
    <x v="5"/>
    <x v="0"/>
    <n v="1"/>
    <n v="6"/>
    <n v="6"/>
    <x v="0"/>
    <x v="2"/>
    <x v="2"/>
    <x v="20"/>
  </r>
  <r>
    <x v="1"/>
    <x v="5"/>
    <x v="3"/>
    <n v="1"/>
    <n v="5"/>
    <n v="6"/>
    <x v="0"/>
    <x v="0"/>
    <x v="2"/>
    <x v="20"/>
  </r>
  <r>
    <x v="1"/>
    <x v="5"/>
    <x v="4"/>
    <n v="1"/>
    <n v="5"/>
    <n v="5"/>
    <x v="3"/>
    <x v="2"/>
    <x v="4"/>
    <x v="20"/>
  </r>
  <r>
    <x v="0"/>
    <x v="5"/>
    <x v="2"/>
    <n v="0"/>
    <n v="5"/>
    <n v="6"/>
    <x v="0"/>
    <x v="1"/>
    <x v="1"/>
    <x v="8"/>
  </r>
  <r>
    <x v="1"/>
    <x v="5"/>
    <x v="3"/>
    <n v="1"/>
    <n v="4"/>
    <n v="4"/>
    <x v="2"/>
    <x v="2"/>
    <x v="2"/>
    <x v="20"/>
  </r>
  <r>
    <x v="0"/>
    <x v="6"/>
    <x v="2"/>
    <n v="0"/>
    <n v="4"/>
    <n v="4"/>
    <x v="4"/>
    <x v="1"/>
    <x v="1"/>
    <x v="10"/>
  </r>
  <r>
    <x v="1"/>
    <x v="6"/>
    <x v="0"/>
    <n v="1"/>
    <n v="3"/>
    <n v="5"/>
    <x v="4"/>
    <x v="0"/>
    <x v="0"/>
    <x v="20"/>
  </r>
  <r>
    <x v="0"/>
    <x v="6"/>
    <x v="0"/>
    <n v="1"/>
    <n v="5"/>
    <n v="5"/>
    <x v="4"/>
    <x v="2"/>
    <x v="0"/>
    <x v="20"/>
  </r>
  <r>
    <x v="0"/>
    <x v="6"/>
    <x v="0"/>
    <n v="1"/>
    <n v="3"/>
    <n v="4"/>
    <x v="4"/>
    <x v="2"/>
    <x v="2"/>
    <x v="4"/>
  </r>
  <r>
    <x v="1"/>
    <x v="6"/>
    <x v="3"/>
    <n v="1"/>
    <n v="5"/>
    <n v="4"/>
    <x v="4"/>
    <x v="3"/>
    <x v="0"/>
    <x v="8"/>
  </r>
  <r>
    <x v="0"/>
    <x v="6"/>
    <x v="2"/>
    <n v="0"/>
    <n v="4"/>
    <n v="4"/>
    <x v="4"/>
    <x v="1"/>
    <x v="1"/>
    <x v="20"/>
  </r>
  <r>
    <x v="0"/>
    <x v="6"/>
    <x v="2"/>
    <n v="0"/>
    <n v="4"/>
    <n v="5"/>
    <x v="4"/>
    <x v="1"/>
    <x v="1"/>
    <x v="8"/>
  </r>
  <r>
    <x v="1"/>
    <x v="6"/>
    <x v="2"/>
    <n v="0"/>
    <n v="5"/>
    <n v="5"/>
    <x v="4"/>
    <x v="1"/>
    <x v="1"/>
    <x v="20"/>
  </r>
  <r>
    <x v="1"/>
    <x v="6"/>
    <x v="3"/>
    <n v="1"/>
    <n v="5"/>
    <n v="5"/>
    <x v="4"/>
    <x v="0"/>
    <x v="0"/>
    <x v="20"/>
  </r>
  <r>
    <x v="1"/>
    <x v="6"/>
    <x v="3"/>
    <n v="1"/>
    <n v="4"/>
    <n v="4"/>
    <x v="4"/>
    <x v="0"/>
    <x v="0"/>
    <x v="36"/>
  </r>
  <r>
    <x v="0"/>
    <x v="6"/>
    <x v="0"/>
    <n v="1"/>
    <n v="5"/>
    <n v="5"/>
    <x v="4"/>
    <x v="2"/>
    <x v="0"/>
    <x v="8"/>
  </r>
  <r>
    <x v="1"/>
    <x v="6"/>
    <x v="3"/>
    <n v="1"/>
    <n v="3"/>
    <n v="3"/>
    <x v="4"/>
    <x v="2"/>
    <x v="4"/>
    <x v="8"/>
  </r>
  <r>
    <x v="1"/>
    <x v="6"/>
    <x v="3"/>
    <n v="1"/>
    <n v="5"/>
    <n v="5"/>
    <x v="4"/>
    <x v="2"/>
    <x v="0"/>
    <x v="20"/>
  </r>
  <r>
    <x v="1"/>
    <x v="6"/>
    <x v="5"/>
    <n v="1"/>
    <n v="5"/>
    <n v="5"/>
    <x v="4"/>
    <x v="2"/>
    <x v="4"/>
    <x v="20"/>
  </r>
  <r>
    <x v="0"/>
    <x v="6"/>
    <x v="0"/>
    <n v="1"/>
    <n v="4"/>
    <n v="4"/>
    <x v="4"/>
    <x v="0"/>
    <x v="2"/>
    <x v="10"/>
  </r>
  <r>
    <x v="1"/>
    <x v="6"/>
    <x v="0"/>
    <n v="1"/>
    <n v="5"/>
    <n v="5"/>
    <x v="4"/>
    <x v="3"/>
    <x v="0"/>
    <x v="20"/>
  </r>
  <r>
    <x v="1"/>
    <x v="6"/>
    <x v="0"/>
    <n v="1"/>
    <n v="3"/>
    <n v="3"/>
    <x v="4"/>
    <x v="2"/>
    <x v="4"/>
    <x v="20"/>
  </r>
  <r>
    <x v="0"/>
    <x v="6"/>
    <x v="2"/>
    <n v="0"/>
    <n v="4"/>
    <n v="5"/>
    <x v="4"/>
    <x v="1"/>
    <x v="1"/>
    <x v="20"/>
  </r>
  <r>
    <x v="0"/>
    <x v="6"/>
    <x v="2"/>
    <n v="0"/>
    <n v="6"/>
    <n v="6"/>
    <x v="4"/>
    <x v="1"/>
    <x v="1"/>
    <x v="20"/>
  </r>
  <r>
    <x v="0"/>
    <x v="6"/>
    <x v="3"/>
    <n v="1"/>
    <n v="5"/>
    <n v="4"/>
    <x v="4"/>
    <x v="3"/>
    <x v="4"/>
    <x v="20"/>
  </r>
  <r>
    <x v="1"/>
    <x v="6"/>
    <x v="5"/>
    <n v="1"/>
    <n v="6"/>
    <n v="6"/>
    <x v="4"/>
    <x v="0"/>
    <x v="0"/>
    <x v="20"/>
  </r>
  <r>
    <x v="1"/>
    <x v="6"/>
    <x v="1"/>
    <n v="1"/>
    <n v="4"/>
    <n v="5"/>
    <x v="4"/>
    <x v="3"/>
    <x v="2"/>
    <x v="8"/>
  </r>
  <r>
    <x v="1"/>
    <x v="6"/>
    <x v="5"/>
    <n v="1"/>
    <n v="5"/>
    <n v="5"/>
    <x v="4"/>
    <x v="3"/>
    <x v="4"/>
    <x v="20"/>
  </r>
  <r>
    <x v="1"/>
    <x v="6"/>
    <x v="1"/>
    <n v="1"/>
    <n v="2"/>
    <n v="4"/>
    <x v="4"/>
    <x v="3"/>
    <x v="4"/>
    <x v="4"/>
  </r>
  <r>
    <x v="1"/>
    <x v="6"/>
    <x v="5"/>
    <n v="1"/>
    <n v="5"/>
    <n v="5"/>
    <x v="4"/>
    <x v="0"/>
    <x v="0"/>
    <x v="20"/>
  </r>
  <r>
    <x v="0"/>
    <x v="6"/>
    <x v="2"/>
    <n v="0"/>
    <n v="4"/>
    <n v="4"/>
    <x v="4"/>
    <x v="1"/>
    <x v="1"/>
    <x v="20"/>
  </r>
  <r>
    <x v="1"/>
    <x v="6"/>
    <x v="3"/>
    <n v="1"/>
    <n v="2"/>
    <n v="3"/>
    <x v="4"/>
    <x v="0"/>
    <x v="0"/>
    <x v="20"/>
  </r>
  <r>
    <x v="0"/>
    <x v="6"/>
    <x v="2"/>
    <n v="0"/>
    <n v="6"/>
    <n v="5"/>
    <x v="4"/>
    <x v="1"/>
    <x v="1"/>
    <x v="20"/>
  </r>
  <r>
    <x v="0"/>
    <x v="6"/>
    <x v="2"/>
    <n v="0"/>
    <n v="5"/>
    <n v="5"/>
    <x v="4"/>
    <x v="1"/>
    <x v="1"/>
    <x v="20"/>
  </r>
  <r>
    <x v="1"/>
    <x v="6"/>
    <x v="2"/>
    <n v="0"/>
    <n v="3"/>
    <n v="4"/>
    <x v="4"/>
    <x v="1"/>
    <x v="1"/>
    <x v="10"/>
  </r>
  <r>
    <x v="1"/>
    <x v="6"/>
    <x v="3"/>
    <n v="1"/>
    <n v="4"/>
    <n v="4"/>
    <x v="4"/>
    <x v="4"/>
    <x v="4"/>
    <x v="20"/>
  </r>
  <r>
    <x v="1"/>
    <x v="6"/>
    <x v="1"/>
    <n v="1"/>
    <n v="2"/>
    <n v="2"/>
    <x v="4"/>
    <x v="0"/>
    <x v="0"/>
    <x v="20"/>
  </r>
  <r>
    <x v="0"/>
    <x v="6"/>
    <x v="3"/>
    <n v="1"/>
    <n v="5"/>
    <n v="5"/>
    <x v="4"/>
    <x v="4"/>
    <x v="0"/>
    <x v="20"/>
  </r>
  <r>
    <x v="1"/>
    <x v="6"/>
    <x v="2"/>
    <n v="0"/>
    <n v="5"/>
    <n v="4"/>
    <x v="4"/>
    <x v="1"/>
    <x v="1"/>
    <x v="12"/>
  </r>
  <r>
    <x v="1"/>
    <x v="6"/>
    <x v="3"/>
    <n v="1"/>
    <n v="4"/>
    <n v="4"/>
    <x v="4"/>
    <x v="0"/>
    <x v="0"/>
    <x v="76"/>
  </r>
  <r>
    <x v="0"/>
    <x v="6"/>
    <x v="2"/>
    <n v="0"/>
    <n v="5"/>
    <n v="5"/>
    <x v="4"/>
    <x v="1"/>
    <x v="1"/>
    <x v="20"/>
  </r>
  <r>
    <x v="1"/>
    <x v="6"/>
    <x v="5"/>
    <n v="1"/>
    <n v="4"/>
    <n v="4"/>
    <x v="4"/>
    <x v="0"/>
    <x v="2"/>
    <x v="20"/>
  </r>
  <r>
    <x v="0"/>
    <x v="6"/>
    <x v="2"/>
    <n v="0"/>
    <n v="6"/>
    <n v="6"/>
    <x v="4"/>
    <x v="1"/>
    <x v="1"/>
    <x v="20"/>
  </r>
  <r>
    <x v="0"/>
    <x v="6"/>
    <x v="2"/>
    <n v="0"/>
    <n v="5"/>
    <n v="5"/>
    <x v="4"/>
    <x v="1"/>
    <x v="1"/>
    <x v="8"/>
  </r>
  <r>
    <x v="1"/>
    <x v="6"/>
    <x v="3"/>
    <n v="1"/>
    <n v="4"/>
    <n v="4"/>
    <x v="4"/>
    <x v="4"/>
    <x v="4"/>
    <x v="76"/>
  </r>
  <r>
    <x v="0"/>
    <x v="6"/>
    <x v="2"/>
    <n v="0"/>
    <n v="3"/>
    <n v="5"/>
    <x v="4"/>
    <x v="1"/>
    <x v="1"/>
    <x v="76"/>
  </r>
  <r>
    <x v="1"/>
    <x v="7"/>
    <x v="2"/>
    <n v="0"/>
    <n v="3"/>
    <n v="3"/>
    <x v="1"/>
    <x v="1"/>
    <x v="1"/>
    <x v="21"/>
  </r>
  <r>
    <x v="1"/>
    <x v="7"/>
    <x v="4"/>
    <n v="1"/>
    <n v="3"/>
    <n v="4"/>
    <x v="2"/>
    <x v="0"/>
    <x v="0"/>
    <x v="15"/>
  </r>
  <r>
    <x v="0"/>
    <x v="7"/>
    <x v="3"/>
    <n v="1"/>
    <n v="2"/>
    <n v="4"/>
    <x v="1"/>
    <x v="0"/>
    <x v="0"/>
    <x v="74"/>
  </r>
  <r>
    <x v="1"/>
    <x v="7"/>
    <x v="5"/>
    <n v="1"/>
    <n v="2"/>
    <n v="3"/>
    <x v="2"/>
    <x v="2"/>
    <x v="4"/>
    <x v="11"/>
  </r>
  <r>
    <x v="1"/>
    <x v="7"/>
    <x v="0"/>
    <n v="1"/>
    <n v="3"/>
    <n v="3"/>
    <x v="3"/>
    <x v="2"/>
    <x v="2"/>
    <x v="62"/>
  </r>
  <r>
    <x v="0"/>
    <x v="7"/>
    <x v="3"/>
    <n v="1"/>
    <n v="3"/>
    <n v="4"/>
    <x v="2"/>
    <x v="3"/>
    <x v="2"/>
    <x v="13"/>
  </r>
  <r>
    <x v="1"/>
    <x v="7"/>
    <x v="2"/>
    <n v="0"/>
    <n v="4"/>
    <n v="4"/>
    <x v="3"/>
    <x v="1"/>
    <x v="1"/>
    <x v="81"/>
  </r>
  <r>
    <x v="0"/>
    <x v="7"/>
    <x v="2"/>
    <n v="0"/>
    <n v="4"/>
    <n v="4"/>
    <x v="3"/>
    <x v="1"/>
    <x v="1"/>
    <x v="2"/>
  </r>
  <r>
    <x v="0"/>
    <x v="7"/>
    <x v="2"/>
    <n v="0"/>
    <n v="2"/>
    <n v="2"/>
    <x v="2"/>
    <x v="1"/>
    <x v="1"/>
    <x v="2"/>
  </r>
  <r>
    <x v="1"/>
    <x v="7"/>
    <x v="1"/>
    <n v="1"/>
    <n v="3"/>
    <n v="5"/>
    <x v="2"/>
    <x v="0"/>
    <x v="0"/>
    <x v="4"/>
  </r>
  <r>
    <x v="0"/>
    <x v="7"/>
    <x v="2"/>
    <n v="0"/>
    <n v="2"/>
    <n v="2"/>
    <x v="2"/>
    <x v="1"/>
    <x v="1"/>
    <x v="10"/>
  </r>
  <r>
    <x v="1"/>
    <x v="7"/>
    <x v="5"/>
    <n v="1"/>
    <n v="1"/>
    <n v="3"/>
    <x v="1"/>
    <x v="0"/>
    <x v="2"/>
    <x v="6"/>
  </r>
  <r>
    <x v="1"/>
    <x v="7"/>
    <x v="2"/>
    <n v="0"/>
    <n v="3"/>
    <n v="3"/>
    <x v="1"/>
    <x v="1"/>
    <x v="1"/>
    <x v="8"/>
  </r>
  <r>
    <x v="0"/>
    <x v="7"/>
    <x v="2"/>
    <n v="0"/>
    <n v="4"/>
    <n v="4"/>
    <x v="2"/>
    <x v="1"/>
    <x v="1"/>
    <x v="20"/>
  </r>
  <r>
    <x v="0"/>
    <x v="7"/>
    <x v="4"/>
    <n v="1"/>
    <n v="4"/>
    <n v="4"/>
    <x v="1"/>
    <x v="4"/>
    <x v="0"/>
    <x v="8"/>
  </r>
  <r>
    <x v="0"/>
    <x v="7"/>
    <x v="2"/>
    <n v="0"/>
    <n v="4"/>
    <n v="4"/>
    <x v="2"/>
    <x v="1"/>
    <x v="1"/>
    <x v="21"/>
  </r>
  <r>
    <x v="1"/>
    <x v="7"/>
    <x v="2"/>
    <n v="0"/>
    <n v="4"/>
    <n v="3"/>
    <x v="3"/>
    <x v="1"/>
    <x v="1"/>
    <x v="79"/>
  </r>
  <r>
    <x v="0"/>
    <x v="7"/>
    <x v="5"/>
    <n v="1"/>
    <n v="3"/>
    <n v="4"/>
    <x v="2"/>
    <x v="3"/>
    <x v="2"/>
    <x v="10"/>
  </r>
  <r>
    <x v="0"/>
    <x v="7"/>
    <x v="2"/>
    <n v="0"/>
    <n v="2"/>
    <n v="4"/>
    <x v="1"/>
    <x v="1"/>
    <x v="1"/>
    <x v="79"/>
  </r>
  <r>
    <x v="0"/>
    <x v="7"/>
    <x v="2"/>
    <n v="0"/>
    <n v="2"/>
    <n v="3"/>
    <x v="1"/>
    <x v="1"/>
    <x v="1"/>
    <x v="8"/>
  </r>
  <r>
    <x v="0"/>
    <x v="7"/>
    <x v="2"/>
    <n v="0"/>
    <n v="2"/>
    <n v="5"/>
    <x v="1"/>
    <x v="1"/>
    <x v="1"/>
    <x v="8"/>
  </r>
  <r>
    <x v="0"/>
    <x v="7"/>
    <x v="2"/>
    <n v="0"/>
    <n v="4"/>
    <n v="4"/>
    <x v="1"/>
    <x v="1"/>
    <x v="1"/>
    <x v="1"/>
  </r>
  <r>
    <x v="1"/>
    <x v="7"/>
    <x v="1"/>
    <n v="1"/>
    <n v="2"/>
    <n v="4"/>
    <x v="2"/>
    <x v="2"/>
    <x v="4"/>
    <x v="4"/>
  </r>
  <r>
    <x v="1"/>
    <x v="7"/>
    <x v="2"/>
    <n v="0"/>
    <n v="2"/>
    <n v="4"/>
    <x v="2"/>
    <x v="1"/>
    <x v="1"/>
    <x v="0"/>
  </r>
  <r>
    <x v="1"/>
    <x v="7"/>
    <x v="1"/>
    <n v="1"/>
    <n v="2"/>
    <n v="2"/>
    <x v="2"/>
    <x v="3"/>
    <x v="2"/>
    <x v="15"/>
  </r>
  <r>
    <x v="1"/>
    <x v="7"/>
    <x v="2"/>
    <n v="0"/>
    <n v="3"/>
    <n v="5"/>
    <x v="2"/>
    <x v="1"/>
    <x v="1"/>
    <x v="10"/>
  </r>
  <r>
    <x v="1"/>
    <x v="7"/>
    <x v="1"/>
    <n v="1"/>
    <n v="3"/>
    <n v="3"/>
    <x v="1"/>
    <x v="0"/>
    <x v="0"/>
    <x v="21"/>
  </r>
  <r>
    <x v="1"/>
    <x v="7"/>
    <x v="0"/>
    <n v="1"/>
    <n v="2"/>
    <n v="4"/>
    <x v="3"/>
    <x v="3"/>
    <x v="2"/>
    <x v="21"/>
  </r>
  <r>
    <x v="0"/>
    <x v="7"/>
    <x v="2"/>
    <n v="0"/>
    <n v="2"/>
    <n v="3"/>
    <x v="2"/>
    <x v="1"/>
    <x v="1"/>
    <x v="10"/>
  </r>
  <r>
    <x v="1"/>
    <x v="7"/>
    <x v="1"/>
    <n v="1"/>
    <n v="5"/>
    <n v="3"/>
    <x v="2"/>
    <x v="3"/>
    <x v="0"/>
    <x v="49"/>
  </r>
  <r>
    <x v="1"/>
    <x v="7"/>
    <x v="5"/>
    <n v="1"/>
    <n v="3"/>
    <n v="2"/>
    <x v="2"/>
    <x v="3"/>
    <x v="0"/>
    <x v="6"/>
  </r>
  <r>
    <x v="1"/>
    <x v="7"/>
    <x v="3"/>
    <n v="2"/>
    <n v="2"/>
    <n v="3"/>
    <x v="1"/>
    <x v="3"/>
    <x v="5"/>
    <x v="34"/>
  </r>
  <r>
    <x v="0"/>
    <x v="7"/>
    <x v="2"/>
    <n v="0"/>
    <n v="4"/>
    <n v="4"/>
    <x v="2"/>
    <x v="1"/>
    <x v="1"/>
    <x v="15"/>
  </r>
  <r>
    <x v="1"/>
    <x v="7"/>
    <x v="3"/>
    <n v="1"/>
    <n v="4"/>
    <n v="4"/>
    <x v="2"/>
    <x v="2"/>
    <x v="0"/>
    <x v="29"/>
  </r>
  <r>
    <x v="0"/>
    <x v="7"/>
    <x v="5"/>
    <n v="1"/>
    <n v="4"/>
    <n v="4"/>
    <x v="2"/>
    <x v="3"/>
    <x v="4"/>
    <x v="21"/>
  </r>
  <r>
    <x v="0"/>
    <x v="7"/>
    <x v="2"/>
    <n v="0"/>
    <n v="2"/>
    <n v="4"/>
    <x v="2"/>
    <x v="1"/>
    <x v="1"/>
    <x v="55"/>
  </r>
  <r>
    <x v="0"/>
    <x v="7"/>
    <x v="1"/>
    <n v="1"/>
    <n v="4"/>
    <n v="4"/>
    <x v="2"/>
    <x v="3"/>
    <x v="0"/>
    <x v="14"/>
  </r>
  <r>
    <x v="1"/>
    <x v="7"/>
    <x v="1"/>
    <n v="1"/>
    <n v="2"/>
    <n v="4"/>
    <x v="2"/>
    <x v="4"/>
    <x v="4"/>
    <x v="2"/>
  </r>
  <r>
    <x v="0"/>
    <x v="7"/>
    <x v="1"/>
    <n v="1"/>
    <n v="2"/>
    <n v="2"/>
    <x v="2"/>
    <x v="3"/>
    <x v="4"/>
    <x v="15"/>
  </r>
  <r>
    <x v="1"/>
    <x v="7"/>
    <x v="5"/>
    <n v="1"/>
    <n v="2"/>
    <n v="4"/>
    <x v="3"/>
    <x v="0"/>
    <x v="2"/>
    <x v="23"/>
  </r>
  <r>
    <x v="1"/>
    <x v="7"/>
    <x v="0"/>
    <n v="1"/>
    <n v="5"/>
    <n v="5"/>
    <x v="3"/>
    <x v="3"/>
    <x v="2"/>
    <x v="11"/>
  </r>
  <r>
    <x v="1"/>
    <x v="7"/>
    <x v="0"/>
    <n v="1"/>
    <n v="2"/>
    <n v="3"/>
    <x v="1"/>
    <x v="0"/>
    <x v="2"/>
    <x v="11"/>
  </r>
  <r>
    <x v="1"/>
    <x v="7"/>
    <x v="3"/>
    <n v="1"/>
    <n v="2"/>
    <n v="2"/>
    <x v="1"/>
    <x v="3"/>
    <x v="0"/>
    <x v="82"/>
  </r>
  <r>
    <x v="1"/>
    <x v="7"/>
    <x v="5"/>
    <n v="1"/>
    <n v="3"/>
    <n v="5"/>
    <x v="1"/>
    <x v="0"/>
    <x v="0"/>
    <x v="8"/>
  </r>
  <r>
    <x v="1"/>
    <x v="7"/>
    <x v="3"/>
    <n v="1"/>
    <n v="2"/>
    <n v="4"/>
    <x v="1"/>
    <x v="2"/>
    <x v="2"/>
    <x v="83"/>
  </r>
  <r>
    <x v="0"/>
    <x v="7"/>
    <x v="4"/>
    <n v="1"/>
    <n v="2"/>
    <n v="4"/>
    <x v="2"/>
    <x v="0"/>
    <x v="0"/>
    <x v="73"/>
  </r>
  <r>
    <x v="0"/>
    <x v="7"/>
    <x v="2"/>
    <n v="0"/>
    <n v="3"/>
    <n v="4"/>
    <x v="2"/>
    <x v="1"/>
    <x v="1"/>
    <x v="61"/>
  </r>
  <r>
    <x v="0"/>
    <x v="7"/>
    <x v="5"/>
    <n v="1"/>
    <n v="4"/>
    <n v="4"/>
    <x v="2"/>
    <x v="0"/>
    <x v="0"/>
    <x v="14"/>
  </r>
  <r>
    <x v="0"/>
    <x v="7"/>
    <x v="2"/>
    <n v="0"/>
    <n v="4"/>
    <n v="4"/>
    <x v="2"/>
    <x v="1"/>
    <x v="1"/>
    <x v="84"/>
  </r>
  <r>
    <x v="1"/>
    <x v="7"/>
    <x v="5"/>
    <n v="1"/>
    <n v="3"/>
    <n v="4"/>
    <x v="2"/>
    <x v="0"/>
    <x v="2"/>
    <x v="14"/>
  </r>
  <r>
    <x v="1"/>
    <x v="7"/>
    <x v="3"/>
    <n v="1"/>
    <n v="1"/>
    <n v="2"/>
    <x v="0"/>
    <x v="0"/>
    <x v="2"/>
    <x v="85"/>
  </r>
  <r>
    <x v="1"/>
    <x v="7"/>
    <x v="0"/>
    <n v="1"/>
    <n v="4"/>
    <n v="4"/>
    <x v="2"/>
    <x v="0"/>
    <x v="2"/>
    <x v="30"/>
  </r>
  <r>
    <x v="1"/>
    <x v="7"/>
    <x v="4"/>
    <n v="1"/>
    <n v="4"/>
    <n v="4"/>
    <x v="2"/>
    <x v="3"/>
    <x v="2"/>
    <x v="11"/>
  </r>
  <r>
    <x v="0"/>
    <x v="7"/>
    <x v="2"/>
    <n v="0"/>
    <n v="2"/>
    <n v="2"/>
    <x v="2"/>
    <x v="1"/>
    <x v="1"/>
    <x v="66"/>
  </r>
  <r>
    <x v="1"/>
    <x v="7"/>
    <x v="1"/>
    <n v="1"/>
    <n v="2"/>
    <n v="2"/>
    <x v="2"/>
    <x v="3"/>
    <x v="2"/>
    <x v="86"/>
  </r>
  <r>
    <x v="1"/>
    <x v="7"/>
    <x v="1"/>
    <n v="1"/>
    <n v="3"/>
    <n v="2"/>
    <x v="1"/>
    <x v="3"/>
    <x v="4"/>
    <x v="34"/>
  </r>
  <r>
    <x v="1"/>
    <x v="7"/>
    <x v="0"/>
    <n v="1"/>
    <n v="3"/>
    <n v="3"/>
    <x v="2"/>
    <x v="3"/>
    <x v="0"/>
    <x v="87"/>
  </r>
  <r>
    <x v="0"/>
    <x v="7"/>
    <x v="1"/>
    <n v="1"/>
    <n v="3"/>
    <n v="0"/>
    <x v="2"/>
    <x v="3"/>
    <x v="4"/>
    <x v="8"/>
  </r>
  <r>
    <x v="1"/>
    <x v="7"/>
    <x v="4"/>
    <n v="1"/>
    <n v="4"/>
    <n v="4"/>
    <x v="2"/>
    <x v="2"/>
    <x v="4"/>
    <x v="65"/>
  </r>
  <r>
    <x v="0"/>
    <x v="7"/>
    <x v="3"/>
    <n v="1"/>
    <n v="3"/>
    <n v="4"/>
    <x v="2"/>
    <x v="0"/>
    <x v="0"/>
    <x v="65"/>
  </r>
  <r>
    <x v="1"/>
    <x v="7"/>
    <x v="4"/>
    <n v="1"/>
    <n v="4"/>
    <n v="5"/>
    <x v="0"/>
    <x v="2"/>
    <x v="5"/>
    <x v="6"/>
  </r>
  <r>
    <x v="1"/>
    <x v="7"/>
    <x v="3"/>
    <n v="1"/>
    <n v="5"/>
    <n v="4"/>
    <x v="3"/>
    <x v="3"/>
    <x v="4"/>
    <x v="88"/>
  </r>
  <r>
    <x v="1"/>
    <x v="7"/>
    <x v="0"/>
    <n v="1"/>
    <n v="4"/>
    <n v="4"/>
    <x v="2"/>
    <x v="4"/>
    <x v="5"/>
    <x v="10"/>
  </r>
  <r>
    <x v="0"/>
    <x v="7"/>
    <x v="2"/>
    <n v="0"/>
    <n v="2"/>
    <n v="4"/>
    <x v="1"/>
    <x v="1"/>
    <x v="1"/>
    <x v="26"/>
  </r>
  <r>
    <x v="0"/>
    <x v="7"/>
    <x v="2"/>
    <n v="0"/>
    <n v="4"/>
    <n v="3"/>
    <x v="2"/>
    <x v="1"/>
    <x v="1"/>
    <x v="21"/>
  </r>
  <r>
    <x v="1"/>
    <x v="7"/>
    <x v="1"/>
    <n v="1"/>
    <n v="3"/>
    <n v="2"/>
    <x v="2"/>
    <x v="3"/>
    <x v="2"/>
    <x v="15"/>
  </r>
  <r>
    <x v="1"/>
    <x v="7"/>
    <x v="3"/>
    <n v="1"/>
    <n v="1"/>
    <n v="2"/>
    <x v="1"/>
    <x v="0"/>
    <x v="0"/>
    <x v="2"/>
  </r>
  <r>
    <x v="0"/>
    <x v="7"/>
    <x v="3"/>
    <n v="1"/>
    <n v="2"/>
    <n v="4"/>
    <x v="1"/>
    <x v="2"/>
    <x v="0"/>
    <x v="8"/>
  </r>
  <r>
    <x v="0"/>
    <x v="7"/>
    <x v="2"/>
    <n v="0"/>
    <n v="4"/>
    <n v="3"/>
    <x v="1"/>
    <x v="1"/>
    <x v="1"/>
    <x v="10"/>
  </r>
  <r>
    <x v="1"/>
    <x v="7"/>
    <x v="2"/>
    <n v="0"/>
    <n v="2"/>
    <n v="4"/>
    <x v="1"/>
    <x v="1"/>
    <x v="1"/>
    <x v="2"/>
  </r>
  <r>
    <x v="0"/>
    <x v="7"/>
    <x v="3"/>
    <n v="1"/>
    <n v="1"/>
    <n v="3"/>
    <x v="2"/>
    <x v="3"/>
    <x v="0"/>
    <x v="14"/>
  </r>
  <r>
    <x v="1"/>
    <x v="7"/>
    <x v="1"/>
    <n v="1"/>
    <n v="3"/>
    <n v="3"/>
    <x v="1"/>
    <x v="3"/>
    <x v="2"/>
    <x v="5"/>
  </r>
  <r>
    <x v="0"/>
    <x v="7"/>
    <x v="3"/>
    <n v="1"/>
    <n v="3"/>
    <n v="4"/>
    <x v="1"/>
    <x v="0"/>
    <x v="0"/>
    <x v="33"/>
  </r>
  <r>
    <x v="1"/>
    <x v="7"/>
    <x v="4"/>
    <n v="1"/>
    <n v="3"/>
    <n v="3"/>
    <x v="1"/>
    <x v="0"/>
    <x v="5"/>
    <x v="5"/>
  </r>
  <r>
    <x v="0"/>
    <x v="7"/>
    <x v="2"/>
    <n v="0"/>
    <n v="4"/>
    <n v="4"/>
    <x v="1"/>
    <x v="1"/>
    <x v="1"/>
    <x v="89"/>
  </r>
  <r>
    <x v="0"/>
    <x v="7"/>
    <x v="2"/>
    <n v="0"/>
    <n v="4"/>
    <n v="4"/>
    <x v="2"/>
    <x v="1"/>
    <x v="1"/>
    <x v="62"/>
  </r>
  <r>
    <x v="0"/>
    <x v="7"/>
    <x v="2"/>
    <n v="0"/>
    <n v="2"/>
    <n v="3"/>
    <x v="2"/>
    <x v="1"/>
    <x v="1"/>
    <x v="2"/>
  </r>
  <r>
    <x v="0"/>
    <x v="7"/>
    <x v="0"/>
    <n v="1"/>
    <n v="4"/>
    <n v="5"/>
    <x v="3"/>
    <x v="2"/>
    <x v="0"/>
    <x v="2"/>
  </r>
  <r>
    <x v="0"/>
    <x v="7"/>
    <x v="3"/>
    <n v="1"/>
    <n v="6"/>
    <n v="4"/>
    <x v="2"/>
    <x v="3"/>
    <x v="0"/>
    <x v="20"/>
  </r>
  <r>
    <x v="0"/>
    <x v="7"/>
    <x v="2"/>
    <n v="0"/>
    <n v="2"/>
    <n v="2"/>
    <x v="1"/>
    <x v="1"/>
    <x v="1"/>
    <x v="21"/>
  </r>
  <r>
    <x v="1"/>
    <x v="7"/>
    <x v="2"/>
    <n v="0"/>
    <n v="4"/>
    <n v="3"/>
    <x v="3"/>
    <x v="1"/>
    <x v="1"/>
    <x v="52"/>
  </r>
  <r>
    <x v="1"/>
    <x v="7"/>
    <x v="2"/>
    <n v="0"/>
    <n v="1"/>
    <n v="3"/>
    <x v="1"/>
    <x v="1"/>
    <x v="1"/>
    <x v="6"/>
  </r>
  <r>
    <x v="0"/>
    <x v="7"/>
    <x v="2"/>
    <n v="0"/>
    <n v="4"/>
    <n v="2"/>
    <x v="1"/>
    <x v="1"/>
    <x v="1"/>
    <x v="8"/>
  </r>
  <r>
    <x v="0"/>
    <x v="7"/>
    <x v="2"/>
    <n v="0"/>
    <n v="2"/>
    <n v="3"/>
    <x v="1"/>
    <x v="1"/>
    <x v="1"/>
    <x v="11"/>
  </r>
  <r>
    <x v="1"/>
    <x v="7"/>
    <x v="2"/>
    <n v="0"/>
    <n v="4"/>
    <n v="3"/>
    <x v="1"/>
    <x v="1"/>
    <x v="1"/>
    <x v="21"/>
  </r>
  <r>
    <x v="1"/>
    <x v="7"/>
    <x v="2"/>
    <n v="0"/>
    <n v="2"/>
    <n v="2"/>
    <x v="1"/>
    <x v="1"/>
    <x v="1"/>
    <x v="6"/>
  </r>
  <r>
    <x v="1"/>
    <x v="7"/>
    <x v="2"/>
    <n v="0"/>
    <n v="4"/>
    <n v="3"/>
    <x v="2"/>
    <x v="1"/>
    <x v="1"/>
    <x v="2"/>
  </r>
  <r>
    <x v="1"/>
    <x v="7"/>
    <x v="2"/>
    <n v="0"/>
    <n v="2"/>
    <n v="4"/>
    <x v="2"/>
    <x v="1"/>
    <x v="1"/>
    <x v="11"/>
  </r>
  <r>
    <x v="0"/>
    <x v="7"/>
    <x v="2"/>
    <n v="0"/>
    <n v="2"/>
    <n v="5"/>
    <x v="1"/>
    <x v="1"/>
    <x v="1"/>
    <x v="4"/>
  </r>
  <r>
    <x v="0"/>
    <x v="7"/>
    <x v="2"/>
    <n v="0"/>
    <n v="4"/>
    <n v="2"/>
    <x v="2"/>
    <x v="1"/>
    <x v="1"/>
    <x v="38"/>
  </r>
  <r>
    <x v="0"/>
    <x v="7"/>
    <x v="2"/>
    <n v="0"/>
    <n v="2"/>
    <n v="3"/>
    <x v="2"/>
    <x v="1"/>
    <x v="1"/>
    <x v="4"/>
  </r>
  <r>
    <x v="0"/>
    <x v="7"/>
    <x v="3"/>
    <n v="1"/>
    <n v="2"/>
    <n v="3"/>
    <x v="1"/>
    <x v="0"/>
    <x v="0"/>
    <x v="2"/>
  </r>
  <r>
    <x v="0"/>
    <x v="7"/>
    <x v="2"/>
    <n v="0"/>
    <n v="3"/>
    <n v="3"/>
    <x v="2"/>
    <x v="1"/>
    <x v="1"/>
    <x v="10"/>
  </r>
  <r>
    <x v="1"/>
    <x v="7"/>
    <x v="4"/>
    <n v="1"/>
    <n v="4"/>
    <n v="4"/>
    <x v="0"/>
    <x v="0"/>
    <x v="0"/>
    <x v="14"/>
  </r>
  <r>
    <x v="0"/>
    <x v="7"/>
    <x v="4"/>
    <n v="1"/>
    <n v="3"/>
    <n v="2"/>
    <x v="3"/>
    <x v="2"/>
    <x v="4"/>
    <x v="15"/>
  </r>
  <r>
    <x v="0"/>
    <x v="7"/>
    <x v="2"/>
    <n v="0"/>
    <n v="2"/>
    <n v="3"/>
    <x v="1"/>
    <x v="1"/>
    <x v="1"/>
    <x v="3"/>
  </r>
  <r>
    <x v="1"/>
    <x v="7"/>
    <x v="2"/>
    <n v="0"/>
    <n v="5"/>
    <n v="4"/>
    <x v="2"/>
    <x v="1"/>
    <x v="1"/>
    <x v="6"/>
  </r>
  <r>
    <x v="1"/>
    <x v="7"/>
    <x v="5"/>
    <n v="1"/>
    <n v="3"/>
    <n v="2"/>
    <x v="1"/>
    <x v="2"/>
    <x v="5"/>
    <x v="4"/>
  </r>
  <r>
    <x v="0"/>
    <x v="7"/>
    <x v="2"/>
    <n v="0"/>
    <n v="3"/>
    <n v="3"/>
    <x v="3"/>
    <x v="1"/>
    <x v="1"/>
    <x v="90"/>
  </r>
  <r>
    <x v="1"/>
    <x v="7"/>
    <x v="4"/>
    <n v="1"/>
    <n v="5"/>
    <n v="5"/>
    <x v="3"/>
    <x v="3"/>
    <x v="4"/>
    <x v="91"/>
  </r>
  <r>
    <x v="1"/>
    <x v="7"/>
    <x v="3"/>
    <n v="1"/>
    <n v="4"/>
    <n v="2"/>
    <x v="2"/>
    <x v="3"/>
    <x v="2"/>
    <x v="14"/>
  </r>
  <r>
    <x v="0"/>
    <x v="7"/>
    <x v="2"/>
    <n v="0"/>
    <n v="2"/>
    <n v="2"/>
    <x v="1"/>
    <x v="1"/>
    <x v="1"/>
    <x v="7"/>
  </r>
  <r>
    <x v="1"/>
    <x v="7"/>
    <x v="2"/>
    <n v="0"/>
    <n v="2"/>
    <n v="2"/>
    <x v="2"/>
    <x v="1"/>
    <x v="1"/>
    <x v="9"/>
  </r>
  <r>
    <x v="1"/>
    <x v="7"/>
    <x v="3"/>
    <n v="1"/>
    <n v="4"/>
    <n v="4"/>
    <x v="3"/>
    <x v="3"/>
    <x v="0"/>
    <x v="2"/>
  </r>
  <r>
    <x v="0"/>
    <x v="7"/>
    <x v="1"/>
    <n v="1"/>
    <n v="2"/>
    <n v="3"/>
    <x v="2"/>
    <x v="3"/>
    <x v="2"/>
    <x v="6"/>
  </r>
  <r>
    <x v="0"/>
    <x v="7"/>
    <x v="2"/>
    <n v="0"/>
    <n v="1"/>
    <n v="1"/>
    <x v="1"/>
    <x v="1"/>
    <x v="1"/>
    <x v="21"/>
  </r>
  <r>
    <x v="0"/>
    <x v="7"/>
    <x v="2"/>
    <n v="0"/>
    <n v="4"/>
    <n v="3"/>
    <x v="1"/>
    <x v="1"/>
    <x v="1"/>
    <x v="4"/>
  </r>
  <r>
    <x v="1"/>
    <x v="7"/>
    <x v="4"/>
    <n v="1"/>
    <n v="5"/>
    <n v="5"/>
    <x v="2"/>
    <x v="2"/>
    <x v="4"/>
    <x v="24"/>
  </r>
  <r>
    <x v="1"/>
    <x v="7"/>
    <x v="4"/>
    <n v="1"/>
    <n v="4"/>
    <n v="6"/>
    <x v="2"/>
    <x v="2"/>
    <x v="5"/>
    <x v="8"/>
  </r>
  <r>
    <x v="0"/>
    <x v="7"/>
    <x v="5"/>
    <n v="1"/>
    <n v="3"/>
    <n v="4"/>
    <x v="2"/>
    <x v="3"/>
    <x v="4"/>
    <x v="13"/>
  </r>
  <r>
    <x v="1"/>
    <x v="7"/>
    <x v="4"/>
    <n v="1"/>
    <n v="2"/>
    <n v="5"/>
    <x v="1"/>
    <x v="0"/>
    <x v="0"/>
    <x v="5"/>
  </r>
  <r>
    <x v="0"/>
    <x v="7"/>
    <x v="2"/>
    <n v="0"/>
    <n v="4"/>
    <n v="3"/>
    <x v="3"/>
    <x v="1"/>
    <x v="1"/>
    <x v="12"/>
  </r>
  <r>
    <x v="1"/>
    <x v="7"/>
    <x v="5"/>
    <n v="1"/>
    <n v="4"/>
    <n v="5"/>
    <x v="2"/>
    <x v="0"/>
    <x v="0"/>
    <x v="2"/>
  </r>
  <r>
    <x v="1"/>
    <x v="7"/>
    <x v="2"/>
    <n v="0"/>
    <n v="2"/>
    <n v="4"/>
    <x v="1"/>
    <x v="1"/>
    <x v="1"/>
    <x v="23"/>
  </r>
  <r>
    <x v="1"/>
    <x v="7"/>
    <x v="4"/>
    <n v="1"/>
    <n v="3"/>
    <n v="4"/>
    <x v="2"/>
    <x v="3"/>
    <x v="5"/>
    <x v="21"/>
  </r>
  <r>
    <x v="1"/>
    <x v="7"/>
    <x v="4"/>
    <n v="1"/>
    <n v="3"/>
    <n v="2"/>
    <x v="2"/>
    <x v="0"/>
    <x v="0"/>
    <x v="21"/>
  </r>
  <r>
    <x v="1"/>
    <x v="7"/>
    <x v="1"/>
    <n v="1"/>
    <n v="3"/>
    <n v="2"/>
    <x v="1"/>
    <x v="2"/>
    <x v="2"/>
    <x v="8"/>
  </r>
  <r>
    <x v="0"/>
    <x v="7"/>
    <x v="0"/>
    <n v="1"/>
    <n v="3"/>
    <n v="4"/>
    <x v="2"/>
    <x v="3"/>
    <x v="2"/>
    <x v="81"/>
  </r>
  <r>
    <x v="1"/>
    <x v="8"/>
    <x v="2"/>
    <n v="0"/>
    <n v="3"/>
    <n v="4"/>
    <x v="4"/>
    <x v="1"/>
    <x v="1"/>
    <x v="20"/>
  </r>
  <r>
    <x v="0"/>
    <x v="8"/>
    <x v="2"/>
    <n v="0"/>
    <n v="4"/>
    <n v="4"/>
    <x v="4"/>
    <x v="1"/>
    <x v="1"/>
    <x v="2"/>
  </r>
  <r>
    <x v="1"/>
    <x v="8"/>
    <x v="2"/>
    <n v="0"/>
    <n v="6"/>
    <n v="6"/>
    <x v="4"/>
    <x v="1"/>
    <x v="1"/>
    <x v="20"/>
  </r>
  <r>
    <x v="0"/>
    <x v="8"/>
    <x v="3"/>
    <n v="1"/>
    <n v="3"/>
    <n v="4"/>
    <x v="4"/>
    <x v="0"/>
    <x v="0"/>
    <x v="20"/>
  </r>
  <r>
    <x v="0"/>
    <x v="8"/>
    <x v="2"/>
    <n v="0"/>
    <n v="6"/>
    <n v="6"/>
    <x v="4"/>
    <x v="1"/>
    <x v="1"/>
    <x v="20"/>
  </r>
  <r>
    <x v="0"/>
    <x v="8"/>
    <x v="2"/>
    <n v="0"/>
    <n v="3"/>
    <n v="5"/>
    <x v="4"/>
    <x v="1"/>
    <x v="1"/>
    <x v="4"/>
  </r>
  <r>
    <x v="0"/>
    <x v="8"/>
    <x v="2"/>
    <n v="0"/>
    <n v="6"/>
    <n v="5"/>
    <x v="4"/>
    <x v="1"/>
    <x v="1"/>
    <x v="20"/>
  </r>
  <r>
    <x v="0"/>
    <x v="8"/>
    <x v="2"/>
    <n v="0"/>
    <n v="5"/>
    <n v="5"/>
    <x v="4"/>
    <x v="1"/>
    <x v="1"/>
    <x v="20"/>
  </r>
  <r>
    <x v="0"/>
    <x v="8"/>
    <x v="2"/>
    <n v="0"/>
    <n v="5"/>
    <n v="5"/>
    <x v="4"/>
    <x v="1"/>
    <x v="1"/>
    <x v="20"/>
  </r>
  <r>
    <x v="1"/>
    <x v="8"/>
    <x v="3"/>
    <n v="1"/>
    <n v="5"/>
    <n v="5"/>
    <x v="4"/>
    <x v="4"/>
    <x v="4"/>
    <x v="20"/>
  </r>
  <r>
    <x v="1"/>
    <x v="8"/>
    <x v="5"/>
    <n v="1"/>
    <n v="5"/>
    <n v="5"/>
    <x v="4"/>
    <x v="3"/>
    <x v="2"/>
    <x v="8"/>
  </r>
  <r>
    <x v="0"/>
    <x v="8"/>
    <x v="5"/>
    <n v="1"/>
    <n v="5"/>
    <n v="5"/>
    <x v="4"/>
    <x v="3"/>
    <x v="2"/>
    <x v="20"/>
  </r>
  <r>
    <x v="0"/>
    <x v="8"/>
    <x v="2"/>
    <n v="0"/>
    <n v="3"/>
    <n v="4"/>
    <x v="4"/>
    <x v="1"/>
    <x v="1"/>
    <x v="20"/>
  </r>
  <r>
    <x v="0"/>
    <x v="8"/>
    <x v="2"/>
    <n v="0"/>
    <n v="3"/>
    <n v="5"/>
    <x v="4"/>
    <x v="1"/>
    <x v="1"/>
    <x v="20"/>
  </r>
  <r>
    <x v="0"/>
    <x v="8"/>
    <x v="2"/>
    <n v="0"/>
    <n v="6"/>
    <n v="6"/>
    <x v="4"/>
    <x v="1"/>
    <x v="1"/>
    <x v="20"/>
  </r>
  <r>
    <x v="0"/>
    <x v="8"/>
    <x v="2"/>
    <n v="0"/>
    <n v="6"/>
    <n v="5"/>
    <x v="4"/>
    <x v="1"/>
    <x v="1"/>
    <x v="20"/>
  </r>
  <r>
    <x v="0"/>
    <x v="8"/>
    <x v="2"/>
    <n v="0"/>
    <n v="6"/>
    <n v="6"/>
    <x v="4"/>
    <x v="1"/>
    <x v="1"/>
    <x v="20"/>
  </r>
  <r>
    <x v="0"/>
    <x v="8"/>
    <x v="2"/>
    <n v="0"/>
    <n v="5"/>
    <n v="5"/>
    <x v="4"/>
    <x v="1"/>
    <x v="1"/>
    <x v="20"/>
  </r>
  <r>
    <x v="0"/>
    <x v="8"/>
    <x v="3"/>
    <n v="1"/>
    <n v="6"/>
    <n v="6"/>
    <x v="4"/>
    <x v="3"/>
    <x v="2"/>
    <x v="20"/>
  </r>
  <r>
    <x v="0"/>
    <x v="8"/>
    <x v="2"/>
    <n v="0"/>
    <n v="5"/>
    <n v="5"/>
    <x v="4"/>
    <x v="1"/>
    <x v="1"/>
    <x v="4"/>
  </r>
  <r>
    <x v="1"/>
    <x v="8"/>
    <x v="3"/>
    <n v="1"/>
    <n v="5"/>
    <n v="5"/>
    <x v="4"/>
    <x v="2"/>
    <x v="0"/>
    <x v="20"/>
  </r>
  <r>
    <x v="1"/>
    <x v="8"/>
    <x v="5"/>
    <n v="1"/>
    <n v="5"/>
    <n v="5"/>
    <x v="4"/>
    <x v="4"/>
    <x v="4"/>
    <x v="20"/>
  </r>
  <r>
    <x v="1"/>
    <x v="8"/>
    <x v="3"/>
    <n v="1"/>
    <n v="4"/>
    <n v="5"/>
    <x v="4"/>
    <x v="3"/>
    <x v="0"/>
    <x v="2"/>
  </r>
  <r>
    <x v="1"/>
    <x v="8"/>
    <x v="0"/>
    <n v="1"/>
    <n v="5"/>
    <n v="6"/>
    <x v="4"/>
    <x v="4"/>
    <x v="2"/>
    <x v="20"/>
  </r>
  <r>
    <x v="1"/>
    <x v="8"/>
    <x v="2"/>
    <n v="0"/>
    <n v="3"/>
    <n v="3"/>
    <x v="4"/>
    <x v="1"/>
    <x v="1"/>
    <x v="20"/>
  </r>
  <r>
    <x v="0"/>
    <x v="8"/>
    <x v="2"/>
    <n v="0"/>
    <n v="4"/>
    <n v="3"/>
    <x v="4"/>
    <x v="1"/>
    <x v="1"/>
    <x v="20"/>
  </r>
  <r>
    <x v="1"/>
    <x v="8"/>
    <x v="5"/>
    <n v="1"/>
    <n v="5"/>
    <n v="5"/>
    <x v="4"/>
    <x v="0"/>
    <x v="0"/>
    <x v="20"/>
  </r>
  <r>
    <x v="0"/>
    <x v="8"/>
    <x v="2"/>
    <n v="0"/>
    <n v="5"/>
    <n v="5"/>
    <x v="4"/>
    <x v="1"/>
    <x v="1"/>
    <x v="8"/>
  </r>
  <r>
    <x v="0"/>
    <x v="8"/>
    <x v="3"/>
    <n v="1"/>
    <n v="4"/>
    <n v="4"/>
    <x v="4"/>
    <x v="0"/>
    <x v="0"/>
    <x v="20"/>
  </r>
  <r>
    <x v="0"/>
    <x v="8"/>
    <x v="2"/>
    <n v="0"/>
    <n v="5"/>
    <n v="5"/>
    <x v="4"/>
    <x v="1"/>
    <x v="1"/>
    <x v="20"/>
  </r>
  <r>
    <x v="0"/>
    <x v="8"/>
    <x v="0"/>
    <n v="1"/>
    <n v="4"/>
    <n v="5"/>
    <x v="4"/>
    <x v="3"/>
    <x v="0"/>
    <x v="2"/>
  </r>
  <r>
    <x v="0"/>
    <x v="8"/>
    <x v="4"/>
    <n v="1"/>
    <n v="5"/>
    <n v="5"/>
    <x v="4"/>
    <x v="0"/>
    <x v="0"/>
    <x v="20"/>
  </r>
  <r>
    <x v="1"/>
    <x v="8"/>
    <x v="4"/>
    <n v="1"/>
    <n v="3"/>
    <n v="3"/>
    <x v="4"/>
    <x v="4"/>
    <x v="2"/>
    <x v="6"/>
  </r>
  <r>
    <x v="1"/>
    <x v="8"/>
    <x v="1"/>
    <n v="1"/>
    <n v="4"/>
    <n v="4"/>
    <x v="4"/>
    <x v="0"/>
    <x v="0"/>
    <x v="20"/>
  </r>
  <r>
    <x v="0"/>
    <x v="8"/>
    <x v="3"/>
    <n v="1"/>
    <n v="3"/>
    <n v="3"/>
    <x v="4"/>
    <x v="3"/>
    <x v="0"/>
    <x v="6"/>
  </r>
  <r>
    <x v="0"/>
    <x v="8"/>
    <x v="2"/>
    <n v="0"/>
    <n v="4"/>
    <n v="4"/>
    <x v="4"/>
    <x v="1"/>
    <x v="1"/>
    <x v="20"/>
  </r>
  <r>
    <x v="0"/>
    <x v="8"/>
    <x v="2"/>
    <n v="0"/>
    <n v="4"/>
    <n v="5"/>
    <x v="4"/>
    <x v="1"/>
    <x v="1"/>
    <x v="20"/>
  </r>
  <r>
    <x v="0"/>
    <x v="8"/>
    <x v="5"/>
    <n v="1"/>
    <n v="5"/>
    <n v="5"/>
    <x v="4"/>
    <x v="2"/>
    <x v="0"/>
    <x v="20"/>
  </r>
  <r>
    <x v="0"/>
    <x v="8"/>
    <x v="2"/>
    <n v="0"/>
    <n v="4"/>
    <n v="4"/>
    <x v="4"/>
    <x v="1"/>
    <x v="1"/>
    <x v="20"/>
  </r>
  <r>
    <x v="1"/>
    <x v="8"/>
    <x v="3"/>
    <n v="1"/>
    <n v="5"/>
    <n v="5"/>
    <x v="4"/>
    <x v="2"/>
    <x v="4"/>
    <x v="4"/>
  </r>
  <r>
    <x v="1"/>
    <x v="8"/>
    <x v="4"/>
    <n v="1"/>
    <n v="5"/>
    <n v="5"/>
    <x v="4"/>
    <x v="2"/>
    <x v="2"/>
    <x v="14"/>
  </r>
  <r>
    <x v="1"/>
    <x v="8"/>
    <x v="4"/>
    <n v="1"/>
    <n v="5"/>
    <n v="5"/>
    <x v="4"/>
    <x v="0"/>
    <x v="5"/>
    <x v="20"/>
  </r>
  <r>
    <x v="0"/>
    <x v="8"/>
    <x v="2"/>
    <n v="0"/>
    <n v="4"/>
    <n v="4"/>
    <x v="4"/>
    <x v="1"/>
    <x v="1"/>
    <x v="20"/>
  </r>
  <r>
    <x v="1"/>
    <x v="8"/>
    <x v="1"/>
    <n v="1"/>
    <n v="6"/>
    <n v="6"/>
    <x v="4"/>
    <x v="3"/>
    <x v="2"/>
    <x v="50"/>
  </r>
  <r>
    <x v="0"/>
    <x v="8"/>
    <x v="2"/>
    <n v="0"/>
    <n v="4"/>
    <n v="4"/>
    <x v="4"/>
    <x v="1"/>
    <x v="1"/>
    <x v="20"/>
  </r>
  <r>
    <x v="1"/>
    <x v="8"/>
    <x v="2"/>
    <n v="0"/>
    <n v="5"/>
    <n v="5"/>
    <x v="4"/>
    <x v="1"/>
    <x v="1"/>
    <x v="20"/>
  </r>
  <r>
    <x v="1"/>
    <x v="8"/>
    <x v="4"/>
    <n v="1"/>
    <n v="4"/>
    <n v="5"/>
    <x v="4"/>
    <x v="4"/>
    <x v="2"/>
    <x v="20"/>
  </r>
  <r>
    <x v="1"/>
    <x v="8"/>
    <x v="3"/>
    <n v="1"/>
    <n v="6"/>
    <n v="5"/>
    <x v="4"/>
    <x v="4"/>
    <x v="3"/>
    <x v="20"/>
  </r>
  <r>
    <x v="0"/>
    <x v="9"/>
    <x v="2"/>
    <n v="0"/>
    <n v="4"/>
    <n v="4"/>
    <x v="2"/>
    <x v="1"/>
    <x v="1"/>
    <x v="2"/>
  </r>
  <r>
    <x v="0"/>
    <x v="9"/>
    <x v="2"/>
    <n v="0"/>
    <n v="3"/>
    <n v="4"/>
    <x v="2"/>
    <x v="1"/>
    <x v="1"/>
    <x v="92"/>
  </r>
  <r>
    <x v="0"/>
    <x v="9"/>
    <x v="2"/>
    <n v="0"/>
    <n v="4"/>
    <n v="4"/>
    <x v="1"/>
    <x v="1"/>
    <x v="1"/>
    <x v="93"/>
  </r>
  <r>
    <x v="0"/>
    <x v="9"/>
    <x v="1"/>
    <n v="1"/>
    <n v="2"/>
    <n v="4"/>
    <x v="2"/>
    <x v="4"/>
    <x v="0"/>
    <x v="13"/>
  </r>
  <r>
    <x v="0"/>
    <x v="9"/>
    <x v="3"/>
    <n v="1"/>
    <n v="2"/>
    <n v="4"/>
    <x v="0"/>
    <x v="0"/>
    <x v="0"/>
    <x v="8"/>
  </r>
  <r>
    <x v="0"/>
    <x v="9"/>
    <x v="3"/>
    <n v="1"/>
    <n v="4"/>
    <n v="3"/>
    <x v="1"/>
    <x v="0"/>
    <x v="0"/>
    <x v="3"/>
  </r>
  <r>
    <x v="0"/>
    <x v="9"/>
    <x v="2"/>
    <n v="0"/>
    <n v="2"/>
    <n v="4"/>
    <x v="2"/>
    <x v="1"/>
    <x v="1"/>
    <x v="8"/>
  </r>
  <r>
    <x v="0"/>
    <x v="9"/>
    <x v="1"/>
    <n v="1"/>
    <n v="4"/>
    <n v="3"/>
    <x v="1"/>
    <x v="4"/>
    <x v="0"/>
    <x v="15"/>
  </r>
  <r>
    <x v="0"/>
    <x v="9"/>
    <x v="2"/>
    <n v="0"/>
    <n v="2"/>
    <n v="5"/>
    <x v="2"/>
    <x v="1"/>
    <x v="1"/>
    <x v="20"/>
  </r>
  <r>
    <x v="0"/>
    <x v="9"/>
    <x v="3"/>
    <n v="1"/>
    <n v="5"/>
    <n v="6"/>
    <x v="3"/>
    <x v="0"/>
    <x v="0"/>
    <x v="12"/>
  </r>
  <r>
    <x v="0"/>
    <x v="9"/>
    <x v="2"/>
    <n v="0"/>
    <n v="1"/>
    <n v="3"/>
    <x v="1"/>
    <x v="1"/>
    <x v="1"/>
    <x v="35"/>
  </r>
  <r>
    <x v="0"/>
    <x v="9"/>
    <x v="1"/>
    <n v="1"/>
    <n v="3"/>
    <n v="3"/>
    <x v="2"/>
    <x v="0"/>
    <x v="0"/>
    <x v="14"/>
  </r>
  <r>
    <x v="0"/>
    <x v="9"/>
    <x v="2"/>
    <n v="0"/>
    <n v="4"/>
    <n v="3"/>
    <x v="2"/>
    <x v="1"/>
    <x v="1"/>
    <x v="21"/>
  </r>
  <r>
    <x v="0"/>
    <x v="9"/>
    <x v="2"/>
    <n v="0"/>
    <n v="5"/>
    <n v="4"/>
    <x v="0"/>
    <x v="1"/>
    <x v="1"/>
    <x v="2"/>
  </r>
  <r>
    <x v="0"/>
    <x v="9"/>
    <x v="2"/>
    <n v="0"/>
    <n v="3"/>
    <n v="3"/>
    <x v="3"/>
    <x v="1"/>
    <x v="1"/>
    <x v="37"/>
  </r>
  <r>
    <x v="0"/>
    <x v="9"/>
    <x v="2"/>
    <n v="0"/>
    <n v="2"/>
    <n v="4"/>
    <x v="3"/>
    <x v="1"/>
    <x v="1"/>
    <x v="2"/>
  </r>
  <r>
    <x v="0"/>
    <x v="9"/>
    <x v="2"/>
    <n v="0"/>
    <n v="4"/>
    <n v="4"/>
    <x v="2"/>
    <x v="1"/>
    <x v="1"/>
    <x v="23"/>
  </r>
  <r>
    <x v="1"/>
    <x v="9"/>
    <x v="3"/>
    <n v="1"/>
    <n v="3"/>
    <n v="3"/>
    <x v="0"/>
    <x v="3"/>
    <x v="2"/>
    <x v="33"/>
  </r>
  <r>
    <x v="1"/>
    <x v="9"/>
    <x v="2"/>
    <n v="0"/>
    <n v="3"/>
    <n v="2"/>
    <x v="1"/>
    <x v="1"/>
    <x v="1"/>
    <x v="94"/>
  </r>
  <r>
    <x v="1"/>
    <x v="9"/>
    <x v="3"/>
    <n v="1"/>
    <n v="4"/>
    <n v="3"/>
    <x v="1"/>
    <x v="2"/>
    <x v="4"/>
    <x v="2"/>
  </r>
  <r>
    <x v="1"/>
    <x v="9"/>
    <x v="1"/>
    <n v="1"/>
    <n v="5"/>
    <n v="5"/>
    <x v="3"/>
    <x v="2"/>
    <x v="4"/>
    <x v="8"/>
  </r>
  <r>
    <x v="1"/>
    <x v="9"/>
    <x v="3"/>
    <n v="1"/>
    <n v="4"/>
    <n v="5"/>
    <x v="3"/>
    <x v="2"/>
    <x v="3"/>
    <x v="8"/>
  </r>
  <r>
    <x v="1"/>
    <x v="9"/>
    <x v="4"/>
    <n v="1"/>
    <n v="2"/>
    <n v="4"/>
    <x v="3"/>
    <x v="4"/>
    <x v="2"/>
    <x v="35"/>
  </r>
  <r>
    <x v="1"/>
    <x v="9"/>
    <x v="5"/>
    <n v="1"/>
    <n v="3"/>
    <n v="3"/>
    <x v="3"/>
    <x v="2"/>
    <x v="0"/>
    <x v="14"/>
  </r>
  <r>
    <x v="1"/>
    <x v="9"/>
    <x v="3"/>
    <n v="1"/>
    <n v="3"/>
    <n v="4"/>
    <x v="1"/>
    <x v="2"/>
    <x v="2"/>
    <x v="19"/>
  </r>
  <r>
    <x v="1"/>
    <x v="9"/>
    <x v="5"/>
    <n v="1"/>
    <n v="4"/>
    <n v="3"/>
    <x v="2"/>
    <x v="2"/>
    <x v="4"/>
    <x v="89"/>
  </r>
  <r>
    <x v="1"/>
    <x v="9"/>
    <x v="0"/>
    <n v="1"/>
    <n v="4"/>
    <n v="5"/>
    <x v="2"/>
    <x v="0"/>
    <x v="4"/>
    <x v="14"/>
  </r>
  <r>
    <x v="1"/>
    <x v="9"/>
    <x v="1"/>
    <n v="1"/>
    <n v="5"/>
    <n v="5"/>
    <x v="2"/>
    <x v="3"/>
    <x v="0"/>
    <x v="37"/>
  </r>
  <r>
    <x v="1"/>
    <x v="9"/>
    <x v="5"/>
    <n v="1"/>
    <n v="2"/>
    <n v="5"/>
    <x v="1"/>
    <x v="4"/>
    <x v="4"/>
    <x v="11"/>
  </r>
  <r>
    <x v="1"/>
    <x v="9"/>
    <x v="1"/>
    <n v="1"/>
    <n v="5"/>
    <n v="5"/>
    <x v="3"/>
    <x v="4"/>
    <x v="2"/>
    <x v="46"/>
  </r>
  <r>
    <x v="0"/>
    <x v="9"/>
    <x v="2"/>
    <n v="0"/>
    <n v="3"/>
    <n v="3"/>
    <x v="1"/>
    <x v="1"/>
    <x v="1"/>
    <x v="44"/>
  </r>
  <r>
    <x v="1"/>
    <x v="9"/>
    <x v="0"/>
    <n v="1"/>
    <n v="2"/>
    <n v="4"/>
    <x v="2"/>
    <x v="3"/>
    <x v="2"/>
    <x v="26"/>
  </r>
  <r>
    <x v="1"/>
    <x v="10"/>
    <x v="3"/>
    <n v="1"/>
    <n v="4"/>
    <n v="2"/>
    <x v="1"/>
    <x v="0"/>
    <x v="0"/>
    <x v="21"/>
  </r>
  <r>
    <x v="1"/>
    <x v="10"/>
    <x v="3"/>
    <n v="1"/>
    <n v="2"/>
    <n v="1"/>
    <x v="2"/>
    <x v="3"/>
    <x v="4"/>
    <x v="95"/>
  </r>
  <r>
    <x v="0"/>
    <x v="10"/>
    <x v="5"/>
    <n v="1"/>
    <n v="2"/>
    <n v="4"/>
    <x v="3"/>
    <x v="0"/>
    <x v="0"/>
    <x v="11"/>
  </r>
  <r>
    <x v="0"/>
    <x v="10"/>
    <x v="3"/>
    <n v="1"/>
    <n v="2"/>
    <n v="2"/>
    <x v="1"/>
    <x v="0"/>
    <x v="0"/>
    <x v="96"/>
  </r>
  <r>
    <x v="0"/>
    <x v="10"/>
    <x v="4"/>
    <n v="1"/>
    <n v="4"/>
    <n v="4"/>
    <x v="2"/>
    <x v="4"/>
    <x v="2"/>
    <x v="2"/>
  </r>
  <r>
    <x v="0"/>
    <x v="10"/>
    <x v="5"/>
    <n v="1"/>
    <n v="3"/>
    <n v="4"/>
    <x v="2"/>
    <x v="3"/>
    <x v="0"/>
    <x v="2"/>
  </r>
  <r>
    <x v="0"/>
    <x v="10"/>
    <x v="3"/>
    <n v="1"/>
    <n v="4"/>
    <n v="4"/>
    <x v="2"/>
    <x v="0"/>
    <x v="2"/>
    <x v="4"/>
  </r>
  <r>
    <x v="1"/>
    <x v="10"/>
    <x v="4"/>
    <n v="1"/>
    <n v="2"/>
    <n v="2"/>
    <x v="1"/>
    <x v="4"/>
    <x v="0"/>
    <x v="15"/>
  </r>
  <r>
    <x v="1"/>
    <x v="10"/>
    <x v="4"/>
    <n v="1"/>
    <n v="5"/>
    <n v="4"/>
    <x v="3"/>
    <x v="4"/>
    <x v="4"/>
    <x v="8"/>
  </r>
  <r>
    <x v="0"/>
    <x v="10"/>
    <x v="2"/>
    <n v="0"/>
    <n v="1"/>
    <n v="3"/>
    <x v="2"/>
    <x v="1"/>
    <x v="1"/>
    <x v="14"/>
  </r>
  <r>
    <x v="0"/>
    <x v="10"/>
    <x v="2"/>
    <n v="0"/>
    <n v="2"/>
    <n v="3"/>
    <x v="3"/>
    <x v="1"/>
    <x v="1"/>
    <x v="8"/>
  </r>
  <r>
    <x v="1"/>
    <x v="10"/>
    <x v="4"/>
    <n v="1"/>
    <n v="3"/>
    <n v="4"/>
    <x v="2"/>
    <x v="4"/>
    <x v="4"/>
    <x v="4"/>
  </r>
  <r>
    <x v="0"/>
    <x v="10"/>
    <x v="4"/>
    <n v="1"/>
    <n v="2"/>
    <n v="2"/>
    <x v="2"/>
    <x v="4"/>
    <x v="3"/>
    <x v="2"/>
  </r>
  <r>
    <x v="0"/>
    <x v="10"/>
    <x v="1"/>
    <n v="1"/>
    <n v="3"/>
    <n v="2"/>
    <x v="1"/>
    <x v="2"/>
    <x v="2"/>
    <x v="4"/>
  </r>
  <r>
    <x v="0"/>
    <x v="10"/>
    <x v="1"/>
    <n v="1"/>
    <n v="2"/>
    <n v="4"/>
    <x v="2"/>
    <x v="2"/>
    <x v="2"/>
    <x v="4"/>
  </r>
  <r>
    <x v="0"/>
    <x v="10"/>
    <x v="1"/>
    <n v="1"/>
    <n v="4"/>
    <n v="2"/>
    <x v="1"/>
    <x v="0"/>
    <x v="0"/>
    <x v="15"/>
  </r>
  <r>
    <x v="1"/>
    <x v="10"/>
    <x v="4"/>
    <n v="1"/>
    <n v="2"/>
    <n v="3"/>
    <x v="1"/>
    <x v="4"/>
    <x v="2"/>
    <x v="15"/>
  </r>
  <r>
    <x v="0"/>
    <x v="10"/>
    <x v="4"/>
    <n v="1"/>
    <n v="2"/>
    <n v="2"/>
    <x v="1"/>
    <x v="4"/>
    <x v="5"/>
    <x v="97"/>
  </r>
  <r>
    <x v="1"/>
    <x v="10"/>
    <x v="4"/>
    <n v="1"/>
    <n v="3"/>
    <n v="3"/>
    <x v="2"/>
    <x v="3"/>
    <x v="2"/>
    <x v="35"/>
  </r>
  <r>
    <x v="1"/>
    <x v="10"/>
    <x v="4"/>
    <n v="1"/>
    <n v="2"/>
    <n v="3"/>
    <x v="2"/>
    <x v="4"/>
    <x v="4"/>
    <x v="5"/>
  </r>
  <r>
    <x v="1"/>
    <x v="7"/>
    <x v="4"/>
    <n v="1"/>
    <n v="3"/>
    <n v="2"/>
    <x v="1"/>
    <x v="4"/>
    <x v="3"/>
    <x v="42"/>
  </r>
  <r>
    <x v="1"/>
    <x v="7"/>
    <x v="5"/>
    <n v="1"/>
    <n v="4"/>
    <n v="4"/>
    <x v="2"/>
    <x v="0"/>
    <x v="0"/>
    <x v="4"/>
  </r>
  <r>
    <x v="1"/>
    <x v="7"/>
    <x v="1"/>
    <n v="1"/>
    <n v="4"/>
    <n v="3"/>
    <x v="2"/>
    <x v="0"/>
    <x v="2"/>
    <x v="76"/>
  </r>
  <r>
    <x v="0"/>
    <x v="7"/>
    <x v="0"/>
    <n v="1"/>
    <n v="4"/>
    <n v="3"/>
    <x v="3"/>
    <x v="3"/>
    <x v="0"/>
    <x v="4"/>
  </r>
  <r>
    <x v="1"/>
    <x v="7"/>
    <x v="2"/>
    <n v="0"/>
    <n v="4"/>
    <n v="3"/>
    <x v="2"/>
    <x v="1"/>
    <x v="1"/>
    <x v="98"/>
  </r>
  <r>
    <x v="0"/>
    <x v="7"/>
    <x v="2"/>
    <n v="0"/>
    <n v="3"/>
    <n v="5"/>
    <x v="3"/>
    <x v="1"/>
    <x v="1"/>
    <x v="21"/>
  </r>
  <r>
    <x v="0"/>
    <x v="7"/>
    <x v="3"/>
    <n v="1"/>
    <n v="2"/>
    <n v="5"/>
    <x v="1"/>
    <x v="0"/>
    <x v="0"/>
    <x v="99"/>
  </r>
  <r>
    <x v="0"/>
    <x v="7"/>
    <x v="4"/>
    <n v="1"/>
    <n v="4"/>
    <n v="3"/>
    <x v="3"/>
    <x v="4"/>
    <x v="2"/>
    <x v="67"/>
  </r>
  <r>
    <x v="1"/>
    <x v="7"/>
    <x v="4"/>
    <n v="1"/>
    <n v="3"/>
    <n v="3"/>
    <x v="0"/>
    <x v="4"/>
    <x v="2"/>
    <x v="14"/>
  </r>
  <r>
    <x v="1"/>
    <x v="7"/>
    <x v="5"/>
    <n v="1"/>
    <n v="1"/>
    <n v="3"/>
    <x v="2"/>
    <x v="3"/>
    <x v="2"/>
    <x v="2"/>
  </r>
  <r>
    <x v="0"/>
    <x v="7"/>
    <x v="2"/>
    <n v="0"/>
    <n v="4"/>
    <n v="4"/>
    <x v="3"/>
    <x v="1"/>
    <x v="1"/>
    <x v="15"/>
  </r>
  <r>
    <x v="1"/>
    <x v="7"/>
    <x v="4"/>
    <n v="1"/>
    <n v="3"/>
    <n v="4"/>
    <x v="2"/>
    <x v="4"/>
    <x v="4"/>
    <x v="21"/>
  </r>
  <r>
    <x v="0"/>
    <x v="7"/>
    <x v="2"/>
    <n v="0"/>
    <n v="3"/>
    <n v="3"/>
    <x v="2"/>
    <x v="1"/>
    <x v="1"/>
    <x v="21"/>
  </r>
  <r>
    <x v="0"/>
    <x v="7"/>
    <x v="5"/>
    <n v="1"/>
    <n v="4"/>
    <n v="4"/>
    <x v="2"/>
    <x v="3"/>
    <x v="0"/>
    <x v="15"/>
  </r>
  <r>
    <x v="1"/>
    <x v="3"/>
    <x v="3"/>
    <n v="1"/>
    <n v="3"/>
    <n v="4"/>
    <x v="2"/>
    <x v="3"/>
    <x v="0"/>
    <x v="6"/>
  </r>
  <r>
    <x v="0"/>
    <x v="3"/>
    <x v="5"/>
    <n v="1"/>
    <n v="2"/>
    <n v="2"/>
    <x v="1"/>
    <x v="0"/>
    <x v="2"/>
    <x v="97"/>
  </r>
  <r>
    <x v="0"/>
    <x v="3"/>
    <x v="5"/>
    <n v="1"/>
    <n v="3"/>
    <n v="3"/>
    <x v="2"/>
    <x v="4"/>
    <x v="2"/>
    <x v="100"/>
  </r>
  <r>
    <x v="1"/>
    <x v="3"/>
    <x v="3"/>
    <n v="1"/>
    <n v="4"/>
    <n v="6"/>
    <x v="3"/>
    <x v="4"/>
    <x v="4"/>
    <x v="14"/>
  </r>
  <r>
    <x v="1"/>
    <x v="3"/>
    <x v="5"/>
    <n v="1"/>
    <n v="3"/>
    <n v="3"/>
    <x v="1"/>
    <x v="2"/>
    <x v="4"/>
    <x v="5"/>
  </r>
  <r>
    <x v="1"/>
    <x v="3"/>
    <x v="1"/>
    <n v="1"/>
    <n v="2"/>
    <n v="3"/>
    <x v="2"/>
    <x v="4"/>
    <x v="5"/>
    <x v="14"/>
  </r>
  <r>
    <x v="1"/>
    <x v="3"/>
    <x v="4"/>
    <n v="1"/>
    <n v="4"/>
    <n v="3"/>
    <x v="3"/>
    <x v="2"/>
    <x v="5"/>
    <x v="6"/>
  </r>
  <r>
    <x v="0"/>
    <x v="3"/>
    <x v="3"/>
    <n v="1"/>
    <n v="2"/>
    <n v="2"/>
    <x v="2"/>
    <x v="0"/>
    <x v="2"/>
    <x v="6"/>
  </r>
  <r>
    <x v="1"/>
    <x v="3"/>
    <x v="0"/>
    <n v="1"/>
    <n v="4"/>
    <n v="4"/>
    <x v="0"/>
    <x v="4"/>
    <x v="3"/>
    <x v="6"/>
  </r>
  <r>
    <x v="1"/>
    <x v="3"/>
    <x v="2"/>
    <n v="0"/>
    <n v="2"/>
    <n v="2"/>
    <x v="2"/>
    <x v="1"/>
    <x v="1"/>
    <x v="14"/>
  </r>
  <r>
    <x v="1"/>
    <x v="3"/>
    <x v="0"/>
    <n v="1"/>
    <n v="5"/>
    <n v="4"/>
    <x v="2"/>
    <x v="4"/>
    <x v="3"/>
    <x v="6"/>
  </r>
  <r>
    <x v="0"/>
    <x v="3"/>
    <x v="3"/>
    <n v="1"/>
    <n v="4"/>
    <n v="4"/>
    <x v="1"/>
    <x v="2"/>
    <x v="0"/>
    <x v="71"/>
  </r>
  <r>
    <x v="0"/>
    <x v="3"/>
    <x v="2"/>
    <n v="0"/>
    <n v="4"/>
    <n v="4"/>
    <x v="2"/>
    <x v="1"/>
    <x v="1"/>
    <x v="14"/>
  </r>
  <r>
    <x v="0"/>
    <x v="3"/>
    <x v="3"/>
    <n v="1"/>
    <n v="4"/>
    <n v="6"/>
    <x v="2"/>
    <x v="4"/>
    <x v="4"/>
    <x v="15"/>
  </r>
  <r>
    <x v="1"/>
    <x v="3"/>
    <x v="5"/>
    <n v="1"/>
    <n v="3"/>
    <n v="4"/>
    <x v="2"/>
    <x v="3"/>
    <x v="0"/>
    <x v="29"/>
  </r>
  <r>
    <x v="0"/>
    <x v="3"/>
    <x v="4"/>
    <n v="1"/>
    <n v="4"/>
    <n v="4"/>
    <x v="1"/>
    <x v="4"/>
    <x v="2"/>
    <x v="17"/>
  </r>
  <r>
    <x v="0"/>
    <x v="3"/>
    <x v="2"/>
    <n v="0"/>
    <n v="5"/>
    <n v="5"/>
    <x v="2"/>
    <x v="1"/>
    <x v="1"/>
    <x v="84"/>
  </r>
  <r>
    <x v="0"/>
    <x v="3"/>
    <x v="2"/>
    <n v="0"/>
    <n v="4"/>
    <n v="5"/>
    <x v="2"/>
    <x v="1"/>
    <x v="1"/>
    <x v="62"/>
  </r>
  <r>
    <x v="0"/>
    <x v="3"/>
    <x v="4"/>
    <n v="1"/>
    <n v="3"/>
    <n v="6"/>
    <x v="2"/>
    <x v="0"/>
    <x v="0"/>
    <x v="65"/>
  </r>
  <r>
    <x v="1"/>
    <x v="3"/>
    <x v="3"/>
    <n v="1"/>
    <n v="4"/>
    <n v="3"/>
    <x v="1"/>
    <x v="3"/>
    <x v="0"/>
    <x v="15"/>
  </r>
  <r>
    <x v="1"/>
    <x v="3"/>
    <x v="4"/>
    <n v="1"/>
    <n v="4"/>
    <n v="6"/>
    <x v="3"/>
    <x v="0"/>
    <x v="4"/>
    <x v="31"/>
  </r>
  <r>
    <x v="0"/>
    <x v="3"/>
    <x v="2"/>
    <n v="0"/>
    <n v="3"/>
    <n v="5"/>
    <x v="1"/>
    <x v="1"/>
    <x v="1"/>
    <x v="4"/>
  </r>
  <r>
    <x v="1"/>
    <x v="3"/>
    <x v="3"/>
    <n v="1"/>
    <n v="5"/>
    <n v="6"/>
    <x v="3"/>
    <x v="0"/>
    <x v="2"/>
    <x v="24"/>
  </r>
  <r>
    <x v="0"/>
    <x v="3"/>
    <x v="2"/>
    <n v="0"/>
    <n v="2"/>
    <n v="4"/>
    <x v="1"/>
    <x v="1"/>
    <x v="1"/>
    <x v="36"/>
  </r>
  <r>
    <x v="1"/>
    <x v="7"/>
    <x v="4"/>
    <n v="1"/>
    <n v="4"/>
    <n v="2"/>
    <x v="2"/>
    <x v="0"/>
    <x v="3"/>
    <x v="7"/>
  </r>
  <r>
    <x v="1"/>
    <x v="7"/>
    <x v="4"/>
    <n v="1"/>
    <n v="4"/>
    <n v="3"/>
    <x v="0"/>
    <x v="4"/>
    <x v="2"/>
    <x v="14"/>
  </r>
  <r>
    <x v="1"/>
    <x v="7"/>
    <x v="4"/>
    <n v="1"/>
    <n v="2"/>
    <n v="2"/>
    <x v="2"/>
    <x v="2"/>
    <x v="5"/>
    <x v="38"/>
  </r>
  <r>
    <x v="0"/>
    <x v="7"/>
    <x v="2"/>
    <n v="0"/>
    <n v="3"/>
    <n v="4"/>
    <x v="1"/>
    <x v="1"/>
    <x v="1"/>
    <x v="8"/>
  </r>
  <r>
    <x v="1"/>
    <x v="7"/>
    <x v="4"/>
    <n v="1"/>
    <n v="2"/>
    <n v="2"/>
    <x v="1"/>
    <x v="4"/>
    <x v="3"/>
    <x v="14"/>
  </r>
  <r>
    <x v="1"/>
    <x v="7"/>
    <x v="1"/>
    <n v="1"/>
    <n v="3"/>
    <n v="3"/>
    <x v="2"/>
    <x v="4"/>
    <x v="4"/>
    <x v="21"/>
  </r>
  <r>
    <x v="0"/>
    <x v="7"/>
    <x v="2"/>
    <n v="0"/>
    <n v="3"/>
    <n v="3"/>
    <x v="2"/>
    <x v="1"/>
    <x v="1"/>
    <x v="21"/>
  </r>
  <r>
    <x v="1"/>
    <x v="7"/>
    <x v="5"/>
    <n v="1"/>
    <n v="4"/>
    <n v="4"/>
    <x v="1"/>
    <x v="2"/>
    <x v="4"/>
    <x v="34"/>
  </r>
  <r>
    <x v="1"/>
    <x v="1"/>
    <x v="4"/>
    <n v="1"/>
    <n v="1"/>
    <n v="2"/>
    <x v="1"/>
    <x v="3"/>
    <x v="4"/>
    <x v="5"/>
  </r>
  <r>
    <x v="1"/>
    <x v="1"/>
    <x v="2"/>
    <n v="0"/>
    <n v="1"/>
    <n v="2"/>
    <x v="1"/>
    <x v="1"/>
    <x v="1"/>
    <x v="3"/>
  </r>
  <r>
    <x v="1"/>
    <x v="1"/>
    <x v="5"/>
    <n v="1"/>
    <n v="3"/>
    <n v="4"/>
    <x v="2"/>
    <x v="0"/>
    <x v="0"/>
    <x v="13"/>
  </r>
  <r>
    <x v="1"/>
    <x v="1"/>
    <x v="4"/>
    <n v="1"/>
    <n v="3"/>
    <n v="4"/>
    <x v="2"/>
    <x v="4"/>
    <x v="3"/>
    <x v="63"/>
  </r>
  <r>
    <x v="0"/>
    <x v="4"/>
    <x v="3"/>
    <n v="1"/>
    <n v="3"/>
    <n v="4"/>
    <x v="3"/>
    <x v="0"/>
    <x v="2"/>
    <x v="20"/>
  </r>
  <r>
    <x v="1"/>
    <x v="4"/>
    <x v="0"/>
    <n v="1"/>
    <n v="4"/>
    <n v="4"/>
    <x v="2"/>
    <x v="4"/>
    <x v="0"/>
    <x v="20"/>
  </r>
  <r>
    <x v="0"/>
    <x v="4"/>
    <x v="2"/>
    <n v="0"/>
    <n v="0"/>
    <n v="0"/>
    <x v="4"/>
    <x v="1"/>
    <x v="1"/>
    <x v="20"/>
  </r>
  <r>
    <x v="1"/>
    <x v="0"/>
    <x v="2"/>
    <n v="0"/>
    <n v="4"/>
    <n v="5"/>
    <x v="3"/>
    <x v="1"/>
    <x v="1"/>
    <x v="6"/>
  </r>
  <r>
    <x v="1"/>
    <x v="0"/>
    <x v="2"/>
    <n v="0"/>
    <n v="2"/>
    <n v="3"/>
    <x v="2"/>
    <x v="1"/>
    <x v="1"/>
    <x v="101"/>
  </r>
  <r>
    <x v="1"/>
    <x v="0"/>
    <x v="0"/>
    <n v="1"/>
    <n v="1"/>
    <n v="2"/>
    <x v="2"/>
    <x v="3"/>
    <x v="3"/>
    <x v="11"/>
  </r>
  <r>
    <x v="0"/>
    <x v="1"/>
    <x v="5"/>
    <n v="1"/>
    <n v="4"/>
    <n v="4"/>
    <x v="1"/>
    <x v="0"/>
    <x v="0"/>
    <x v="14"/>
  </r>
  <r>
    <x v="0"/>
    <x v="1"/>
    <x v="3"/>
    <n v="1"/>
    <n v="3"/>
    <n v="4"/>
    <x v="2"/>
    <x v="3"/>
    <x v="5"/>
    <x v="102"/>
  </r>
  <r>
    <x v="0"/>
    <x v="1"/>
    <x v="1"/>
    <n v="1"/>
    <n v="2"/>
    <n v="2"/>
    <x v="2"/>
    <x v="2"/>
    <x v="4"/>
    <x v="45"/>
  </r>
  <r>
    <x v="1"/>
    <x v="1"/>
    <x v="1"/>
    <n v="1"/>
    <n v="2"/>
    <n v="4"/>
    <x v="2"/>
    <x v="0"/>
    <x v="4"/>
    <x v="38"/>
  </r>
  <r>
    <x v="1"/>
    <x v="1"/>
    <x v="1"/>
    <n v="1"/>
    <n v="2"/>
    <n v="4"/>
    <x v="1"/>
    <x v="2"/>
    <x v="4"/>
    <x v="11"/>
  </r>
  <r>
    <x v="0"/>
    <x v="1"/>
    <x v="2"/>
    <n v="0"/>
    <n v="3"/>
    <n v="3"/>
    <x v="2"/>
    <x v="1"/>
    <x v="1"/>
    <x v="41"/>
  </r>
  <r>
    <x v="1"/>
    <x v="1"/>
    <x v="5"/>
    <n v="1"/>
    <n v="4"/>
    <n v="3"/>
    <x v="2"/>
    <x v="0"/>
    <x v="2"/>
    <x v="4"/>
  </r>
  <r>
    <x v="1"/>
    <x v="1"/>
    <x v="0"/>
    <n v="1"/>
    <n v="3"/>
    <n v="3"/>
    <x v="1"/>
    <x v="0"/>
    <x v="5"/>
    <x v="81"/>
  </r>
  <r>
    <x v="1"/>
    <x v="8"/>
    <x v="3"/>
    <n v="1"/>
    <n v="5"/>
    <n v="5"/>
    <x v="2"/>
    <x v="3"/>
    <x v="0"/>
    <x v="20"/>
  </r>
  <r>
    <x v="0"/>
    <x v="3"/>
    <x v="4"/>
    <n v="1"/>
    <n v="4"/>
    <n v="5"/>
    <x v="0"/>
    <x v="3"/>
    <x v="4"/>
    <x v="21"/>
  </r>
  <r>
    <x v="0"/>
    <x v="3"/>
    <x v="4"/>
    <n v="1"/>
    <n v="4"/>
    <n v="4"/>
    <x v="2"/>
    <x v="3"/>
    <x v="4"/>
    <x v="19"/>
  </r>
  <r>
    <x v="0"/>
    <x v="8"/>
    <x v="3"/>
    <n v="1"/>
    <n v="5"/>
    <n v="5"/>
    <x v="4"/>
    <x v="3"/>
    <x v="2"/>
    <x v="103"/>
  </r>
  <r>
    <x v="2"/>
    <x v="11"/>
    <x v="6"/>
    <m/>
    <m/>
    <m/>
    <x v="5"/>
    <x v="5"/>
    <x v="6"/>
    <x v="104"/>
  </r>
  <r>
    <x v="2"/>
    <x v="11"/>
    <x v="6"/>
    <m/>
    <m/>
    <m/>
    <x v="5"/>
    <x v="5"/>
    <x v="6"/>
    <x v="104"/>
  </r>
  <r>
    <x v="2"/>
    <x v="11"/>
    <x v="6"/>
    <m/>
    <m/>
    <m/>
    <x v="5"/>
    <x v="5"/>
    <x v="6"/>
    <x v="10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0">
  <r>
    <x v="0"/>
    <x v="0"/>
    <x v="0"/>
    <n v="1"/>
    <x v="0"/>
    <x v="0"/>
    <x v="0"/>
    <x v="0"/>
    <x v="0"/>
    <x v="0"/>
  </r>
  <r>
    <x v="1"/>
    <x v="0"/>
    <x v="1"/>
    <n v="1"/>
    <x v="1"/>
    <x v="1"/>
    <x v="1"/>
    <x v="0"/>
    <x v="0"/>
    <x v="1"/>
  </r>
  <r>
    <x v="0"/>
    <x v="0"/>
    <x v="2"/>
    <n v="0"/>
    <x v="1"/>
    <x v="1"/>
    <x v="1"/>
    <x v="1"/>
    <x v="1"/>
    <x v="2"/>
  </r>
  <r>
    <x v="0"/>
    <x v="0"/>
    <x v="3"/>
    <n v="1"/>
    <x v="1"/>
    <x v="2"/>
    <x v="2"/>
    <x v="2"/>
    <x v="0"/>
    <x v="3"/>
  </r>
  <r>
    <x v="1"/>
    <x v="0"/>
    <x v="4"/>
    <n v="1"/>
    <x v="2"/>
    <x v="1"/>
    <x v="1"/>
    <x v="0"/>
    <x v="2"/>
    <x v="4"/>
  </r>
  <r>
    <x v="0"/>
    <x v="0"/>
    <x v="3"/>
    <n v="1"/>
    <x v="3"/>
    <x v="2"/>
    <x v="1"/>
    <x v="0"/>
    <x v="0"/>
    <x v="2"/>
  </r>
  <r>
    <x v="0"/>
    <x v="0"/>
    <x v="0"/>
    <n v="1"/>
    <x v="1"/>
    <x v="1"/>
    <x v="2"/>
    <x v="0"/>
    <x v="2"/>
    <x v="5"/>
  </r>
  <r>
    <x v="0"/>
    <x v="0"/>
    <x v="3"/>
    <n v="1"/>
    <x v="1"/>
    <x v="1"/>
    <x v="2"/>
    <x v="0"/>
    <x v="2"/>
    <x v="2"/>
  </r>
  <r>
    <x v="1"/>
    <x v="0"/>
    <x v="4"/>
    <n v="1"/>
    <x v="0"/>
    <x v="1"/>
    <x v="3"/>
    <x v="3"/>
    <x v="0"/>
    <x v="6"/>
  </r>
  <r>
    <x v="0"/>
    <x v="0"/>
    <x v="3"/>
    <n v="1"/>
    <x v="2"/>
    <x v="2"/>
    <x v="1"/>
    <x v="3"/>
    <x v="2"/>
    <x v="7"/>
  </r>
  <r>
    <x v="1"/>
    <x v="0"/>
    <x v="4"/>
    <n v="1"/>
    <x v="3"/>
    <x v="0"/>
    <x v="2"/>
    <x v="4"/>
    <x v="0"/>
    <x v="2"/>
  </r>
  <r>
    <x v="0"/>
    <x v="0"/>
    <x v="2"/>
    <n v="0"/>
    <x v="2"/>
    <x v="0"/>
    <x v="2"/>
    <x v="1"/>
    <x v="1"/>
    <x v="3"/>
  </r>
  <r>
    <x v="1"/>
    <x v="0"/>
    <x v="1"/>
    <n v="1"/>
    <x v="0"/>
    <x v="3"/>
    <x v="2"/>
    <x v="2"/>
    <x v="2"/>
    <x v="8"/>
  </r>
  <r>
    <x v="1"/>
    <x v="0"/>
    <x v="4"/>
    <n v="1"/>
    <x v="0"/>
    <x v="3"/>
    <x v="2"/>
    <x v="4"/>
    <x v="2"/>
    <x v="9"/>
  </r>
  <r>
    <x v="1"/>
    <x v="0"/>
    <x v="3"/>
    <n v="1"/>
    <x v="2"/>
    <x v="0"/>
    <x v="2"/>
    <x v="2"/>
    <x v="3"/>
    <x v="10"/>
  </r>
  <r>
    <x v="1"/>
    <x v="0"/>
    <x v="5"/>
    <n v="1"/>
    <x v="1"/>
    <x v="1"/>
    <x v="1"/>
    <x v="3"/>
    <x v="4"/>
    <x v="11"/>
  </r>
  <r>
    <x v="0"/>
    <x v="0"/>
    <x v="3"/>
    <n v="1"/>
    <x v="4"/>
    <x v="0"/>
    <x v="1"/>
    <x v="0"/>
    <x v="0"/>
    <x v="12"/>
  </r>
  <r>
    <x v="1"/>
    <x v="0"/>
    <x v="0"/>
    <n v="1"/>
    <x v="1"/>
    <x v="3"/>
    <x v="2"/>
    <x v="3"/>
    <x v="4"/>
    <x v="8"/>
  </r>
  <r>
    <x v="1"/>
    <x v="0"/>
    <x v="1"/>
    <n v="1"/>
    <x v="2"/>
    <x v="1"/>
    <x v="3"/>
    <x v="2"/>
    <x v="2"/>
    <x v="13"/>
  </r>
  <r>
    <x v="0"/>
    <x v="0"/>
    <x v="2"/>
    <n v="0"/>
    <x v="1"/>
    <x v="2"/>
    <x v="2"/>
    <x v="1"/>
    <x v="1"/>
    <x v="5"/>
  </r>
  <r>
    <x v="0"/>
    <x v="0"/>
    <x v="0"/>
    <n v="1"/>
    <x v="2"/>
    <x v="0"/>
    <x v="0"/>
    <x v="3"/>
    <x v="2"/>
    <x v="10"/>
  </r>
  <r>
    <x v="1"/>
    <x v="0"/>
    <x v="5"/>
    <n v="1"/>
    <x v="3"/>
    <x v="1"/>
    <x v="1"/>
    <x v="0"/>
    <x v="0"/>
    <x v="14"/>
  </r>
  <r>
    <x v="1"/>
    <x v="0"/>
    <x v="3"/>
    <n v="1"/>
    <x v="4"/>
    <x v="0"/>
    <x v="3"/>
    <x v="0"/>
    <x v="0"/>
    <x v="14"/>
  </r>
  <r>
    <x v="1"/>
    <x v="0"/>
    <x v="0"/>
    <n v="1"/>
    <x v="1"/>
    <x v="1"/>
    <x v="1"/>
    <x v="2"/>
    <x v="2"/>
    <x v="3"/>
  </r>
  <r>
    <x v="0"/>
    <x v="0"/>
    <x v="2"/>
    <n v="0"/>
    <x v="1"/>
    <x v="0"/>
    <x v="1"/>
    <x v="1"/>
    <x v="1"/>
    <x v="2"/>
  </r>
  <r>
    <x v="1"/>
    <x v="0"/>
    <x v="0"/>
    <n v="1"/>
    <x v="3"/>
    <x v="2"/>
    <x v="2"/>
    <x v="3"/>
    <x v="0"/>
    <x v="15"/>
  </r>
  <r>
    <x v="0"/>
    <x v="0"/>
    <x v="3"/>
    <n v="1"/>
    <x v="0"/>
    <x v="2"/>
    <x v="1"/>
    <x v="0"/>
    <x v="0"/>
    <x v="10"/>
  </r>
  <r>
    <x v="1"/>
    <x v="0"/>
    <x v="2"/>
    <n v="0"/>
    <x v="1"/>
    <x v="0"/>
    <x v="3"/>
    <x v="1"/>
    <x v="1"/>
    <x v="3"/>
  </r>
  <r>
    <x v="1"/>
    <x v="0"/>
    <x v="4"/>
    <n v="1"/>
    <x v="3"/>
    <x v="2"/>
    <x v="2"/>
    <x v="4"/>
    <x v="4"/>
    <x v="16"/>
  </r>
  <r>
    <x v="1"/>
    <x v="0"/>
    <x v="0"/>
    <n v="1"/>
    <x v="3"/>
    <x v="0"/>
    <x v="2"/>
    <x v="3"/>
    <x v="0"/>
    <x v="17"/>
  </r>
  <r>
    <x v="0"/>
    <x v="0"/>
    <x v="2"/>
    <n v="0"/>
    <x v="3"/>
    <x v="1"/>
    <x v="3"/>
    <x v="1"/>
    <x v="1"/>
    <x v="10"/>
  </r>
  <r>
    <x v="0"/>
    <x v="0"/>
    <x v="5"/>
    <n v="1"/>
    <x v="3"/>
    <x v="2"/>
    <x v="1"/>
    <x v="0"/>
    <x v="0"/>
    <x v="2"/>
  </r>
  <r>
    <x v="0"/>
    <x v="0"/>
    <x v="2"/>
    <n v="0"/>
    <x v="2"/>
    <x v="2"/>
    <x v="1"/>
    <x v="1"/>
    <x v="1"/>
    <x v="4"/>
  </r>
  <r>
    <x v="0"/>
    <x v="0"/>
    <x v="2"/>
    <n v="0"/>
    <x v="2"/>
    <x v="2"/>
    <x v="1"/>
    <x v="1"/>
    <x v="1"/>
    <x v="18"/>
  </r>
  <r>
    <x v="1"/>
    <x v="0"/>
    <x v="0"/>
    <n v="1"/>
    <x v="3"/>
    <x v="1"/>
    <x v="3"/>
    <x v="3"/>
    <x v="0"/>
    <x v="19"/>
  </r>
  <r>
    <x v="1"/>
    <x v="0"/>
    <x v="2"/>
    <n v="0"/>
    <x v="3"/>
    <x v="2"/>
    <x v="3"/>
    <x v="1"/>
    <x v="1"/>
    <x v="8"/>
  </r>
  <r>
    <x v="0"/>
    <x v="0"/>
    <x v="5"/>
    <n v="1"/>
    <x v="2"/>
    <x v="0"/>
    <x v="2"/>
    <x v="3"/>
    <x v="0"/>
    <x v="20"/>
  </r>
  <r>
    <x v="1"/>
    <x v="0"/>
    <x v="1"/>
    <n v="1"/>
    <x v="2"/>
    <x v="3"/>
    <x v="2"/>
    <x v="4"/>
    <x v="4"/>
    <x v="2"/>
  </r>
  <r>
    <x v="0"/>
    <x v="0"/>
    <x v="2"/>
    <n v="0"/>
    <x v="3"/>
    <x v="1"/>
    <x v="3"/>
    <x v="1"/>
    <x v="1"/>
    <x v="18"/>
  </r>
  <r>
    <x v="1"/>
    <x v="0"/>
    <x v="1"/>
    <n v="1"/>
    <x v="3"/>
    <x v="2"/>
    <x v="2"/>
    <x v="3"/>
    <x v="4"/>
    <x v="14"/>
  </r>
  <r>
    <x v="1"/>
    <x v="0"/>
    <x v="4"/>
    <n v="1"/>
    <x v="3"/>
    <x v="2"/>
    <x v="2"/>
    <x v="4"/>
    <x v="3"/>
    <x v="11"/>
  </r>
  <r>
    <x v="0"/>
    <x v="0"/>
    <x v="4"/>
    <n v="1"/>
    <x v="1"/>
    <x v="0"/>
    <x v="2"/>
    <x v="3"/>
    <x v="4"/>
    <x v="2"/>
  </r>
  <r>
    <x v="0"/>
    <x v="0"/>
    <x v="2"/>
    <n v="0"/>
    <x v="3"/>
    <x v="2"/>
    <x v="3"/>
    <x v="1"/>
    <x v="1"/>
    <x v="5"/>
  </r>
  <r>
    <x v="0"/>
    <x v="0"/>
    <x v="5"/>
    <n v="1"/>
    <x v="2"/>
    <x v="3"/>
    <x v="2"/>
    <x v="0"/>
    <x v="0"/>
    <x v="21"/>
  </r>
  <r>
    <x v="1"/>
    <x v="0"/>
    <x v="4"/>
    <n v="1"/>
    <x v="0"/>
    <x v="0"/>
    <x v="2"/>
    <x v="4"/>
    <x v="4"/>
    <x v="22"/>
  </r>
  <r>
    <x v="0"/>
    <x v="0"/>
    <x v="5"/>
    <n v="1"/>
    <x v="0"/>
    <x v="3"/>
    <x v="3"/>
    <x v="3"/>
    <x v="2"/>
    <x v="10"/>
  </r>
  <r>
    <x v="0"/>
    <x v="0"/>
    <x v="0"/>
    <n v="1"/>
    <x v="1"/>
    <x v="1"/>
    <x v="1"/>
    <x v="0"/>
    <x v="0"/>
    <x v="5"/>
  </r>
  <r>
    <x v="1"/>
    <x v="0"/>
    <x v="4"/>
    <n v="1"/>
    <x v="3"/>
    <x v="1"/>
    <x v="3"/>
    <x v="4"/>
    <x v="2"/>
    <x v="6"/>
  </r>
  <r>
    <x v="1"/>
    <x v="0"/>
    <x v="5"/>
    <n v="1"/>
    <x v="3"/>
    <x v="2"/>
    <x v="2"/>
    <x v="3"/>
    <x v="4"/>
    <x v="6"/>
  </r>
  <r>
    <x v="1"/>
    <x v="0"/>
    <x v="4"/>
    <n v="1"/>
    <x v="1"/>
    <x v="2"/>
    <x v="1"/>
    <x v="3"/>
    <x v="4"/>
    <x v="3"/>
  </r>
  <r>
    <x v="0"/>
    <x v="0"/>
    <x v="3"/>
    <n v="1"/>
    <x v="2"/>
    <x v="0"/>
    <x v="2"/>
    <x v="0"/>
    <x v="0"/>
    <x v="15"/>
  </r>
  <r>
    <x v="0"/>
    <x v="0"/>
    <x v="5"/>
    <n v="1"/>
    <x v="3"/>
    <x v="3"/>
    <x v="1"/>
    <x v="0"/>
    <x v="0"/>
    <x v="11"/>
  </r>
  <r>
    <x v="0"/>
    <x v="0"/>
    <x v="5"/>
    <n v="1"/>
    <x v="3"/>
    <x v="2"/>
    <x v="1"/>
    <x v="0"/>
    <x v="4"/>
    <x v="21"/>
  </r>
  <r>
    <x v="1"/>
    <x v="0"/>
    <x v="2"/>
    <n v="0"/>
    <x v="1"/>
    <x v="1"/>
    <x v="3"/>
    <x v="1"/>
    <x v="1"/>
    <x v="14"/>
  </r>
  <r>
    <x v="1"/>
    <x v="0"/>
    <x v="3"/>
    <n v="1"/>
    <x v="2"/>
    <x v="1"/>
    <x v="3"/>
    <x v="0"/>
    <x v="0"/>
    <x v="12"/>
  </r>
  <r>
    <x v="0"/>
    <x v="0"/>
    <x v="2"/>
    <n v="0"/>
    <x v="1"/>
    <x v="2"/>
    <x v="1"/>
    <x v="1"/>
    <x v="1"/>
    <x v="23"/>
  </r>
  <r>
    <x v="0"/>
    <x v="0"/>
    <x v="2"/>
    <n v="0"/>
    <x v="3"/>
    <x v="1"/>
    <x v="2"/>
    <x v="1"/>
    <x v="1"/>
    <x v="5"/>
  </r>
  <r>
    <x v="1"/>
    <x v="0"/>
    <x v="0"/>
    <n v="1"/>
    <x v="1"/>
    <x v="0"/>
    <x v="1"/>
    <x v="4"/>
    <x v="2"/>
    <x v="6"/>
  </r>
  <r>
    <x v="1"/>
    <x v="0"/>
    <x v="1"/>
    <n v="1"/>
    <x v="2"/>
    <x v="0"/>
    <x v="2"/>
    <x v="2"/>
    <x v="0"/>
    <x v="20"/>
  </r>
  <r>
    <x v="1"/>
    <x v="0"/>
    <x v="1"/>
    <n v="1"/>
    <x v="2"/>
    <x v="0"/>
    <x v="1"/>
    <x v="4"/>
    <x v="0"/>
    <x v="15"/>
  </r>
  <r>
    <x v="0"/>
    <x v="0"/>
    <x v="2"/>
    <n v="0"/>
    <x v="5"/>
    <x v="4"/>
    <x v="3"/>
    <x v="1"/>
    <x v="1"/>
    <x v="10"/>
  </r>
  <r>
    <x v="1"/>
    <x v="0"/>
    <x v="4"/>
    <n v="1"/>
    <x v="3"/>
    <x v="2"/>
    <x v="2"/>
    <x v="4"/>
    <x v="2"/>
    <x v="10"/>
  </r>
  <r>
    <x v="0"/>
    <x v="0"/>
    <x v="5"/>
    <n v="1"/>
    <x v="1"/>
    <x v="0"/>
    <x v="2"/>
    <x v="3"/>
    <x v="0"/>
    <x v="24"/>
  </r>
  <r>
    <x v="0"/>
    <x v="0"/>
    <x v="0"/>
    <n v="1"/>
    <x v="1"/>
    <x v="3"/>
    <x v="2"/>
    <x v="0"/>
    <x v="0"/>
    <x v="11"/>
  </r>
  <r>
    <x v="1"/>
    <x v="0"/>
    <x v="0"/>
    <n v="1"/>
    <x v="3"/>
    <x v="1"/>
    <x v="1"/>
    <x v="3"/>
    <x v="0"/>
    <x v="14"/>
  </r>
  <r>
    <x v="0"/>
    <x v="0"/>
    <x v="3"/>
    <n v="1"/>
    <x v="1"/>
    <x v="2"/>
    <x v="2"/>
    <x v="0"/>
    <x v="0"/>
    <x v="11"/>
  </r>
  <r>
    <x v="0"/>
    <x v="0"/>
    <x v="2"/>
    <n v="0"/>
    <x v="4"/>
    <x v="1"/>
    <x v="1"/>
    <x v="1"/>
    <x v="1"/>
    <x v="25"/>
  </r>
  <r>
    <x v="0"/>
    <x v="0"/>
    <x v="2"/>
    <n v="0"/>
    <x v="0"/>
    <x v="1"/>
    <x v="2"/>
    <x v="1"/>
    <x v="1"/>
    <x v="11"/>
  </r>
  <r>
    <x v="0"/>
    <x v="0"/>
    <x v="2"/>
    <n v="0"/>
    <x v="0"/>
    <x v="4"/>
    <x v="3"/>
    <x v="1"/>
    <x v="1"/>
    <x v="8"/>
  </r>
  <r>
    <x v="1"/>
    <x v="0"/>
    <x v="5"/>
    <n v="1"/>
    <x v="2"/>
    <x v="3"/>
    <x v="2"/>
    <x v="2"/>
    <x v="2"/>
    <x v="15"/>
  </r>
  <r>
    <x v="0"/>
    <x v="0"/>
    <x v="2"/>
    <n v="0"/>
    <x v="2"/>
    <x v="5"/>
    <x v="3"/>
    <x v="1"/>
    <x v="1"/>
    <x v="8"/>
  </r>
  <r>
    <x v="1"/>
    <x v="0"/>
    <x v="1"/>
    <n v="1"/>
    <x v="4"/>
    <x v="2"/>
    <x v="1"/>
    <x v="0"/>
    <x v="2"/>
    <x v="14"/>
  </r>
  <r>
    <x v="1"/>
    <x v="0"/>
    <x v="3"/>
    <n v="1"/>
    <x v="5"/>
    <x v="4"/>
    <x v="0"/>
    <x v="4"/>
    <x v="4"/>
    <x v="2"/>
  </r>
  <r>
    <x v="1"/>
    <x v="0"/>
    <x v="1"/>
    <n v="1"/>
    <x v="5"/>
    <x v="4"/>
    <x v="3"/>
    <x v="4"/>
    <x v="2"/>
    <x v="15"/>
  </r>
  <r>
    <x v="0"/>
    <x v="0"/>
    <x v="3"/>
    <n v="1"/>
    <x v="0"/>
    <x v="3"/>
    <x v="0"/>
    <x v="2"/>
    <x v="0"/>
    <x v="8"/>
  </r>
  <r>
    <x v="1"/>
    <x v="0"/>
    <x v="1"/>
    <n v="1"/>
    <x v="0"/>
    <x v="0"/>
    <x v="3"/>
    <x v="4"/>
    <x v="4"/>
    <x v="14"/>
  </r>
  <r>
    <x v="1"/>
    <x v="0"/>
    <x v="3"/>
    <n v="1"/>
    <x v="5"/>
    <x v="4"/>
    <x v="3"/>
    <x v="4"/>
    <x v="3"/>
    <x v="26"/>
  </r>
  <r>
    <x v="0"/>
    <x v="0"/>
    <x v="3"/>
    <n v="1"/>
    <x v="2"/>
    <x v="0"/>
    <x v="2"/>
    <x v="4"/>
    <x v="2"/>
    <x v="4"/>
  </r>
  <r>
    <x v="1"/>
    <x v="0"/>
    <x v="5"/>
    <n v="1"/>
    <x v="0"/>
    <x v="3"/>
    <x v="2"/>
    <x v="4"/>
    <x v="2"/>
    <x v="27"/>
  </r>
  <r>
    <x v="1"/>
    <x v="0"/>
    <x v="5"/>
    <n v="1"/>
    <x v="3"/>
    <x v="1"/>
    <x v="2"/>
    <x v="4"/>
    <x v="2"/>
    <x v="19"/>
  </r>
  <r>
    <x v="1"/>
    <x v="0"/>
    <x v="5"/>
    <n v="1"/>
    <x v="1"/>
    <x v="2"/>
    <x v="1"/>
    <x v="4"/>
    <x v="2"/>
    <x v="27"/>
  </r>
  <r>
    <x v="0"/>
    <x v="0"/>
    <x v="3"/>
    <n v="1"/>
    <x v="1"/>
    <x v="1"/>
    <x v="1"/>
    <x v="2"/>
    <x v="0"/>
    <x v="11"/>
  </r>
  <r>
    <x v="1"/>
    <x v="0"/>
    <x v="4"/>
    <n v="1"/>
    <x v="2"/>
    <x v="0"/>
    <x v="2"/>
    <x v="4"/>
    <x v="2"/>
    <x v="5"/>
  </r>
  <r>
    <x v="0"/>
    <x v="0"/>
    <x v="3"/>
    <n v="1"/>
    <x v="4"/>
    <x v="2"/>
    <x v="1"/>
    <x v="0"/>
    <x v="0"/>
    <x v="27"/>
  </r>
  <r>
    <x v="1"/>
    <x v="0"/>
    <x v="4"/>
    <n v="1"/>
    <x v="2"/>
    <x v="0"/>
    <x v="1"/>
    <x v="4"/>
    <x v="5"/>
    <x v="11"/>
  </r>
  <r>
    <x v="1"/>
    <x v="0"/>
    <x v="3"/>
    <n v="1"/>
    <x v="1"/>
    <x v="3"/>
    <x v="2"/>
    <x v="4"/>
    <x v="3"/>
    <x v="15"/>
  </r>
  <r>
    <x v="1"/>
    <x v="0"/>
    <x v="4"/>
    <n v="1"/>
    <x v="2"/>
    <x v="0"/>
    <x v="1"/>
    <x v="4"/>
    <x v="4"/>
    <x v="11"/>
  </r>
  <r>
    <x v="1"/>
    <x v="0"/>
    <x v="2"/>
    <n v="0"/>
    <x v="4"/>
    <x v="2"/>
    <x v="1"/>
    <x v="1"/>
    <x v="1"/>
    <x v="6"/>
  </r>
  <r>
    <x v="0"/>
    <x v="0"/>
    <x v="5"/>
    <n v="1"/>
    <x v="4"/>
    <x v="1"/>
    <x v="1"/>
    <x v="0"/>
    <x v="4"/>
    <x v="14"/>
  </r>
  <r>
    <x v="0"/>
    <x v="0"/>
    <x v="5"/>
    <n v="1"/>
    <x v="1"/>
    <x v="1"/>
    <x v="2"/>
    <x v="0"/>
    <x v="2"/>
    <x v="10"/>
  </r>
  <r>
    <x v="1"/>
    <x v="0"/>
    <x v="2"/>
    <n v="0"/>
    <x v="2"/>
    <x v="4"/>
    <x v="2"/>
    <x v="1"/>
    <x v="1"/>
    <x v="20"/>
  </r>
  <r>
    <x v="0"/>
    <x v="0"/>
    <x v="3"/>
    <n v="1"/>
    <x v="3"/>
    <x v="1"/>
    <x v="2"/>
    <x v="3"/>
    <x v="0"/>
    <x v="2"/>
  </r>
  <r>
    <x v="0"/>
    <x v="0"/>
    <x v="0"/>
    <n v="1"/>
    <x v="3"/>
    <x v="2"/>
    <x v="2"/>
    <x v="0"/>
    <x v="0"/>
    <x v="28"/>
  </r>
  <r>
    <x v="0"/>
    <x v="0"/>
    <x v="1"/>
    <n v="1"/>
    <x v="2"/>
    <x v="0"/>
    <x v="2"/>
    <x v="3"/>
    <x v="2"/>
    <x v="29"/>
  </r>
  <r>
    <x v="0"/>
    <x v="0"/>
    <x v="0"/>
    <n v="1"/>
    <x v="2"/>
    <x v="0"/>
    <x v="2"/>
    <x v="0"/>
    <x v="0"/>
    <x v="6"/>
  </r>
  <r>
    <x v="1"/>
    <x v="0"/>
    <x v="3"/>
    <n v="1"/>
    <x v="2"/>
    <x v="3"/>
    <x v="3"/>
    <x v="0"/>
    <x v="2"/>
    <x v="10"/>
  </r>
  <r>
    <x v="0"/>
    <x v="0"/>
    <x v="2"/>
    <n v="0"/>
    <x v="3"/>
    <x v="0"/>
    <x v="3"/>
    <x v="1"/>
    <x v="1"/>
    <x v="21"/>
  </r>
  <r>
    <x v="1"/>
    <x v="0"/>
    <x v="4"/>
    <n v="1"/>
    <x v="2"/>
    <x v="0"/>
    <x v="3"/>
    <x v="2"/>
    <x v="4"/>
    <x v="15"/>
  </r>
  <r>
    <x v="1"/>
    <x v="0"/>
    <x v="4"/>
    <n v="1"/>
    <x v="1"/>
    <x v="2"/>
    <x v="2"/>
    <x v="0"/>
    <x v="2"/>
    <x v="30"/>
  </r>
  <r>
    <x v="1"/>
    <x v="0"/>
    <x v="1"/>
    <n v="1"/>
    <x v="5"/>
    <x v="4"/>
    <x v="3"/>
    <x v="0"/>
    <x v="4"/>
    <x v="21"/>
  </r>
  <r>
    <x v="0"/>
    <x v="0"/>
    <x v="2"/>
    <n v="0"/>
    <x v="2"/>
    <x v="0"/>
    <x v="1"/>
    <x v="1"/>
    <x v="1"/>
    <x v="14"/>
  </r>
  <r>
    <x v="1"/>
    <x v="0"/>
    <x v="5"/>
    <n v="1"/>
    <x v="2"/>
    <x v="0"/>
    <x v="0"/>
    <x v="0"/>
    <x v="2"/>
    <x v="4"/>
  </r>
  <r>
    <x v="1"/>
    <x v="0"/>
    <x v="1"/>
    <n v="1"/>
    <x v="1"/>
    <x v="0"/>
    <x v="3"/>
    <x v="0"/>
    <x v="0"/>
    <x v="14"/>
  </r>
  <r>
    <x v="1"/>
    <x v="0"/>
    <x v="5"/>
    <n v="1"/>
    <x v="3"/>
    <x v="3"/>
    <x v="2"/>
    <x v="3"/>
    <x v="4"/>
    <x v="31"/>
  </r>
  <r>
    <x v="1"/>
    <x v="0"/>
    <x v="4"/>
    <n v="1"/>
    <x v="2"/>
    <x v="2"/>
    <x v="2"/>
    <x v="3"/>
    <x v="2"/>
    <x v="32"/>
  </r>
  <r>
    <x v="0"/>
    <x v="0"/>
    <x v="3"/>
    <n v="1"/>
    <x v="3"/>
    <x v="1"/>
    <x v="2"/>
    <x v="4"/>
    <x v="2"/>
    <x v="5"/>
  </r>
  <r>
    <x v="0"/>
    <x v="0"/>
    <x v="2"/>
    <n v="0"/>
    <x v="0"/>
    <x v="3"/>
    <x v="2"/>
    <x v="1"/>
    <x v="1"/>
    <x v="33"/>
  </r>
  <r>
    <x v="1"/>
    <x v="0"/>
    <x v="1"/>
    <n v="1"/>
    <x v="1"/>
    <x v="1"/>
    <x v="3"/>
    <x v="0"/>
    <x v="0"/>
    <x v="5"/>
  </r>
  <r>
    <x v="0"/>
    <x v="0"/>
    <x v="0"/>
    <n v="1"/>
    <x v="1"/>
    <x v="2"/>
    <x v="1"/>
    <x v="3"/>
    <x v="2"/>
    <x v="15"/>
  </r>
  <r>
    <x v="0"/>
    <x v="1"/>
    <x v="2"/>
    <n v="0"/>
    <x v="1"/>
    <x v="6"/>
    <x v="2"/>
    <x v="1"/>
    <x v="1"/>
    <x v="4"/>
  </r>
  <r>
    <x v="0"/>
    <x v="1"/>
    <x v="2"/>
    <n v="0"/>
    <x v="2"/>
    <x v="0"/>
    <x v="2"/>
    <x v="1"/>
    <x v="1"/>
    <x v="6"/>
  </r>
  <r>
    <x v="1"/>
    <x v="1"/>
    <x v="4"/>
    <n v="1"/>
    <x v="2"/>
    <x v="0"/>
    <x v="3"/>
    <x v="0"/>
    <x v="4"/>
    <x v="21"/>
  </r>
  <r>
    <x v="1"/>
    <x v="1"/>
    <x v="3"/>
    <n v="1"/>
    <x v="1"/>
    <x v="1"/>
    <x v="2"/>
    <x v="4"/>
    <x v="2"/>
    <x v="34"/>
  </r>
  <r>
    <x v="1"/>
    <x v="1"/>
    <x v="1"/>
    <n v="1"/>
    <x v="3"/>
    <x v="2"/>
    <x v="1"/>
    <x v="4"/>
    <x v="2"/>
    <x v="11"/>
  </r>
  <r>
    <x v="1"/>
    <x v="1"/>
    <x v="4"/>
    <n v="1"/>
    <x v="2"/>
    <x v="0"/>
    <x v="1"/>
    <x v="4"/>
    <x v="5"/>
    <x v="3"/>
  </r>
  <r>
    <x v="1"/>
    <x v="1"/>
    <x v="3"/>
    <n v="1"/>
    <x v="2"/>
    <x v="1"/>
    <x v="1"/>
    <x v="0"/>
    <x v="0"/>
    <x v="5"/>
  </r>
  <r>
    <x v="1"/>
    <x v="1"/>
    <x v="1"/>
    <n v="1"/>
    <x v="1"/>
    <x v="1"/>
    <x v="1"/>
    <x v="3"/>
    <x v="4"/>
    <x v="35"/>
  </r>
  <r>
    <x v="1"/>
    <x v="1"/>
    <x v="3"/>
    <n v="1"/>
    <x v="1"/>
    <x v="2"/>
    <x v="2"/>
    <x v="0"/>
    <x v="0"/>
    <x v="11"/>
  </r>
  <r>
    <x v="1"/>
    <x v="1"/>
    <x v="1"/>
    <n v="1"/>
    <x v="2"/>
    <x v="2"/>
    <x v="1"/>
    <x v="2"/>
    <x v="2"/>
    <x v="34"/>
  </r>
  <r>
    <x v="1"/>
    <x v="1"/>
    <x v="3"/>
    <n v="1"/>
    <x v="4"/>
    <x v="1"/>
    <x v="1"/>
    <x v="0"/>
    <x v="2"/>
    <x v="34"/>
  </r>
  <r>
    <x v="0"/>
    <x v="1"/>
    <x v="3"/>
    <n v="1"/>
    <x v="1"/>
    <x v="2"/>
    <x v="1"/>
    <x v="0"/>
    <x v="0"/>
    <x v="36"/>
  </r>
  <r>
    <x v="0"/>
    <x v="1"/>
    <x v="1"/>
    <n v="1"/>
    <x v="2"/>
    <x v="1"/>
    <x v="1"/>
    <x v="0"/>
    <x v="0"/>
    <x v="37"/>
  </r>
  <r>
    <x v="1"/>
    <x v="1"/>
    <x v="5"/>
    <n v="1"/>
    <x v="1"/>
    <x v="2"/>
    <x v="1"/>
    <x v="0"/>
    <x v="0"/>
    <x v="21"/>
  </r>
  <r>
    <x v="0"/>
    <x v="1"/>
    <x v="0"/>
    <n v="1"/>
    <x v="3"/>
    <x v="1"/>
    <x v="2"/>
    <x v="0"/>
    <x v="0"/>
    <x v="38"/>
  </r>
  <r>
    <x v="1"/>
    <x v="1"/>
    <x v="2"/>
    <n v="0"/>
    <x v="2"/>
    <x v="3"/>
    <x v="2"/>
    <x v="1"/>
    <x v="1"/>
    <x v="21"/>
  </r>
  <r>
    <x v="1"/>
    <x v="1"/>
    <x v="3"/>
    <n v="1"/>
    <x v="3"/>
    <x v="2"/>
    <x v="3"/>
    <x v="0"/>
    <x v="0"/>
    <x v="11"/>
  </r>
  <r>
    <x v="0"/>
    <x v="1"/>
    <x v="5"/>
    <n v="1"/>
    <x v="3"/>
    <x v="2"/>
    <x v="1"/>
    <x v="0"/>
    <x v="2"/>
    <x v="7"/>
  </r>
  <r>
    <x v="0"/>
    <x v="1"/>
    <x v="0"/>
    <n v="1"/>
    <x v="1"/>
    <x v="2"/>
    <x v="2"/>
    <x v="0"/>
    <x v="2"/>
    <x v="8"/>
  </r>
  <r>
    <x v="0"/>
    <x v="1"/>
    <x v="1"/>
    <n v="1"/>
    <x v="3"/>
    <x v="3"/>
    <x v="2"/>
    <x v="3"/>
    <x v="4"/>
    <x v="8"/>
  </r>
  <r>
    <x v="0"/>
    <x v="1"/>
    <x v="2"/>
    <n v="0"/>
    <x v="3"/>
    <x v="1"/>
    <x v="1"/>
    <x v="1"/>
    <x v="1"/>
    <x v="14"/>
  </r>
  <r>
    <x v="1"/>
    <x v="1"/>
    <x v="3"/>
    <n v="1"/>
    <x v="1"/>
    <x v="0"/>
    <x v="2"/>
    <x v="2"/>
    <x v="4"/>
    <x v="39"/>
  </r>
  <r>
    <x v="0"/>
    <x v="1"/>
    <x v="0"/>
    <n v="1"/>
    <x v="2"/>
    <x v="0"/>
    <x v="1"/>
    <x v="0"/>
    <x v="0"/>
    <x v="40"/>
  </r>
  <r>
    <x v="1"/>
    <x v="1"/>
    <x v="3"/>
    <n v="1"/>
    <x v="3"/>
    <x v="2"/>
    <x v="1"/>
    <x v="0"/>
    <x v="0"/>
    <x v="14"/>
  </r>
  <r>
    <x v="0"/>
    <x v="1"/>
    <x v="1"/>
    <n v="1"/>
    <x v="1"/>
    <x v="1"/>
    <x v="1"/>
    <x v="3"/>
    <x v="2"/>
    <x v="14"/>
  </r>
  <r>
    <x v="0"/>
    <x v="1"/>
    <x v="2"/>
    <n v="0"/>
    <x v="1"/>
    <x v="3"/>
    <x v="1"/>
    <x v="1"/>
    <x v="1"/>
    <x v="41"/>
  </r>
  <r>
    <x v="0"/>
    <x v="1"/>
    <x v="1"/>
    <n v="1"/>
    <x v="3"/>
    <x v="2"/>
    <x v="2"/>
    <x v="2"/>
    <x v="4"/>
    <x v="8"/>
  </r>
  <r>
    <x v="1"/>
    <x v="1"/>
    <x v="5"/>
    <n v="1"/>
    <x v="1"/>
    <x v="2"/>
    <x v="3"/>
    <x v="0"/>
    <x v="0"/>
    <x v="6"/>
  </r>
  <r>
    <x v="0"/>
    <x v="1"/>
    <x v="5"/>
    <n v="1"/>
    <x v="4"/>
    <x v="2"/>
    <x v="1"/>
    <x v="0"/>
    <x v="0"/>
    <x v="14"/>
  </r>
  <r>
    <x v="0"/>
    <x v="1"/>
    <x v="1"/>
    <n v="1"/>
    <x v="3"/>
    <x v="0"/>
    <x v="1"/>
    <x v="3"/>
    <x v="0"/>
    <x v="5"/>
  </r>
  <r>
    <x v="0"/>
    <x v="1"/>
    <x v="1"/>
    <n v="1"/>
    <x v="1"/>
    <x v="6"/>
    <x v="1"/>
    <x v="0"/>
    <x v="2"/>
    <x v="42"/>
  </r>
  <r>
    <x v="0"/>
    <x v="1"/>
    <x v="1"/>
    <n v="1"/>
    <x v="2"/>
    <x v="0"/>
    <x v="2"/>
    <x v="3"/>
    <x v="2"/>
    <x v="21"/>
  </r>
  <r>
    <x v="0"/>
    <x v="1"/>
    <x v="5"/>
    <n v="1"/>
    <x v="3"/>
    <x v="1"/>
    <x v="3"/>
    <x v="4"/>
    <x v="2"/>
    <x v="43"/>
  </r>
  <r>
    <x v="1"/>
    <x v="1"/>
    <x v="2"/>
    <n v="0"/>
    <x v="1"/>
    <x v="1"/>
    <x v="2"/>
    <x v="1"/>
    <x v="1"/>
    <x v="21"/>
  </r>
  <r>
    <x v="0"/>
    <x v="1"/>
    <x v="3"/>
    <n v="1"/>
    <x v="2"/>
    <x v="0"/>
    <x v="2"/>
    <x v="0"/>
    <x v="0"/>
    <x v="15"/>
  </r>
  <r>
    <x v="0"/>
    <x v="1"/>
    <x v="3"/>
    <n v="1"/>
    <x v="0"/>
    <x v="4"/>
    <x v="1"/>
    <x v="0"/>
    <x v="2"/>
    <x v="13"/>
  </r>
  <r>
    <x v="1"/>
    <x v="1"/>
    <x v="0"/>
    <n v="1"/>
    <x v="1"/>
    <x v="2"/>
    <x v="3"/>
    <x v="0"/>
    <x v="0"/>
    <x v="30"/>
  </r>
  <r>
    <x v="1"/>
    <x v="1"/>
    <x v="0"/>
    <n v="1"/>
    <x v="3"/>
    <x v="1"/>
    <x v="3"/>
    <x v="0"/>
    <x v="0"/>
    <x v="21"/>
  </r>
  <r>
    <x v="0"/>
    <x v="1"/>
    <x v="1"/>
    <n v="1"/>
    <x v="1"/>
    <x v="2"/>
    <x v="2"/>
    <x v="2"/>
    <x v="0"/>
    <x v="36"/>
  </r>
  <r>
    <x v="0"/>
    <x v="1"/>
    <x v="4"/>
    <n v="1"/>
    <x v="0"/>
    <x v="0"/>
    <x v="3"/>
    <x v="2"/>
    <x v="2"/>
    <x v="5"/>
  </r>
  <r>
    <x v="1"/>
    <x v="1"/>
    <x v="3"/>
    <n v="1"/>
    <x v="3"/>
    <x v="0"/>
    <x v="3"/>
    <x v="4"/>
    <x v="3"/>
    <x v="14"/>
  </r>
  <r>
    <x v="0"/>
    <x v="1"/>
    <x v="1"/>
    <n v="1"/>
    <x v="1"/>
    <x v="1"/>
    <x v="2"/>
    <x v="2"/>
    <x v="4"/>
    <x v="2"/>
  </r>
  <r>
    <x v="1"/>
    <x v="1"/>
    <x v="4"/>
    <n v="1"/>
    <x v="1"/>
    <x v="1"/>
    <x v="1"/>
    <x v="3"/>
    <x v="2"/>
    <x v="44"/>
  </r>
  <r>
    <x v="0"/>
    <x v="1"/>
    <x v="3"/>
    <n v="1"/>
    <x v="2"/>
    <x v="0"/>
    <x v="2"/>
    <x v="4"/>
    <x v="0"/>
    <x v="13"/>
  </r>
  <r>
    <x v="1"/>
    <x v="1"/>
    <x v="3"/>
    <n v="1"/>
    <x v="0"/>
    <x v="3"/>
    <x v="0"/>
    <x v="4"/>
    <x v="3"/>
    <x v="36"/>
  </r>
  <r>
    <x v="1"/>
    <x v="1"/>
    <x v="1"/>
    <n v="1"/>
    <x v="1"/>
    <x v="1"/>
    <x v="1"/>
    <x v="4"/>
    <x v="3"/>
    <x v="3"/>
  </r>
  <r>
    <x v="0"/>
    <x v="1"/>
    <x v="1"/>
    <n v="1"/>
    <x v="0"/>
    <x v="0"/>
    <x v="1"/>
    <x v="0"/>
    <x v="0"/>
    <x v="14"/>
  </r>
  <r>
    <x v="0"/>
    <x v="1"/>
    <x v="4"/>
    <n v="1"/>
    <x v="3"/>
    <x v="2"/>
    <x v="1"/>
    <x v="0"/>
    <x v="0"/>
    <x v="6"/>
  </r>
  <r>
    <x v="0"/>
    <x v="1"/>
    <x v="1"/>
    <n v="1"/>
    <x v="1"/>
    <x v="1"/>
    <x v="2"/>
    <x v="4"/>
    <x v="4"/>
    <x v="7"/>
  </r>
  <r>
    <x v="1"/>
    <x v="1"/>
    <x v="4"/>
    <n v="1"/>
    <x v="3"/>
    <x v="0"/>
    <x v="2"/>
    <x v="2"/>
    <x v="2"/>
    <x v="14"/>
  </r>
  <r>
    <x v="1"/>
    <x v="1"/>
    <x v="3"/>
    <n v="1"/>
    <x v="0"/>
    <x v="3"/>
    <x v="3"/>
    <x v="2"/>
    <x v="4"/>
    <x v="45"/>
  </r>
  <r>
    <x v="0"/>
    <x v="1"/>
    <x v="3"/>
    <n v="1"/>
    <x v="3"/>
    <x v="2"/>
    <x v="1"/>
    <x v="0"/>
    <x v="0"/>
    <x v="14"/>
  </r>
  <r>
    <x v="0"/>
    <x v="1"/>
    <x v="4"/>
    <n v="1"/>
    <x v="3"/>
    <x v="0"/>
    <x v="1"/>
    <x v="2"/>
    <x v="2"/>
    <x v="2"/>
  </r>
  <r>
    <x v="0"/>
    <x v="1"/>
    <x v="5"/>
    <n v="1"/>
    <x v="1"/>
    <x v="0"/>
    <x v="1"/>
    <x v="0"/>
    <x v="0"/>
    <x v="14"/>
  </r>
  <r>
    <x v="0"/>
    <x v="1"/>
    <x v="1"/>
    <n v="1"/>
    <x v="1"/>
    <x v="1"/>
    <x v="2"/>
    <x v="3"/>
    <x v="5"/>
    <x v="43"/>
  </r>
  <r>
    <x v="1"/>
    <x v="1"/>
    <x v="0"/>
    <n v="1"/>
    <x v="2"/>
    <x v="3"/>
    <x v="3"/>
    <x v="4"/>
    <x v="3"/>
    <x v="2"/>
  </r>
  <r>
    <x v="0"/>
    <x v="1"/>
    <x v="4"/>
    <n v="1"/>
    <x v="3"/>
    <x v="0"/>
    <x v="1"/>
    <x v="2"/>
    <x v="4"/>
    <x v="2"/>
  </r>
  <r>
    <x v="0"/>
    <x v="1"/>
    <x v="3"/>
    <n v="1"/>
    <x v="3"/>
    <x v="0"/>
    <x v="2"/>
    <x v="3"/>
    <x v="0"/>
    <x v="7"/>
  </r>
  <r>
    <x v="0"/>
    <x v="1"/>
    <x v="5"/>
    <n v="1"/>
    <x v="0"/>
    <x v="0"/>
    <x v="2"/>
    <x v="3"/>
    <x v="2"/>
    <x v="21"/>
  </r>
  <r>
    <x v="1"/>
    <x v="1"/>
    <x v="4"/>
    <n v="1"/>
    <x v="3"/>
    <x v="1"/>
    <x v="2"/>
    <x v="3"/>
    <x v="4"/>
    <x v="14"/>
  </r>
  <r>
    <x v="1"/>
    <x v="1"/>
    <x v="4"/>
    <n v="1"/>
    <x v="0"/>
    <x v="0"/>
    <x v="1"/>
    <x v="2"/>
    <x v="0"/>
    <x v="46"/>
  </r>
  <r>
    <x v="0"/>
    <x v="1"/>
    <x v="3"/>
    <n v="1"/>
    <x v="3"/>
    <x v="0"/>
    <x v="1"/>
    <x v="4"/>
    <x v="0"/>
    <x v="23"/>
  </r>
  <r>
    <x v="0"/>
    <x v="1"/>
    <x v="3"/>
    <n v="1"/>
    <x v="3"/>
    <x v="1"/>
    <x v="3"/>
    <x v="0"/>
    <x v="0"/>
    <x v="21"/>
  </r>
  <r>
    <x v="0"/>
    <x v="1"/>
    <x v="4"/>
    <n v="1"/>
    <x v="1"/>
    <x v="0"/>
    <x v="2"/>
    <x v="4"/>
    <x v="4"/>
    <x v="47"/>
  </r>
  <r>
    <x v="0"/>
    <x v="1"/>
    <x v="4"/>
    <n v="1"/>
    <x v="1"/>
    <x v="2"/>
    <x v="2"/>
    <x v="2"/>
    <x v="4"/>
    <x v="5"/>
  </r>
  <r>
    <x v="1"/>
    <x v="1"/>
    <x v="0"/>
    <n v="1"/>
    <x v="1"/>
    <x v="1"/>
    <x v="2"/>
    <x v="3"/>
    <x v="2"/>
    <x v="13"/>
  </r>
  <r>
    <x v="1"/>
    <x v="1"/>
    <x v="2"/>
    <n v="0"/>
    <x v="3"/>
    <x v="0"/>
    <x v="0"/>
    <x v="1"/>
    <x v="1"/>
    <x v="12"/>
  </r>
  <r>
    <x v="1"/>
    <x v="1"/>
    <x v="5"/>
    <n v="1"/>
    <x v="1"/>
    <x v="1"/>
    <x v="2"/>
    <x v="2"/>
    <x v="0"/>
    <x v="12"/>
  </r>
  <r>
    <x v="0"/>
    <x v="1"/>
    <x v="0"/>
    <n v="1"/>
    <x v="0"/>
    <x v="3"/>
    <x v="0"/>
    <x v="3"/>
    <x v="2"/>
    <x v="48"/>
  </r>
  <r>
    <x v="0"/>
    <x v="1"/>
    <x v="5"/>
    <n v="1"/>
    <x v="2"/>
    <x v="0"/>
    <x v="2"/>
    <x v="0"/>
    <x v="0"/>
    <x v="49"/>
  </r>
  <r>
    <x v="0"/>
    <x v="1"/>
    <x v="3"/>
    <n v="1"/>
    <x v="0"/>
    <x v="4"/>
    <x v="3"/>
    <x v="3"/>
    <x v="0"/>
    <x v="50"/>
  </r>
  <r>
    <x v="1"/>
    <x v="1"/>
    <x v="4"/>
    <n v="1"/>
    <x v="3"/>
    <x v="2"/>
    <x v="3"/>
    <x v="4"/>
    <x v="3"/>
    <x v="34"/>
  </r>
  <r>
    <x v="0"/>
    <x v="1"/>
    <x v="2"/>
    <n v="0"/>
    <x v="3"/>
    <x v="2"/>
    <x v="1"/>
    <x v="1"/>
    <x v="1"/>
    <x v="51"/>
  </r>
  <r>
    <x v="0"/>
    <x v="1"/>
    <x v="5"/>
    <n v="1"/>
    <x v="0"/>
    <x v="3"/>
    <x v="3"/>
    <x v="0"/>
    <x v="0"/>
    <x v="52"/>
  </r>
  <r>
    <x v="0"/>
    <x v="1"/>
    <x v="3"/>
    <n v="1"/>
    <x v="2"/>
    <x v="0"/>
    <x v="2"/>
    <x v="0"/>
    <x v="0"/>
    <x v="44"/>
  </r>
  <r>
    <x v="0"/>
    <x v="1"/>
    <x v="3"/>
    <n v="1"/>
    <x v="0"/>
    <x v="1"/>
    <x v="1"/>
    <x v="0"/>
    <x v="2"/>
    <x v="8"/>
  </r>
  <r>
    <x v="0"/>
    <x v="1"/>
    <x v="0"/>
    <n v="1"/>
    <x v="3"/>
    <x v="2"/>
    <x v="2"/>
    <x v="0"/>
    <x v="2"/>
    <x v="53"/>
  </r>
  <r>
    <x v="1"/>
    <x v="1"/>
    <x v="3"/>
    <n v="1"/>
    <x v="0"/>
    <x v="3"/>
    <x v="2"/>
    <x v="0"/>
    <x v="4"/>
    <x v="14"/>
  </r>
  <r>
    <x v="0"/>
    <x v="1"/>
    <x v="1"/>
    <n v="1"/>
    <x v="1"/>
    <x v="2"/>
    <x v="1"/>
    <x v="3"/>
    <x v="2"/>
    <x v="54"/>
  </r>
  <r>
    <x v="0"/>
    <x v="1"/>
    <x v="5"/>
    <n v="1"/>
    <x v="0"/>
    <x v="0"/>
    <x v="3"/>
    <x v="4"/>
    <x v="2"/>
    <x v="2"/>
  </r>
  <r>
    <x v="0"/>
    <x v="1"/>
    <x v="2"/>
    <n v="0"/>
    <x v="5"/>
    <x v="4"/>
    <x v="1"/>
    <x v="1"/>
    <x v="1"/>
    <x v="55"/>
  </r>
  <r>
    <x v="0"/>
    <x v="1"/>
    <x v="3"/>
    <n v="1"/>
    <x v="2"/>
    <x v="3"/>
    <x v="3"/>
    <x v="0"/>
    <x v="0"/>
    <x v="21"/>
  </r>
  <r>
    <x v="0"/>
    <x v="1"/>
    <x v="4"/>
    <n v="1"/>
    <x v="2"/>
    <x v="2"/>
    <x v="2"/>
    <x v="0"/>
    <x v="4"/>
    <x v="9"/>
  </r>
  <r>
    <x v="0"/>
    <x v="1"/>
    <x v="3"/>
    <n v="1"/>
    <x v="3"/>
    <x v="2"/>
    <x v="2"/>
    <x v="0"/>
    <x v="0"/>
    <x v="4"/>
  </r>
  <r>
    <x v="0"/>
    <x v="1"/>
    <x v="5"/>
    <n v="1"/>
    <x v="2"/>
    <x v="3"/>
    <x v="3"/>
    <x v="3"/>
    <x v="2"/>
    <x v="8"/>
  </r>
  <r>
    <x v="1"/>
    <x v="1"/>
    <x v="1"/>
    <n v="1"/>
    <x v="2"/>
    <x v="3"/>
    <x v="0"/>
    <x v="3"/>
    <x v="2"/>
    <x v="56"/>
  </r>
  <r>
    <x v="0"/>
    <x v="1"/>
    <x v="0"/>
    <n v="1"/>
    <x v="3"/>
    <x v="0"/>
    <x v="1"/>
    <x v="0"/>
    <x v="0"/>
    <x v="54"/>
  </r>
  <r>
    <x v="1"/>
    <x v="1"/>
    <x v="4"/>
    <n v="1"/>
    <x v="3"/>
    <x v="2"/>
    <x v="2"/>
    <x v="2"/>
    <x v="3"/>
    <x v="11"/>
  </r>
  <r>
    <x v="0"/>
    <x v="1"/>
    <x v="2"/>
    <n v="0"/>
    <x v="3"/>
    <x v="0"/>
    <x v="2"/>
    <x v="1"/>
    <x v="1"/>
    <x v="57"/>
  </r>
  <r>
    <x v="0"/>
    <x v="1"/>
    <x v="1"/>
    <n v="1"/>
    <x v="2"/>
    <x v="0"/>
    <x v="3"/>
    <x v="3"/>
    <x v="2"/>
    <x v="58"/>
  </r>
  <r>
    <x v="0"/>
    <x v="1"/>
    <x v="1"/>
    <n v="1"/>
    <x v="3"/>
    <x v="0"/>
    <x v="1"/>
    <x v="3"/>
    <x v="2"/>
    <x v="14"/>
  </r>
  <r>
    <x v="0"/>
    <x v="1"/>
    <x v="3"/>
    <n v="1"/>
    <x v="1"/>
    <x v="2"/>
    <x v="2"/>
    <x v="0"/>
    <x v="2"/>
    <x v="21"/>
  </r>
  <r>
    <x v="0"/>
    <x v="1"/>
    <x v="0"/>
    <n v="1"/>
    <x v="1"/>
    <x v="1"/>
    <x v="2"/>
    <x v="3"/>
    <x v="2"/>
    <x v="6"/>
  </r>
  <r>
    <x v="1"/>
    <x v="1"/>
    <x v="4"/>
    <n v="1"/>
    <x v="1"/>
    <x v="1"/>
    <x v="3"/>
    <x v="0"/>
    <x v="2"/>
    <x v="35"/>
  </r>
  <r>
    <x v="0"/>
    <x v="2"/>
    <x v="2"/>
    <n v="0"/>
    <x v="3"/>
    <x v="2"/>
    <x v="2"/>
    <x v="1"/>
    <x v="1"/>
    <x v="2"/>
  </r>
  <r>
    <x v="0"/>
    <x v="2"/>
    <x v="3"/>
    <n v="1"/>
    <x v="2"/>
    <x v="0"/>
    <x v="3"/>
    <x v="0"/>
    <x v="2"/>
    <x v="9"/>
  </r>
  <r>
    <x v="0"/>
    <x v="2"/>
    <x v="2"/>
    <n v="0"/>
    <x v="2"/>
    <x v="4"/>
    <x v="3"/>
    <x v="1"/>
    <x v="1"/>
    <x v="4"/>
  </r>
  <r>
    <x v="0"/>
    <x v="2"/>
    <x v="2"/>
    <n v="0"/>
    <x v="1"/>
    <x v="0"/>
    <x v="2"/>
    <x v="1"/>
    <x v="1"/>
    <x v="13"/>
  </r>
  <r>
    <x v="1"/>
    <x v="2"/>
    <x v="2"/>
    <n v="0"/>
    <x v="1"/>
    <x v="1"/>
    <x v="0"/>
    <x v="1"/>
    <x v="1"/>
    <x v="15"/>
  </r>
  <r>
    <x v="0"/>
    <x v="2"/>
    <x v="2"/>
    <n v="0"/>
    <x v="3"/>
    <x v="0"/>
    <x v="2"/>
    <x v="1"/>
    <x v="1"/>
    <x v="30"/>
  </r>
  <r>
    <x v="0"/>
    <x v="2"/>
    <x v="2"/>
    <n v="0"/>
    <x v="0"/>
    <x v="3"/>
    <x v="2"/>
    <x v="1"/>
    <x v="1"/>
    <x v="14"/>
  </r>
  <r>
    <x v="0"/>
    <x v="2"/>
    <x v="2"/>
    <n v="0"/>
    <x v="1"/>
    <x v="0"/>
    <x v="3"/>
    <x v="1"/>
    <x v="1"/>
    <x v="21"/>
  </r>
  <r>
    <x v="1"/>
    <x v="2"/>
    <x v="4"/>
    <n v="1"/>
    <x v="3"/>
    <x v="2"/>
    <x v="1"/>
    <x v="4"/>
    <x v="2"/>
    <x v="5"/>
  </r>
  <r>
    <x v="1"/>
    <x v="2"/>
    <x v="0"/>
    <n v="1"/>
    <x v="1"/>
    <x v="0"/>
    <x v="1"/>
    <x v="0"/>
    <x v="0"/>
    <x v="5"/>
  </r>
  <r>
    <x v="0"/>
    <x v="2"/>
    <x v="5"/>
    <n v="1"/>
    <x v="1"/>
    <x v="1"/>
    <x v="2"/>
    <x v="3"/>
    <x v="4"/>
    <x v="11"/>
  </r>
  <r>
    <x v="1"/>
    <x v="2"/>
    <x v="2"/>
    <n v="0"/>
    <x v="2"/>
    <x v="0"/>
    <x v="2"/>
    <x v="1"/>
    <x v="1"/>
    <x v="2"/>
  </r>
  <r>
    <x v="0"/>
    <x v="2"/>
    <x v="2"/>
    <n v="0"/>
    <x v="2"/>
    <x v="0"/>
    <x v="3"/>
    <x v="1"/>
    <x v="1"/>
    <x v="8"/>
  </r>
  <r>
    <x v="1"/>
    <x v="2"/>
    <x v="1"/>
    <n v="1"/>
    <x v="1"/>
    <x v="0"/>
    <x v="3"/>
    <x v="4"/>
    <x v="2"/>
    <x v="11"/>
  </r>
  <r>
    <x v="1"/>
    <x v="2"/>
    <x v="2"/>
    <n v="0"/>
    <x v="3"/>
    <x v="0"/>
    <x v="2"/>
    <x v="1"/>
    <x v="1"/>
    <x v="8"/>
  </r>
  <r>
    <x v="0"/>
    <x v="2"/>
    <x v="2"/>
    <n v="0"/>
    <x v="2"/>
    <x v="4"/>
    <x v="3"/>
    <x v="1"/>
    <x v="1"/>
    <x v="36"/>
  </r>
  <r>
    <x v="0"/>
    <x v="2"/>
    <x v="2"/>
    <n v="0"/>
    <x v="3"/>
    <x v="1"/>
    <x v="2"/>
    <x v="1"/>
    <x v="1"/>
    <x v="15"/>
  </r>
  <r>
    <x v="1"/>
    <x v="2"/>
    <x v="0"/>
    <n v="1"/>
    <x v="1"/>
    <x v="1"/>
    <x v="3"/>
    <x v="0"/>
    <x v="2"/>
    <x v="3"/>
  </r>
  <r>
    <x v="1"/>
    <x v="2"/>
    <x v="1"/>
    <n v="1"/>
    <x v="2"/>
    <x v="0"/>
    <x v="2"/>
    <x v="0"/>
    <x v="0"/>
    <x v="11"/>
  </r>
  <r>
    <x v="0"/>
    <x v="2"/>
    <x v="2"/>
    <n v="0"/>
    <x v="1"/>
    <x v="0"/>
    <x v="2"/>
    <x v="1"/>
    <x v="1"/>
    <x v="4"/>
  </r>
  <r>
    <x v="1"/>
    <x v="2"/>
    <x v="2"/>
    <n v="0"/>
    <x v="1"/>
    <x v="1"/>
    <x v="2"/>
    <x v="1"/>
    <x v="1"/>
    <x v="15"/>
  </r>
  <r>
    <x v="0"/>
    <x v="2"/>
    <x v="2"/>
    <n v="0"/>
    <x v="1"/>
    <x v="1"/>
    <x v="2"/>
    <x v="1"/>
    <x v="1"/>
    <x v="4"/>
  </r>
  <r>
    <x v="0"/>
    <x v="2"/>
    <x v="1"/>
    <n v="1"/>
    <x v="3"/>
    <x v="2"/>
    <x v="3"/>
    <x v="3"/>
    <x v="4"/>
    <x v="14"/>
  </r>
  <r>
    <x v="0"/>
    <x v="2"/>
    <x v="1"/>
    <n v="1"/>
    <x v="1"/>
    <x v="1"/>
    <x v="2"/>
    <x v="3"/>
    <x v="2"/>
    <x v="23"/>
  </r>
  <r>
    <x v="0"/>
    <x v="2"/>
    <x v="2"/>
    <n v="0"/>
    <x v="3"/>
    <x v="1"/>
    <x v="3"/>
    <x v="1"/>
    <x v="1"/>
    <x v="7"/>
  </r>
  <r>
    <x v="1"/>
    <x v="2"/>
    <x v="2"/>
    <n v="0"/>
    <x v="3"/>
    <x v="0"/>
    <x v="1"/>
    <x v="1"/>
    <x v="1"/>
    <x v="14"/>
  </r>
  <r>
    <x v="1"/>
    <x v="2"/>
    <x v="2"/>
    <n v="0"/>
    <x v="2"/>
    <x v="0"/>
    <x v="1"/>
    <x v="1"/>
    <x v="1"/>
    <x v="15"/>
  </r>
  <r>
    <x v="0"/>
    <x v="2"/>
    <x v="5"/>
    <n v="1"/>
    <x v="1"/>
    <x v="1"/>
    <x v="1"/>
    <x v="2"/>
    <x v="4"/>
    <x v="6"/>
  </r>
  <r>
    <x v="1"/>
    <x v="2"/>
    <x v="1"/>
    <n v="1"/>
    <x v="1"/>
    <x v="1"/>
    <x v="2"/>
    <x v="3"/>
    <x v="0"/>
    <x v="4"/>
  </r>
  <r>
    <x v="1"/>
    <x v="2"/>
    <x v="4"/>
    <n v="1"/>
    <x v="2"/>
    <x v="3"/>
    <x v="1"/>
    <x v="2"/>
    <x v="4"/>
    <x v="21"/>
  </r>
  <r>
    <x v="1"/>
    <x v="2"/>
    <x v="3"/>
    <n v="1"/>
    <x v="3"/>
    <x v="2"/>
    <x v="1"/>
    <x v="0"/>
    <x v="2"/>
    <x v="6"/>
  </r>
  <r>
    <x v="1"/>
    <x v="2"/>
    <x v="2"/>
    <n v="0"/>
    <x v="1"/>
    <x v="6"/>
    <x v="2"/>
    <x v="1"/>
    <x v="1"/>
    <x v="15"/>
  </r>
  <r>
    <x v="0"/>
    <x v="2"/>
    <x v="5"/>
    <n v="1"/>
    <x v="3"/>
    <x v="2"/>
    <x v="1"/>
    <x v="3"/>
    <x v="2"/>
    <x v="14"/>
  </r>
  <r>
    <x v="0"/>
    <x v="2"/>
    <x v="2"/>
    <n v="0"/>
    <x v="1"/>
    <x v="2"/>
    <x v="1"/>
    <x v="1"/>
    <x v="1"/>
    <x v="15"/>
  </r>
  <r>
    <x v="0"/>
    <x v="2"/>
    <x v="2"/>
    <n v="0"/>
    <x v="1"/>
    <x v="3"/>
    <x v="2"/>
    <x v="1"/>
    <x v="1"/>
    <x v="6"/>
  </r>
  <r>
    <x v="0"/>
    <x v="2"/>
    <x v="0"/>
    <n v="1"/>
    <x v="2"/>
    <x v="3"/>
    <x v="1"/>
    <x v="2"/>
    <x v="0"/>
    <x v="11"/>
  </r>
  <r>
    <x v="0"/>
    <x v="2"/>
    <x v="2"/>
    <n v="0"/>
    <x v="3"/>
    <x v="1"/>
    <x v="3"/>
    <x v="1"/>
    <x v="1"/>
    <x v="11"/>
  </r>
  <r>
    <x v="0"/>
    <x v="2"/>
    <x v="2"/>
    <n v="0"/>
    <x v="1"/>
    <x v="0"/>
    <x v="2"/>
    <x v="1"/>
    <x v="1"/>
    <x v="36"/>
  </r>
  <r>
    <x v="1"/>
    <x v="2"/>
    <x v="4"/>
    <n v="1"/>
    <x v="3"/>
    <x v="2"/>
    <x v="2"/>
    <x v="4"/>
    <x v="5"/>
    <x v="5"/>
  </r>
  <r>
    <x v="0"/>
    <x v="2"/>
    <x v="2"/>
    <n v="0"/>
    <x v="1"/>
    <x v="2"/>
    <x v="2"/>
    <x v="1"/>
    <x v="1"/>
    <x v="59"/>
  </r>
  <r>
    <x v="0"/>
    <x v="2"/>
    <x v="2"/>
    <n v="0"/>
    <x v="3"/>
    <x v="2"/>
    <x v="1"/>
    <x v="1"/>
    <x v="1"/>
    <x v="5"/>
  </r>
  <r>
    <x v="0"/>
    <x v="2"/>
    <x v="3"/>
    <n v="1"/>
    <x v="2"/>
    <x v="0"/>
    <x v="2"/>
    <x v="0"/>
    <x v="2"/>
    <x v="7"/>
  </r>
  <r>
    <x v="0"/>
    <x v="2"/>
    <x v="1"/>
    <n v="1"/>
    <x v="1"/>
    <x v="0"/>
    <x v="1"/>
    <x v="2"/>
    <x v="2"/>
    <x v="5"/>
  </r>
  <r>
    <x v="0"/>
    <x v="2"/>
    <x v="0"/>
    <n v="1"/>
    <x v="2"/>
    <x v="2"/>
    <x v="1"/>
    <x v="0"/>
    <x v="0"/>
    <x v="6"/>
  </r>
  <r>
    <x v="0"/>
    <x v="2"/>
    <x v="1"/>
    <n v="1"/>
    <x v="2"/>
    <x v="0"/>
    <x v="2"/>
    <x v="0"/>
    <x v="4"/>
    <x v="20"/>
  </r>
  <r>
    <x v="0"/>
    <x v="2"/>
    <x v="0"/>
    <n v="1"/>
    <x v="4"/>
    <x v="1"/>
    <x v="1"/>
    <x v="0"/>
    <x v="0"/>
    <x v="15"/>
  </r>
  <r>
    <x v="0"/>
    <x v="2"/>
    <x v="1"/>
    <n v="1"/>
    <x v="2"/>
    <x v="3"/>
    <x v="2"/>
    <x v="2"/>
    <x v="2"/>
    <x v="14"/>
  </r>
  <r>
    <x v="1"/>
    <x v="2"/>
    <x v="3"/>
    <n v="1"/>
    <x v="4"/>
    <x v="1"/>
    <x v="2"/>
    <x v="0"/>
    <x v="2"/>
    <x v="15"/>
  </r>
  <r>
    <x v="1"/>
    <x v="2"/>
    <x v="5"/>
    <n v="1"/>
    <x v="1"/>
    <x v="3"/>
    <x v="3"/>
    <x v="0"/>
    <x v="4"/>
    <x v="15"/>
  </r>
  <r>
    <x v="1"/>
    <x v="2"/>
    <x v="1"/>
    <n v="1"/>
    <x v="0"/>
    <x v="0"/>
    <x v="2"/>
    <x v="2"/>
    <x v="0"/>
    <x v="11"/>
  </r>
  <r>
    <x v="0"/>
    <x v="2"/>
    <x v="3"/>
    <n v="1"/>
    <x v="3"/>
    <x v="6"/>
    <x v="1"/>
    <x v="0"/>
    <x v="0"/>
    <x v="14"/>
  </r>
  <r>
    <x v="0"/>
    <x v="2"/>
    <x v="3"/>
    <n v="1"/>
    <x v="2"/>
    <x v="0"/>
    <x v="2"/>
    <x v="3"/>
    <x v="0"/>
    <x v="8"/>
  </r>
  <r>
    <x v="1"/>
    <x v="2"/>
    <x v="0"/>
    <n v="1"/>
    <x v="2"/>
    <x v="3"/>
    <x v="2"/>
    <x v="3"/>
    <x v="0"/>
    <x v="8"/>
  </r>
  <r>
    <x v="1"/>
    <x v="2"/>
    <x v="5"/>
    <n v="1"/>
    <x v="2"/>
    <x v="1"/>
    <x v="1"/>
    <x v="0"/>
    <x v="2"/>
    <x v="14"/>
  </r>
  <r>
    <x v="0"/>
    <x v="2"/>
    <x v="0"/>
    <n v="1"/>
    <x v="3"/>
    <x v="1"/>
    <x v="2"/>
    <x v="0"/>
    <x v="0"/>
    <x v="15"/>
  </r>
  <r>
    <x v="1"/>
    <x v="2"/>
    <x v="4"/>
    <n v="1"/>
    <x v="1"/>
    <x v="3"/>
    <x v="2"/>
    <x v="4"/>
    <x v="4"/>
    <x v="21"/>
  </r>
  <r>
    <x v="0"/>
    <x v="2"/>
    <x v="1"/>
    <n v="1"/>
    <x v="2"/>
    <x v="0"/>
    <x v="2"/>
    <x v="3"/>
    <x v="0"/>
    <x v="2"/>
  </r>
  <r>
    <x v="1"/>
    <x v="2"/>
    <x v="1"/>
    <n v="1"/>
    <x v="4"/>
    <x v="0"/>
    <x v="1"/>
    <x v="0"/>
    <x v="0"/>
    <x v="15"/>
  </r>
  <r>
    <x v="1"/>
    <x v="2"/>
    <x v="2"/>
    <n v="0"/>
    <x v="3"/>
    <x v="2"/>
    <x v="1"/>
    <x v="1"/>
    <x v="1"/>
    <x v="60"/>
  </r>
  <r>
    <x v="1"/>
    <x v="2"/>
    <x v="2"/>
    <n v="0"/>
    <x v="4"/>
    <x v="1"/>
    <x v="2"/>
    <x v="1"/>
    <x v="1"/>
    <x v="11"/>
  </r>
  <r>
    <x v="0"/>
    <x v="2"/>
    <x v="1"/>
    <n v="1"/>
    <x v="1"/>
    <x v="1"/>
    <x v="1"/>
    <x v="0"/>
    <x v="0"/>
    <x v="61"/>
  </r>
  <r>
    <x v="0"/>
    <x v="2"/>
    <x v="3"/>
    <n v="1"/>
    <x v="3"/>
    <x v="0"/>
    <x v="2"/>
    <x v="0"/>
    <x v="0"/>
    <x v="8"/>
  </r>
  <r>
    <x v="0"/>
    <x v="2"/>
    <x v="3"/>
    <n v="1"/>
    <x v="1"/>
    <x v="1"/>
    <x v="2"/>
    <x v="0"/>
    <x v="2"/>
    <x v="2"/>
  </r>
  <r>
    <x v="1"/>
    <x v="2"/>
    <x v="5"/>
    <n v="1"/>
    <x v="1"/>
    <x v="1"/>
    <x v="1"/>
    <x v="2"/>
    <x v="4"/>
    <x v="11"/>
  </r>
  <r>
    <x v="1"/>
    <x v="2"/>
    <x v="3"/>
    <n v="1"/>
    <x v="1"/>
    <x v="2"/>
    <x v="2"/>
    <x v="0"/>
    <x v="0"/>
    <x v="21"/>
  </r>
  <r>
    <x v="1"/>
    <x v="2"/>
    <x v="1"/>
    <n v="1"/>
    <x v="3"/>
    <x v="2"/>
    <x v="2"/>
    <x v="4"/>
    <x v="4"/>
    <x v="21"/>
  </r>
  <r>
    <x v="1"/>
    <x v="3"/>
    <x v="3"/>
    <n v="1"/>
    <x v="5"/>
    <x v="3"/>
    <x v="3"/>
    <x v="2"/>
    <x v="2"/>
    <x v="8"/>
  </r>
  <r>
    <x v="0"/>
    <x v="3"/>
    <x v="2"/>
    <n v="0"/>
    <x v="2"/>
    <x v="1"/>
    <x v="2"/>
    <x v="1"/>
    <x v="1"/>
    <x v="14"/>
  </r>
  <r>
    <x v="0"/>
    <x v="3"/>
    <x v="2"/>
    <n v="0"/>
    <x v="1"/>
    <x v="0"/>
    <x v="2"/>
    <x v="1"/>
    <x v="1"/>
    <x v="4"/>
  </r>
  <r>
    <x v="0"/>
    <x v="3"/>
    <x v="2"/>
    <n v="0"/>
    <x v="3"/>
    <x v="2"/>
    <x v="2"/>
    <x v="1"/>
    <x v="1"/>
    <x v="0"/>
  </r>
  <r>
    <x v="1"/>
    <x v="3"/>
    <x v="1"/>
    <n v="1"/>
    <x v="2"/>
    <x v="0"/>
    <x v="0"/>
    <x v="4"/>
    <x v="4"/>
    <x v="2"/>
  </r>
  <r>
    <x v="1"/>
    <x v="3"/>
    <x v="2"/>
    <n v="0"/>
    <x v="1"/>
    <x v="1"/>
    <x v="1"/>
    <x v="1"/>
    <x v="1"/>
    <x v="6"/>
  </r>
  <r>
    <x v="0"/>
    <x v="3"/>
    <x v="0"/>
    <n v="1"/>
    <x v="3"/>
    <x v="2"/>
    <x v="1"/>
    <x v="0"/>
    <x v="2"/>
    <x v="62"/>
  </r>
  <r>
    <x v="0"/>
    <x v="3"/>
    <x v="2"/>
    <n v="0"/>
    <x v="1"/>
    <x v="3"/>
    <x v="2"/>
    <x v="1"/>
    <x v="1"/>
    <x v="2"/>
  </r>
  <r>
    <x v="0"/>
    <x v="3"/>
    <x v="2"/>
    <n v="0"/>
    <x v="0"/>
    <x v="0"/>
    <x v="3"/>
    <x v="1"/>
    <x v="1"/>
    <x v="2"/>
  </r>
  <r>
    <x v="0"/>
    <x v="3"/>
    <x v="2"/>
    <n v="0"/>
    <x v="2"/>
    <x v="1"/>
    <x v="2"/>
    <x v="1"/>
    <x v="1"/>
    <x v="14"/>
  </r>
  <r>
    <x v="0"/>
    <x v="3"/>
    <x v="2"/>
    <n v="0"/>
    <x v="2"/>
    <x v="0"/>
    <x v="2"/>
    <x v="1"/>
    <x v="1"/>
    <x v="38"/>
  </r>
  <r>
    <x v="0"/>
    <x v="3"/>
    <x v="2"/>
    <n v="0"/>
    <x v="3"/>
    <x v="1"/>
    <x v="3"/>
    <x v="1"/>
    <x v="1"/>
    <x v="2"/>
  </r>
  <r>
    <x v="1"/>
    <x v="3"/>
    <x v="2"/>
    <n v="0"/>
    <x v="1"/>
    <x v="1"/>
    <x v="1"/>
    <x v="1"/>
    <x v="1"/>
    <x v="14"/>
  </r>
  <r>
    <x v="1"/>
    <x v="3"/>
    <x v="5"/>
    <n v="1"/>
    <x v="2"/>
    <x v="1"/>
    <x v="0"/>
    <x v="0"/>
    <x v="0"/>
    <x v="21"/>
  </r>
  <r>
    <x v="0"/>
    <x v="3"/>
    <x v="2"/>
    <n v="0"/>
    <x v="2"/>
    <x v="3"/>
    <x v="3"/>
    <x v="1"/>
    <x v="1"/>
    <x v="13"/>
  </r>
  <r>
    <x v="0"/>
    <x v="3"/>
    <x v="2"/>
    <n v="0"/>
    <x v="3"/>
    <x v="1"/>
    <x v="1"/>
    <x v="1"/>
    <x v="1"/>
    <x v="14"/>
  </r>
  <r>
    <x v="0"/>
    <x v="3"/>
    <x v="2"/>
    <n v="0"/>
    <x v="0"/>
    <x v="0"/>
    <x v="1"/>
    <x v="1"/>
    <x v="1"/>
    <x v="4"/>
  </r>
  <r>
    <x v="1"/>
    <x v="3"/>
    <x v="0"/>
    <n v="1"/>
    <x v="2"/>
    <x v="0"/>
    <x v="2"/>
    <x v="2"/>
    <x v="2"/>
    <x v="4"/>
  </r>
  <r>
    <x v="1"/>
    <x v="3"/>
    <x v="5"/>
    <n v="1"/>
    <x v="0"/>
    <x v="4"/>
    <x v="2"/>
    <x v="3"/>
    <x v="2"/>
    <x v="21"/>
  </r>
  <r>
    <x v="1"/>
    <x v="3"/>
    <x v="4"/>
    <n v="1"/>
    <x v="2"/>
    <x v="0"/>
    <x v="3"/>
    <x v="4"/>
    <x v="5"/>
    <x v="12"/>
  </r>
  <r>
    <x v="1"/>
    <x v="3"/>
    <x v="0"/>
    <n v="1"/>
    <x v="1"/>
    <x v="0"/>
    <x v="3"/>
    <x v="4"/>
    <x v="0"/>
    <x v="18"/>
  </r>
  <r>
    <x v="1"/>
    <x v="3"/>
    <x v="4"/>
    <n v="1"/>
    <x v="0"/>
    <x v="3"/>
    <x v="2"/>
    <x v="4"/>
    <x v="0"/>
    <x v="13"/>
  </r>
  <r>
    <x v="1"/>
    <x v="3"/>
    <x v="4"/>
    <n v="1"/>
    <x v="2"/>
    <x v="2"/>
    <x v="2"/>
    <x v="3"/>
    <x v="2"/>
    <x v="63"/>
  </r>
  <r>
    <x v="0"/>
    <x v="3"/>
    <x v="1"/>
    <n v="1"/>
    <x v="2"/>
    <x v="0"/>
    <x v="2"/>
    <x v="4"/>
    <x v="4"/>
    <x v="14"/>
  </r>
  <r>
    <x v="1"/>
    <x v="3"/>
    <x v="4"/>
    <n v="1"/>
    <x v="2"/>
    <x v="0"/>
    <x v="1"/>
    <x v="0"/>
    <x v="4"/>
    <x v="11"/>
  </r>
  <r>
    <x v="1"/>
    <x v="3"/>
    <x v="3"/>
    <n v="1"/>
    <x v="3"/>
    <x v="1"/>
    <x v="2"/>
    <x v="2"/>
    <x v="3"/>
    <x v="6"/>
  </r>
  <r>
    <x v="1"/>
    <x v="3"/>
    <x v="4"/>
    <n v="1"/>
    <x v="1"/>
    <x v="1"/>
    <x v="0"/>
    <x v="2"/>
    <x v="3"/>
    <x v="14"/>
  </r>
  <r>
    <x v="1"/>
    <x v="3"/>
    <x v="0"/>
    <n v="1"/>
    <x v="3"/>
    <x v="2"/>
    <x v="1"/>
    <x v="0"/>
    <x v="2"/>
    <x v="64"/>
  </r>
  <r>
    <x v="1"/>
    <x v="3"/>
    <x v="0"/>
    <n v="1"/>
    <x v="0"/>
    <x v="3"/>
    <x v="2"/>
    <x v="0"/>
    <x v="0"/>
    <x v="46"/>
  </r>
  <r>
    <x v="1"/>
    <x v="3"/>
    <x v="0"/>
    <n v="1"/>
    <x v="1"/>
    <x v="3"/>
    <x v="3"/>
    <x v="0"/>
    <x v="4"/>
    <x v="65"/>
  </r>
  <r>
    <x v="1"/>
    <x v="3"/>
    <x v="5"/>
    <n v="1"/>
    <x v="2"/>
    <x v="0"/>
    <x v="2"/>
    <x v="0"/>
    <x v="0"/>
    <x v="34"/>
  </r>
  <r>
    <x v="1"/>
    <x v="3"/>
    <x v="4"/>
    <n v="1"/>
    <x v="2"/>
    <x v="1"/>
    <x v="3"/>
    <x v="4"/>
    <x v="2"/>
    <x v="6"/>
  </r>
  <r>
    <x v="1"/>
    <x v="3"/>
    <x v="1"/>
    <n v="1"/>
    <x v="1"/>
    <x v="1"/>
    <x v="1"/>
    <x v="4"/>
    <x v="4"/>
    <x v="14"/>
  </r>
  <r>
    <x v="0"/>
    <x v="3"/>
    <x v="0"/>
    <n v="1"/>
    <x v="1"/>
    <x v="1"/>
    <x v="1"/>
    <x v="3"/>
    <x v="2"/>
    <x v="6"/>
  </r>
  <r>
    <x v="1"/>
    <x v="3"/>
    <x v="4"/>
    <n v="1"/>
    <x v="2"/>
    <x v="1"/>
    <x v="2"/>
    <x v="4"/>
    <x v="5"/>
    <x v="8"/>
  </r>
  <r>
    <x v="0"/>
    <x v="3"/>
    <x v="2"/>
    <n v="0"/>
    <x v="3"/>
    <x v="0"/>
    <x v="1"/>
    <x v="1"/>
    <x v="1"/>
    <x v="11"/>
  </r>
  <r>
    <x v="1"/>
    <x v="3"/>
    <x v="4"/>
    <n v="1"/>
    <x v="2"/>
    <x v="0"/>
    <x v="2"/>
    <x v="0"/>
    <x v="2"/>
    <x v="11"/>
  </r>
  <r>
    <x v="1"/>
    <x v="3"/>
    <x v="3"/>
    <n v="1"/>
    <x v="2"/>
    <x v="4"/>
    <x v="3"/>
    <x v="2"/>
    <x v="2"/>
    <x v="66"/>
  </r>
  <r>
    <x v="0"/>
    <x v="3"/>
    <x v="3"/>
    <n v="1"/>
    <x v="3"/>
    <x v="2"/>
    <x v="1"/>
    <x v="0"/>
    <x v="2"/>
    <x v="21"/>
  </r>
  <r>
    <x v="1"/>
    <x v="3"/>
    <x v="3"/>
    <n v="1"/>
    <x v="0"/>
    <x v="4"/>
    <x v="3"/>
    <x v="3"/>
    <x v="4"/>
    <x v="18"/>
  </r>
  <r>
    <x v="1"/>
    <x v="3"/>
    <x v="4"/>
    <n v="1"/>
    <x v="2"/>
    <x v="3"/>
    <x v="0"/>
    <x v="4"/>
    <x v="3"/>
    <x v="67"/>
  </r>
  <r>
    <x v="0"/>
    <x v="3"/>
    <x v="3"/>
    <n v="1"/>
    <x v="0"/>
    <x v="0"/>
    <x v="3"/>
    <x v="0"/>
    <x v="0"/>
    <x v="21"/>
  </r>
  <r>
    <x v="0"/>
    <x v="3"/>
    <x v="0"/>
    <n v="1"/>
    <x v="2"/>
    <x v="0"/>
    <x v="3"/>
    <x v="3"/>
    <x v="0"/>
    <x v="14"/>
  </r>
  <r>
    <x v="1"/>
    <x v="3"/>
    <x v="3"/>
    <n v="1"/>
    <x v="4"/>
    <x v="1"/>
    <x v="1"/>
    <x v="0"/>
    <x v="0"/>
    <x v="68"/>
  </r>
  <r>
    <x v="1"/>
    <x v="3"/>
    <x v="4"/>
    <n v="1"/>
    <x v="1"/>
    <x v="3"/>
    <x v="2"/>
    <x v="4"/>
    <x v="3"/>
    <x v="14"/>
  </r>
  <r>
    <x v="0"/>
    <x v="3"/>
    <x v="1"/>
    <n v="1"/>
    <x v="2"/>
    <x v="1"/>
    <x v="1"/>
    <x v="0"/>
    <x v="2"/>
    <x v="61"/>
  </r>
  <r>
    <x v="0"/>
    <x v="3"/>
    <x v="3"/>
    <n v="1"/>
    <x v="2"/>
    <x v="3"/>
    <x v="3"/>
    <x v="0"/>
    <x v="0"/>
    <x v="69"/>
  </r>
  <r>
    <x v="0"/>
    <x v="3"/>
    <x v="3"/>
    <n v="1"/>
    <x v="1"/>
    <x v="2"/>
    <x v="2"/>
    <x v="4"/>
    <x v="0"/>
    <x v="23"/>
  </r>
  <r>
    <x v="1"/>
    <x v="3"/>
    <x v="3"/>
    <n v="1"/>
    <x v="2"/>
    <x v="0"/>
    <x v="2"/>
    <x v="4"/>
    <x v="3"/>
    <x v="7"/>
  </r>
  <r>
    <x v="0"/>
    <x v="3"/>
    <x v="3"/>
    <n v="1"/>
    <x v="1"/>
    <x v="0"/>
    <x v="2"/>
    <x v="0"/>
    <x v="0"/>
    <x v="8"/>
  </r>
  <r>
    <x v="0"/>
    <x v="3"/>
    <x v="2"/>
    <n v="0"/>
    <x v="0"/>
    <x v="0"/>
    <x v="2"/>
    <x v="1"/>
    <x v="1"/>
    <x v="8"/>
  </r>
  <r>
    <x v="0"/>
    <x v="3"/>
    <x v="1"/>
    <n v="1"/>
    <x v="3"/>
    <x v="3"/>
    <x v="1"/>
    <x v="0"/>
    <x v="2"/>
    <x v="11"/>
  </r>
  <r>
    <x v="1"/>
    <x v="3"/>
    <x v="3"/>
    <n v="1"/>
    <x v="2"/>
    <x v="3"/>
    <x v="2"/>
    <x v="0"/>
    <x v="4"/>
    <x v="38"/>
  </r>
  <r>
    <x v="1"/>
    <x v="3"/>
    <x v="4"/>
    <n v="1"/>
    <x v="1"/>
    <x v="3"/>
    <x v="3"/>
    <x v="2"/>
    <x v="2"/>
    <x v="10"/>
  </r>
  <r>
    <x v="1"/>
    <x v="3"/>
    <x v="4"/>
    <n v="1"/>
    <x v="2"/>
    <x v="1"/>
    <x v="2"/>
    <x v="4"/>
    <x v="4"/>
    <x v="21"/>
  </r>
  <r>
    <x v="0"/>
    <x v="3"/>
    <x v="4"/>
    <n v="1"/>
    <x v="2"/>
    <x v="1"/>
    <x v="2"/>
    <x v="3"/>
    <x v="2"/>
    <x v="6"/>
  </r>
  <r>
    <x v="0"/>
    <x v="3"/>
    <x v="1"/>
    <n v="1"/>
    <x v="0"/>
    <x v="0"/>
    <x v="3"/>
    <x v="3"/>
    <x v="0"/>
    <x v="12"/>
  </r>
  <r>
    <x v="0"/>
    <x v="3"/>
    <x v="3"/>
    <n v="1"/>
    <x v="2"/>
    <x v="0"/>
    <x v="2"/>
    <x v="0"/>
    <x v="0"/>
    <x v="10"/>
  </r>
  <r>
    <x v="1"/>
    <x v="3"/>
    <x v="3"/>
    <n v="1"/>
    <x v="0"/>
    <x v="3"/>
    <x v="3"/>
    <x v="4"/>
    <x v="4"/>
    <x v="44"/>
  </r>
  <r>
    <x v="1"/>
    <x v="3"/>
    <x v="3"/>
    <n v="1"/>
    <x v="2"/>
    <x v="0"/>
    <x v="3"/>
    <x v="3"/>
    <x v="2"/>
    <x v="5"/>
  </r>
  <r>
    <x v="0"/>
    <x v="3"/>
    <x v="3"/>
    <n v="1"/>
    <x v="2"/>
    <x v="3"/>
    <x v="3"/>
    <x v="3"/>
    <x v="0"/>
    <x v="70"/>
  </r>
  <r>
    <x v="1"/>
    <x v="3"/>
    <x v="3"/>
    <n v="1"/>
    <x v="1"/>
    <x v="1"/>
    <x v="3"/>
    <x v="0"/>
    <x v="0"/>
    <x v="8"/>
  </r>
  <r>
    <x v="1"/>
    <x v="3"/>
    <x v="1"/>
    <n v="1"/>
    <x v="3"/>
    <x v="0"/>
    <x v="3"/>
    <x v="2"/>
    <x v="2"/>
    <x v="71"/>
  </r>
  <r>
    <x v="1"/>
    <x v="3"/>
    <x v="3"/>
    <n v="1"/>
    <x v="2"/>
    <x v="0"/>
    <x v="2"/>
    <x v="3"/>
    <x v="2"/>
    <x v="21"/>
  </r>
  <r>
    <x v="1"/>
    <x v="3"/>
    <x v="3"/>
    <n v="1"/>
    <x v="5"/>
    <x v="4"/>
    <x v="3"/>
    <x v="0"/>
    <x v="2"/>
    <x v="65"/>
  </r>
  <r>
    <x v="1"/>
    <x v="3"/>
    <x v="3"/>
    <n v="1"/>
    <x v="2"/>
    <x v="1"/>
    <x v="2"/>
    <x v="4"/>
    <x v="2"/>
    <x v="27"/>
  </r>
  <r>
    <x v="1"/>
    <x v="3"/>
    <x v="1"/>
    <n v="1"/>
    <x v="1"/>
    <x v="3"/>
    <x v="2"/>
    <x v="0"/>
    <x v="2"/>
    <x v="27"/>
  </r>
  <r>
    <x v="1"/>
    <x v="3"/>
    <x v="4"/>
    <n v="1"/>
    <x v="0"/>
    <x v="3"/>
    <x v="2"/>
    <x v="2"/>
    <x v="5"/>
    <x v="2"/>
  </r>
  <r>
    <x v="1"/>
    <x v="3"/>
    <x v="4"/>
    <n v="1"/>
    <x v="2"/>
    <x v="0"/>
    <x v="2"/>
    <x v="4"/>
    <x v="5"/>
    <x v="11"/>
  </r>
  <r>
    <x v="0"/>
    <x v="3"/>
    <x v="2"/>
    <n v="0"/>
    <x v="2"/>
    <x v="0"/>
    <x v="1"/>
    <x v="1"/>
    <x v="1"/>
    <x v="37"/>
  </r>
  <r>
    <x v="1"/>
    <x v="3"/>
    <x v="3"/>
    <n v="1"/>
    <x v="2"/>
    <x v="0"/>
    <x v="2"/>
    <x v="0"/>
    <x v="0"/>
    <x v="72"/>
  </r>
  <r>
    <x v="0"/>
    <x v="3"/>
    <x v="5"/>
    <n v="1"/>
    <x v="2"/>
    <x v="0"/>
    <x v="2"/>
    <x v="3"/>
    <x v="2"/>
    <x v="11"/>
  </r>
  <r>
    <x v="0"/>
    <x v="3"/>
    <x v="2"/>
    <n v="0"/>
    <x v="1"/>
    <x v="1"/>
    <x v="1"/>
    <x v="1"/>
    <x v="1"/>
    <x v="5"/>
  </r>
  <r>
    <x v="1"/>
    <x v="3"/>
    <x v="5"/>
    <n v="1"/>
    <x v="2"/>
    <x v="3"/>
    <x v="3"/>
    <x v="2"/>
    <x v="2"/>
    <x v="21"/>
  </r>
  <r>
    <x v="0"/>
    <x v="3"/>
    <x v="2"/>
    <n v="0"/>
    <x v="2"/>
    <x v="3"/>
    <x v="3"/>
    <x v="1"/>
    <x v="1"/>
    <x v="36"/>
  </r>
  <r>
    <x v="1"/>
    <x v="3"/>
    <x v="4"/>
    <n v="1"/>
    <x v="2"/>
    <x v="3"/>
    <x v="3"/>
    <x v="2"/>
    <x v="2"/>
    <x v="73"/>
  </r>
  <r>
    <x v="0"/>
    <x v="3"/>
    <x v="2"/>
    <n v="0"/>
    <x v="2"/>
    <x v="0"/>
    <x v="2"/>
    <x v="1"/>
    <x v="1"/>
    <x v="4"/>
  </r>
  <r>
    <x v="1"/>
    <x v="3"/>
    <x v="1"/>
    <n v="1"/>
    <x v="2"/>
    <x v="1"/>
    <x v="0"/>
    <x v="4"/>
    <x v="0"/>
    <x v="2"/>
  </r>
  <r>
    <x v="0"/>
    <x v="3"/>
    <x v="1"/>
    <n v="1"/>
    <x v="2"/>
    <x v="2"/>
    <x v="1"/>
    <x v="0"/>
    <x v="2"/>
    <x v="37"/>
  </r>
  <r>
    <x v="1"/>
    <x v="3"/>
    <x v="4"/>
    <n v="1"/>
    <x v="0"/>
    <x v="3"/>
    <x v="2"/>
    <x v="2"/>
    <x v="0"/>
    <x v="37"/>
  </r>
  <r>
    <x v="1"/>
    <x v="3"/>
    <x v="4"/>
    <n v="1"/>
    <x v="1"/>
    <x v="1"/>
    <x v="2"/>
    <x v="0"/>
    <x v="2"/>
    <x v="34"/>
  </r>
  <r>
    <x v="0"/>
    <x v="3"/>
    <x v="3"/>
    <n v="1"/>
    <x v="2"/>
    <x v="2"/>
    <x v="2"/>
    <x v="3"/>
    <x v="5"/>
    <x v="2"/>
  </r>
  <r>
    <x v="0"/>
    <x v="3"/>
    <x v="2"/>
    <n v="0"/>
    <x v="3"/>
    <x v="0"/>
    <x v="3"/>
    <x v="1"/>
    <x v="1"/>
    <x v="21"/>
  </r>
  <r>
    <x v="0"/>
    <x v="3"/>
    <x v="1"/>
    <n v="1"/>
    <x v="2"/>
    <x v="3"/>
    <x v="3"/>
    <x v="0"/>
    <x v="2"/>
    <x v="30"/>
  </r>
  <r>
    <x v="1"/>
    <x v="3"/>
    <x v="1"/>
    <n v="1"/>
    <x v="3"/>
    <x v="2"/>
    <x v="3"/>
    <x v="2"/>
    <x v="2"/>
    <x v="7"/>
  </r>
  <r>
    <x v="1"/>
    <x v="3"/>
    <x v="4"/>
    <n v="1"/>
    <x v="2"/>
    <x v="0"/>
    <x v="2"/>
    <x v="0"/>
    <x v="4"/>
    <x v="74"/>
  </r>
  <r>
    <x v="0"/>
    <x v="3"/>
    <x v="1"/>
    <n v="1"/>
    <x v="1"/>
    <x v="1"/>
    <x v="2"/>
    <x v="0"/>
    <x v="0"/>
    <x v="75"/>
  </r>
  <r>
    <x v="0"/>
    <x v="3"/>
    <x v="2"/>
    <n v="0"/>
    <x v="2"/>
    <x v="0"/>
    <x v="0"/>
    <x v="1"/>
    <x v="1"/>
    <x v="46"/>
  </r>
  <r>
    <x v="0"/>
    <x v="3"/>
    <x v="2"/>
    <n v="0"/>
    <x v="2"/>
    <x v="0"/>
    <x v="1"/>
    <x v="1"/>
    <x v="1"/>
    <x v="14"/>
  </r>
  <r>
    <x v="1"/>
    <x v="3"/>
    <x v="4"/>
    <n v="1"/>
    <x v="3"/>
    <x v="0"/>
    <x v="2"/>
    <x v="2"/>
    <x v="4"/>
    <x v="6"/>
  </r>
  <r>
    <x v="1"/>
    <x v="3"/>
    <x v="5"/>
    <n v="1"/>
    <x v="1"/>
    <x v="3"/>
    <x v="2"/>
    <x v="0"/>
    <x v="0"/>
    <x v="64"/>
  </r>
  <r>
    <x v="1"/>
    <x v="3"/>
    <x v="3"/>
    <n v="1"/>
    <x v="2"/>
    <x v="3"/>
    <x v="2"/>
    <x v="0"/>
    <x v="2"/>
    <x v="2"/>
  </r>
  <r>
    <x v="0"/>
    <x v="3"/>
    <x v="2"/>
    <n v="0"/>
    <x v="2"/>
    <x v="0"/>
    <x v="3"/>
    <x v="1"/>
    <x v="1"/>
    <x v="76"/>
  </r>
  <r>
    <x v="0"/>
    <x v="3"/>
    <x v="2"/>
    <n v="0"/>
    <x v="2"/>
    <x v="0"/>
    <x v="2"/>
    <x v="1"/>
    <x v="1"/>
    <x v="21"/>
  </r>
  <r>
    <x v="0"/>
    <x v="3"/>
    <x v="2"/>
    <n v="0"/>
    <x v="2"/>
    <x v="0"/>
    <x v="2"/>
    <x v="1"/>
    <x v="1"/>
    <x v="26"/>
  </r>
  <r>
    <x v="1"/>
    <x v="3"/>
    <x v="5"/>
    <n v="1"/>
    <x v="1"/>
    <x v="1"/>
    <x v="3"/>
    <x v="4"/>
    <x v="2"/>
    <x v="4"/>
  </r>
  <r>
    <x v="0"/>
    <x v="3"/>
    <x v="3"/>
    <n v="1"/>
    <x v="2"/>
    <x v="4"/>
    <x v="2"/>
    <x v="0"/>
    <x v="0"/>
    <x v="8"/>
  </r>
  <r>
    <x v="0"/>
    <x v="3"/>
    <x v="0"/>
    <n v="1"/>
    <x v="1"/>
    <x v="0"/>
    <x v="1"/>
    <x v="3"/>
    <x v="0"/>
    <x v="4"/>
  </r>
  <r>
    <x v="0"/>
    <x v="3"/>
    <x v="2"/>
    <n v="0"/>
    <x v="3"/>
    <x v="1"/>
    <x v="1"/>
    <x v="1"/>
    <x v="1"/>
    <x v="14"/>
  </r>
  <r>
    <x v="1"/>
    <x v="3"/>
    <x v="1"/>
    <n v="1"/>
    <x v="4"/>
    <x v="1"/>
    <x v="2"/>
    <x v="3"/>
    <x v="2"/>
    <x v="77"/>
  </r>
  <r>
    <x v="0"/>
    <x v="3"/>
    <x v="2"/>
    <n v="0"/>
    <x v="1"/>
    <x v="3"/>
    <x v="2"/>
    <x v="1"/>
    <x v="1"/>
    <x v="4"/>
  </r>
  <r>
    <x v="1"/>
    <x v="3"/>
    <x v="1"/>
    <n v="1"/>
    <x v="2"/>
    <x v="0"/>
    <x v="2"/>
    <x v="0"/>
    <x v="4"/>
    <x v="4"/>
  </r>
  <r>
    <x v="0"/>
    <x v="3"/>
    <x v="3"/>
    <n v="1"/>
    <x v="1"/>
    <x v="1"/>
    <x v="2"/>
    <x v="3"/>
    <x v="2"/>
    <x v="15"/>
  </r>
  <r>
    <x v="0"/>
    <x v="3"/>
    <x v="4"/>
    <n v="1"/>
    <x v="1"/>
    <x v="1"/>
    <x v="2"/>
    <x v="3"/>
    <x v="4"/>
    <x v="14"/>
  </r>
  <r>
    <x v="0"/>
    <x v="3"/>
    <x v="1"/>
    <n v="1"/>
    <x v="0"/>
    <x v="0"/>
    <x v="3"/>
    <x v="3"/>
    <x v="0"/>
    <x v="21"/>
  </r>
  <r>
    <x v="1"/>
    <x v="3"/>
    <x v="1"/>
    <n v="1"/>
    <x v="1"/>
    <x v="2"/>
    <x v="2"/>
    <x v="0"/>
    <x v="2"/>
    <x v="5"/>
  </r>
  <r>
    <x v="1"/>
    <x v="3"/>
    <x v="4"/>
    <n v="1"/>
    <x v="0"/>
    <x v="3"/>
    <x v="3"/>
    <x v="0"/>
    <x v="2"/>
    <x v="30"/>
  </r>
  <r>
    <x v="1"/>
    <x v="3"/>
    <x v="3"/>
    <n v="1"/>
    <x v="2"/>
    <x v="0"/>
    <x v="0"/>
    <x v="4"/>
    <x v="5"/>
    <x v="10"/>
  </r>
  <r>
    <x v="1"/>
    <x v="3"/>
    <x v="3"/>
    <n v="1"/>
    <x v="0"/>
    <x v="3"/>
    <x v="0"/>
    <x v="2"/>
    <x v="2"/>
    <x v="10"/>
  </r>
  <r>
    <x v="1"/>
    <x v="3"/>
    <x v="2"/>
    <n v="0"/>
    <x v="2"/>
    <x v="3"/>
    <x v="2"/>
    <x v="1"/>
    <x v="1"/>
    <x v="78"/>
  </r>
  <r>
    <x v="1"/>
    <x v="3"/>
    <x v="1"/>
    <n v="1"/>
    <x v="2"/>
    <x v="3"/>
    <x v="1"/>
    <x v="4"/>
    <x v="4"/>
    <x v="4"/>
  </r>
  <r>
    <x v="1"/>
    <x v="3"/>
    <x v="4"/>
    <n v="1"/>
    <x v="1"/>
    <x v="0"/>
    <x v="2"/>
    <x v="4"/>
    <x v="4"/>
    <x v="15"/>
  </r>
  <r>
    <x v="1"/>
    <x v="3"/>
    <x v="1"/>
    <n v="1"/>
    <x v="2"/>
    <x v="0"/>
    <x v="3"/>
    <x v="0"/>
    <x v="4"/>
    <x v="3"/>
  </r>
  <r>
    <x v="0"/>
    <x v="3"/>
    <x v="2"/>
    <n v="0"/>
    <x v="0"/>
    <x v="0"/>
    <x v="2"/>
    <x v="1"/>
    <x v="1"/>
    <x v="79"/>
  </r>
  <r>
    <x v="1"/>
    <x v="3"/>
    <x v="3"/>
    <n v="1"/>
    <x v="2"/>
    <x v="1"/>
    <x v="2"/>
    <x v="0"/>
    <x v="0"/>
    <x v="7"/>
  </r>
  <r>
    <x v="1"/>
    <x v="3"/>
    <x v="4"/>
    <n v="1"/>
    <x v="1"/>
    <x v="3"/>
    <x v="2"/>
    <x v="4"/>
    <x v="5"/>
    <x v="34"/>
  </r>
  <r>
    <x v="0"/>
    <x v="3"/>
    <x v="2"/>
    <n v="0"/>
    <x v="2"/>
    <x v="3"/>
    <x v="2"/>
    <x v="1"/>
    <x v="1"/>
    <x v="19"/>
  </r>
  <r>
    <x v="1"/>
    <x v="3"/>
    <x v="1"/>
    <n v="1"/>
    <x v="2"/>
    <x v="0"/>
    <x v="3"/>
    <x v="3"/>
    <x v="2"/>
    <x v="43"/>
  </r>
  <r>
    <x v="0"/>
    <x v="3"/>
    <x v="2"/>
    <n v="0"/>
    <x v="1"/>
    <x v="0"/>
    <x v="2"/>
    <x v="1"/>
    <x v="1"/>
    <x v="21"/>
  </r>
  <r>
    <x v="0"/>
    <x v="3"/>
    <x v="2"/>
    <n v="0"/>
    <x v="5"/>
    <x v="4"/>
    <x v="0"/>
    <x v="1"/>
    <x v="1"/>
    <x v="8"/>
  </r>
  <r>
    <x v="1"/>
    <x v="3"/>
    <x v="1"/>
    <n v="1"/>
    <x v="1"/>
    <x v="1"/>
    <x v="2"/>
    <x v="2"/>
    <x v="4"/>
    <x v="15"/>
  </r>
  <r>
    <x v="1"/>
    <x v="3"/>
    <x v="1"/>
    <n v="1"/>
    <x v="1"/>
    <x v="0"/>
    <x v="2"/>
    <x v="0"/>
    <x v="2"/>
    <x v="15"/>
  </r>
  <r>
    <x v="1"/>
    <x v="4"/>
    <x v="4"/>
    <n v="1"/>
    <x v="2"/>
    <x v="3"/>
    <x v="3"/>
    <x v="4"/>
    <x v="4"/>
    <x v="20"/>
  </r>
  <r>
    <x v="0"/>
    <x v="4"/>
    <x v="3"/>
    <n v="1"/>
    <x v="1"/>
    <x v="3"/>
    <x v="0"/>
    <x v="3"/>
    <x v="2"/>
    <x v="20"/>
  </r>
  <r>
    <x v="1"/>
    <x v="4"/>
    <x v="5"/>
    <n v="1"/>
    <x v="3"/>
    <x v="0"/>
    <x v="3"/>
    <x v="3"/>
    <x v="2"/>
    <x v="20"/>
  </r>
  <r>
    <x v="1"/>
    <x v="4"/>
    <x v="5"/>
    <n v="1"/>
    <x v="2"/>
    <x v="2"/>
    <x v="0"/>
    <x v="3"/>
    <x v="4"/>
    <x v="20"/>
  </r>
  <r>
    <x v="1"/>
    <x v="4"/>
    <x v="5"/>
    <n v="1"/>
    <x v="2"/>
    <x v="0"/>
    <x v="2"/>
    <x v="2"/>
    <x v="0"/>
    <x v="80"/>
  </r>
  <r>
    <x v="0"/>
    <x v="4"/>
    <x v="2"/>
    <n v="0"/>
    <x v="2"/>
    <x v="1"/>
    <x v="3"/>
    <x v="1"/>
    <x v="1"/>
    <x v="20"/>
  </r>
  <r>
    <x v="1"/>
    <x v="4"/>
    <x v="4"/>
    <n v="1"/>
    <x v="1"/>
    <x v="0"/>
    <x v="1"/>
    <x v="4"/>
    <x v="3"/>
    <x v="2"/>
  </r>
  <r>
    <x v="1"/>
    <x v="4"/>
    <x v="4"/>
    <n v="1"/>
    <x v="1"/>
    <x v="3"/>
    <x v="2"/>
    <x v="3"/>
    <x v="2"/>
    <x v="4"/>
  </r>
  <r>
    <x v="0"/>
    <x v="4"/>
    <x v="3"/>
    <n v="1"/>
    <x v="5"/>
    <x v="4"/>
    <x v="0"/>
    <x v="0"/>
    <x v="0"/>
    <x v="20"/>
  </r>
  <r>
    <x v="0"/>
    <x v="4"/>
    <x v="1"/>
    <n v="1"/>
    <x v="1"/>
    <x v="3"/>
    <x v="3"/>
    <x v="0"/>
    <x v="0"/>
    <x v="20"/>
  </r>
  <r>
    <x v="0"/>
    <x v="4"/>
    <x v="1"/>
    <n v="1"/>
    <x v="2"/>
    <x v="0"/>
    <x v="0"/>
    <x v="3"/>
    <x v="4"/>
    <x v="20"/>
  </r>
  <r>
    <x v="1"/>
    <x v="4"/>
    <x v="3"/>
    <n v="1"/>
    <x v="1"/>
    <x v="0"/>
    <x v="3"/>
    <x v="3"/>
    <x v="4"/>
    <x v="4"/>
  </r>
  <r>
    <x v="1"/>
    <x v="4"/>
    <x v="5"/>
    <n v="1"/>
    <x v="2"/>
    <x v="0"/>
    <x v="0"/>
    <x v="2"/>
    <x v="0"/>
    <x v="8"/>
  </r>
  <r>
    <x v="1"/>
    <x v="4"/>
    <x v="2"/>
    <n v="0"/>
    <x v="0"/>
    <x v="0"/>
    <x v="3"/>
    <x v="1"/>
    <x v="1"/>
    <x v="4"/>
  </r>
  <r>
    <x v="1"/>
    <x v="4"/>
    <x v="4"/>
    <n v="1"/>
    <x v="2"/>
    <x v="0"/>
    <x v="3"/>
    <x v="4"/>
    <x v="5"/>
    <x v="20"/>
  </r>
  <r>
    <x v="0"/>
    <x v="4"/>
    <x v="0"/>
    <n v="1"/>
    <x v="1"/>
    <x v="3"/>
    <x v="0"/>
    <x v="4"/>
    <x v="4"/>
    <x v="2"/>
  </r>
  <r>
    <x v="0"/>
    <x v="4"/>
    <x v="2"/>
    <n v="0"/>
    <x v="2"/>
    <x v="0"/>
    <x v="0"/>
    <x v="1"/>
    <x v="1"/>
    <x v="8"/>
  </r>
  <r>
    <x v="0"/>
    <x v="4"/>
    <x v="1"/>
    <n v="1"/>
    <x v="1"/>
    <x v="1"/>
    <x v="2"/>
    <x v="2"/>
    <x v="2"/>
    <x v="20"/>
  </r>
  <r>
    <x v="0"/>
    <x v="4"/>
    <x v="0"/>
    <n v="1"/>
    <x v="2"/>
    <x v="0"/>
    <x v="3"/>
    <x v="0"/>
    <x v="0"/>
    <x v="72"/>
  </r>
  <r>
    <x v="0"/>
    <x v="4"/>
    <x v="5"/>
    <n v="1"/>
    <x v="2"/>
    <x v="0"/>
    <x v="3"/>
    <x v="3"/>
    <x v="4"/>
    <x v="4"/>
  </r>
  <r>
    <x v="0"/>
    <x v="4"/>
    <x v="2"/>
    <n v="0"/>
    <x v="2"/>
    <x v="3"/>
    <x v="2"/>
    <x v="1"/>
    <x v="1"/>
    <x v="20"/>
  </r>
  <r>
    <x v="0"/>
    <x v="4"/>
    <x v="2"/>
    <n v="0"/>
    <x v="2"/>
    <x v="0"/>
    <x v="2"/>
    <x v="1"/>
    <x v="1"/>
    <x v="20"/>
  </r>
  <r>
    <x v="1"/>
    <x v="4"/>
    <x v="2"/>
    <n v="0"/>
    <x v="0"/>
    <x v="4"/>
    <x v="3"/>
    <x v="1"/>
    <x v="1"/>
    <x v="12"/>
  </r>
  <r>
    <x v="0"/>
    <x v="4"/>
    <x v="3"/>
    <n v="1"/>
    <x v="0"/>
    <x v="4"/>
    <x v="0"/>
    <x v="2"/>
    <x v="2"/>
    <x v="20"/>
  </r>
  <r>
    <x v="1"/>
    <x v="4"/>
    <x v="4"/>
    <n v="1"/>
    <x v="1"/>
    <x v="0"/>
    <x v="2"/>
    <x v="2"/>
    <x v="5"/>
    <x v="26"/>
  </r>
  <r>
    <x v="1"/>
    <x v="4"/>
    <x v="5"/>
    <n v="1"/>
    <x v="2"/>
    <x v="3"/>
    <x v="2"/>
    <x v="4"/>
    <x v="2"/>
    <x v="8"/>
  </r>
  <r>
    <x v="0"/>
    <x v="4"/>
    <x v="1"/>
    <n v="1"/>
    <x v="2"/>
    <x v="0"/>
    <x v="3"/>
    <x v="2"/>
    <x v="0"/>
    <x v="4"/>
  </r>
  <r>
    <x v="0"/>
    <x v="4"/>
    <x v="3"/>
    <n v="1"/>
    <x v="2"/>
    <x v="3"/>
    <x v="0"/>
    <x v="0"/>
    <x v="2"/>
    <x v="4"/>
  </r>
  <r>
    <x v="0"/>
    <x v="4"/>
    <x v="2"/>
    <n v="0"/>
    <x v="2"/>
    <x v="3"/>
    <x v="2"/>
    <x v="1"/>
    <x v="1"/>
    <x v="20"/>
  </r>
  <r>
    <x v="1"/>
    <x v="4"/>
    <x v="1"/>
    <n v="1"/>
    <x v="0"/>
    <x v="3"/>
    <x v="2"/>
    <x v="0"/>
    <x v="2"/>
    <x v="33"/>
  </r>
  <r>
    <x v="1"/>
    <x v="4"/>
    <x v="1"/>
    <n v="1"/>
    <x v="2"/>
    <x v="0"/>
    <x v="0"/>
    <x v="2"/>
    <x v="2"/>
    <x v="4"/>
  </r>
  <r>
    <x v="0"/>
    <x v="5"/>
    <x v="3"/>
    <n v="1"/>
    <x v="2"/>
    <x v="0"/>
    <x v="0"/>
    <x v="0"/>
    <x v="2"/>
    <x v="20"/>
  </r>
  <r>
    <x v="1"/>
    <x v="5"/>
    <x v="4"/>
    <n v="1"/>
    <x v="0"/>
    <x v="3"/>
    <x v="0"/>
    <x v="3"/>
    <x v="2"/>
    <x v="20"/>
  </r>
  <r>
    <x v="1"/>
    <x v="5"/>
    <x v="5"/>
    <n v="1"/>
    <x v="3"/>
    <x v="2"/>
    <x v="0"/>
    <x v="0"/>
    <x v="0"/>
    <x v="20"/>
  </r>
  <r>
    <x v="1"/>
    <x v="5"/>
    <x v="3"/>
    <n v="1"/>
    <x v="1"/>
    <x v="1"/>
    <x v="0"/>
    <x v="4"/>
    <x v="3"/>
    <x v="4"/>
  </r>
  <r>
    <x v="1"/>
    <x v="5"/>
    <x v="2"/>
    <n v="0"/>
    <x v="2"/>
    <x v="2"/>
    <x v="3"/>
    <x v="1"/>
    <x v="1"/>
    <x v="20"/>
  </r>
  <r>
    <x v="0"/>
    <x v="5"/>
    <x v="1"/>
    <n v="1"/>
    <x v="1"/>
    <x v="1"/>
    <x v="2"/>
    <x v="3"/>
    <x v="0"/>
    <x v="21"/>
  </r>
  <r>
    <x v="1"/>
    <x v="5"/>
    <x v="3"/>
    <n v="1"/>
    <x v="3"/>
    <x v="2"/>
    <x v="0"/>
    <x v="3"/>
    <x v="2"/>
    <x v="20"/>
  </r>
  <r>
    <x v="1"/>
    <x v="5"/>
    <x v="3"/>
    <n v="1"/>
    <x v="5"/>
    <x v="5"/>
    <x v="0"/>
    <x v="2"/>
    <x v="4"/>
    <x v="20"/>
  </r>
  <r>
    <x v="1"/>
    <x v="5"/>
    <x v="4"/>
    <n v="1"/>
    <x v="2"/>
    <x v="0"/>
    <x v="1"/>
    <x v="4"/>
    <x v="5"/>
    <x v="20"/>
  </r>
  <r>
    <x v="0"/>
    <x v="5"/>
    <x v="2"/>
    <n v="0"/>
    <x v="0"/>
    <x v="0"/>
    <x v="3"/>
    <x v="1"/>
    <x v="1"/>
    <x v="20"/>
  </r>
  <r>
    <x v="1"/>
    <x v="5"/>
    <x v="1"/>
    <n v="1"/>
    <x v="2"/>
    <x v="4"/>
    <x v="0"/>
    <x v="4"/>
    <x v="4"/>
    <x v="20"/>
  </r>
  <r>
    <x v="1"/>
    <x v="5"/>
    <x v="0"/>
    <n v="1"/>
    <x v="5"/>
    <x v="4"/>
    <x v="3"/>
    <x v="2"/>
    <x v="4"/>
    <x v="20"/>
  </r>
  <r>
    <x v="1"/>
    <x v="5"/>
    <x v="3"/>
    <n v="1"/>
    <x v="2"/>
    <x v="0"/>
    <x v="0"/>
    <x v="4"/>
    <x v="3"/>
    <x v="14"/>
  </r>
  <r>
    <x v="1"/>
    <x v="5"/>
    <x v="3"/>
    <n v="1"/>
    <x v="0"/>
    <x v="4"/>
    <x v="3"/>
    <x v="2"/>
    <x v="2"/>
    <x v="20"/>
  </r>
  <r>
    <x v="1"/>
    <x v="5"/>
    <x v="2"/>
    <n v="0"/>
    <x v="1"/>
    <x v="3"/>
    <x v="3"/>
    <x v="1"/>
    <x v="1"/>
    <x v="20"/>
  </r>
  <r>
    <x v="0"/>
    <x v="5"/>
    <x v="2"/>
    <n v="0"/>
    <x v="2"/>
    <x v="3"/>
    <x v="3"/>
    <x v="1"/>
    <x v="1"/>
    <x v="20"/>
  </r>
  <r>
    <x v="1"/>
    <x v="5"/>
    <x v="0"/>
    <n v="1"/>
    <x v="5"/>
    <x v="4"/>
    <x v="0"/>
    <x v="2"/>
    <x v="2"/>
    <x v="20"/>
  </r>
  <r>
    <x v="1"/>
    <x v="5"/>
    <x v="3"/>
    <n v="1"/>
    <x v="0"/>
    <x v="4"/>
    <x v="0"/>
    <x v="0"/>
    <x v="2"/>
    <x v="20"/>
  </r>
  <r>
    <x v="1"/>
    <x v="5"/>
    <x v="4"/>
    <n v="1"/>
    <x v="0"/>
    <x v="3"/>
    <x v="3"/>
    <x v="2"/>
    <x v="4"/>
    <x v="20"/>
  </r>
  <r>
    <x v="0"/>
    <x v="5"/>
    <x v="2"/>
    <n v="0"/>
    <x v="0"/>
    <x v="4"/>
    <x v="0"/>
    <x v="1"/>
    <x v="1"/>
    <x v="8"/>
  </r>
  <r>
    <x v="1"/>
    <x v="5"/>
    <x v="3"/>
    <n v="1"/>
    <x v="2"/>
    <x v="0"/>
    <x v="2"/>
    <x v="2"/>
    <x v="2"/>
    <x v="20"/>
  </r>
  <r>
    <x v="0"/>
    <x v="6"/>
    <x v="2"/>
    <n v="0"/>
    <x v="2"/>
    <x v="0"/>
    <x v="4"/>
    <x v="1"/>
    <x v="1"/>
    <x v="10"/>
  </r>
  <r>
    <x v="1"/>
    <x v="6"/>
    <x v="0"/>
    <n v="1"/>
    <x v="1"/>
    <x v="3"/>
    <x v="4"/>
    <x v="0"/>
    <x v="0"/>
    <x v="20"/>
  </r>
  <r>
    <x v="0"/>
    <x v="6"/>
    <x v="0"/>
    <n v="1"/>
    <x v="0"/>
    <x v="3"/>
    <x v="4"/>
    <x v="2"/>
    <x v="0"/>
    <x v="20"/>
  </r>
  <r>
    <x v="0"/>
    <x v="6"/>
    <x v="0"/>
    <n v="1"/>
    <x v="1"/>
    <x v="0"/>
    <x v="4"/>
    <x v="2"/>
    <x v="2"/>
    <x v="4"/>
  </r>
  <r>
    <x v="1"/>
    <x v="6"/>
    <x v="3"/>
    <n v="1"/>
    <x v="0"/>
    <x v="0"/>
    <x v="4"/>
    <x v="3"/>
    <x v="0"/>
    <x v="8"/>
  </r>
  <r>
    <x v="0"/>
    <x v="6"/>
    <x v="2"/>
    <n v="0"/>
    <x v="2"/>
    <x v="0"/>
    <x v="4"/>
    <x v="1"/>
    <x v="1"/>
    <x v="20"/>
  </r>
  <r>
    <x v="0"/>
    <x v="6"/>
    <x v="2"/>
    <n v="0"/>
    <x v="2"/>
    <x v="3"/>
    <x v="4"/>
    <x v="1"/>
    <x v="1"/>
    <x v="8"/>
  </r>
  <r>
    <x v="1"/>
    <x v="6"/>
    <x v="2"/>
    <n v="0"/>
    <x v="0"/>
    <x v="3"/>
    <x v="4"/>
    <x v="1"/>
    <x v="1"/>
    <x v="20"/>
  </r>
  <r>
    <x v="1"/>
    <x v="6"/>
    <x v="3"/>
    <n v="1"/>
    <x v="0"/>
    <x v="3"/>
    <x v="4"/>
    <x v="0"/>
    <x v="0"/>
    <x v="20"/>
  </r>
  <r>
    <x v="1"/>
    <x v="6"/>
    <x v="3"/>
    <n v="1"/>
    <x v="2"/>
    <x v="0"/>
    <x v="4"/>
    <x v="0"/>
    <x v="0"/>
    <x v="36"/>
  </r>
  <r>
    <x v="0"/>
    <x v="6"/>
    <x v="0"/>
    <n v="1"/>
    <x v="0"/>
    <x v="3"/>
    <x v="4"/>
    <x v="2"/>
    <x v="0"/>
    <x v="8"/>
  </r>
  <r>
    <x v="1"/>
    <x v="6"/>
    <x v="3"/>
    <n v="1"/>
    <x v="1"/>
    <x v="1"/>
    <x v="4"/>
    <x v="2"/>
    <x v="4"/>
    <x v="8"/>
  </r>
  <r>
    <x v="1"/>
    <x v="6"/>
    <x v="3"/>
    <n v="1"/>
    <x v="0"/>
    <x v="3"/>
    <x v="4"/>
    <x v="2"/>
    <x v="0"/>
    <x v="20"/>
  </r>
  <r>
    <x v="1"/>
    <x v="6"/>
    <x v="5"/>
    <n v="1"/>
    <x v="0"/>
    <x v="3"/>
    <x v="4"/>
    <x v="2"/>
    <x v="4"/>
    <x v="20"/>
  </r>
  <r>
    <x v="0"/>
    <x v="6"/>
    <x v="0"/>
    <n v="1"/>
    <x v="2"/>
    <x v="0"/>
    <x v="4"/>
    <x v="0"/>
    <x v="2"/>
    <x v="10"/>
  </r>
  <r>
    <x v="1"/>
    <x v="6"/>
    <x v="0"/>
    <n v="1"/>
    <x v="0"/>
    <x v="3"/>
    <x v="4"/>
    <x v="3"/>
    <x v="0"/>
    <x v="20"/>
  </r>
  <r>
    <x v="1"/>
    <x v="6"/>
    <x v="0"/>
    <n v="1"/>
    <x v="1"/>
    <x v="1"/>
    <x v="4"/>
    <x v="2"/>
    <x v="4"/>
    <x v="20"/>
  </r>
  <r>
    <x v="0"/>
    <x v="6"/>
    <x v="2"/>
    <n v="0"/>
    <x v="2"/>
    <x v="3"/>
    <x v="4"/>
    <x v="1"/>
    <x v="1"/>
    <x v="20"/>
  </r>
  <r>
    <x v="0"/>
    <x v="6"/>
    <x v="2"/>
    <n v="0"/>
    <x v="5"/>
    <x v="4"/>
    <x v="4"/>
    <x v="1"/>
    <x v="1"/>
    <x v="20"/>
  </r>
  <r>
    <x v="0"/>
    <x v="6"/>
    <x v="3"/>
    <n v="1"/>
    <x v="0"/>
    <x v="0"/>
    <x v="4"/>
    <x v="3"/>
    <x v="4"/>
    <x v="20"/>
  </r>
  <r>
    <x v="1"/>
    <x v="6"/>
    <x v="5"/>
    <n v="1"/>
    <x v="5"/>
    <x v="4"/>
    <x v="4"/>
    <x v="0"/>
    <x v="0"/>
    <x v="20"/>
  </r>
  <r>
    <x v="1"/>
    <x v="6"/>
    <x v="1"/>
    <n v="1"/>
    <x v="2"/>
    <x v="3"/>
    <x v="4"/>
    <x v="3"/>
    <x v="2"/>
    <x v="8"/>
  </r>
  <r>
    <x v="1"/>
    <x v="6"/>
    <x v="5"/>
    <n v="1"/>
    <x v="0"/>
    <x v="3"/>
    <x v="4"/>
    <x v="3"/>
    <x v="4"/>
    <x v="20"/>
  </r>
  <r>
    <x v="1"/>
    <x v="6"/>
    <x v="1"/>
    <n v="1"/>
    <x v="3"/>
    <x v="0"/>
    <x v="4"/>
    <x v="3"/>
    <x v="4"/>
    <x v="4"/>
  </r>
  <r>
    <x v="1"/>
    <x v="6"/>
    <x v="5"/>
    <n v="1"/>
    <x v="0"/>
    <x v="3"/>
    <x v="4"/>
    <x v="0"/>
    <x v="0"/>
    <x v="20"/>
  </r>
  <r>
    <x v="0"/>
    <x v="6"/>
    <x v="2"/>
    <n v="0"/>
    <x v="2"/>
    <x v="0"/>
    <x v="4"/>
    <x v="1"/>
    <x v="1"/>
    <x v="20"/>
  </r>
  <r>
    <x v="1"/>
    <x v="6"/>
    <x v="3"/>
    <n v="1"/>
    <x v="3"/>
    <x v="1"/>
    <x v="4"/>
    <x v="0"/>
    <x v="0"/>
    <x v="20"/>
  </r>
  <r>
    <x v="0"/>
    <x v="6"/>
    <x v="2"/>
    <n v="0"/>
    <x v="5"/>
    <x v="3"/>
    <x v="4"/>
    <x v="1"/>
    <x v="1"/>
    <x v="20"/>
  </r>
  <r>
    <x v="0"/>
    <x v="6"/>
    <x v="2"/>
    <n v="0"/>
    <x v="0"/>
    <x v="3"/>
    <x v="4"/>
    <x v="1"/>
    <x v="1"/>
    <x v="20"/>
  </r>
  <r>
    <x v="1"/>
    <x v="6"/>
    <x v="2"/>
    <n v="0"/>
    <x v="1"/>
    <x v="0"/>
    <x v="4"/>
    <x v="1"/>
    <x v="1"/>
    <x v="10"/>
  </r>
  <r>
    <x v="1"/>
    <x v="6"/>
    <x v="3"/>
    <n v="1"/>
    <x v="2"/>
    <x v="0"/>
    <x v="4"/>
    <x v="4"/>
    <x v="4"/>
    <x v="20"/>
  </r>
  <r>
    <x v="1"/>
    <x v="6"/>
    <x v="1"/>
    <n v="1"/>
    <x v="3"/>
    <x v="2"/>
    <x v="4"/>
    <x v="0"/>
    <x v="0"/>
    <x v="20"/>
  </r>
  <r>
    <x v="0"/>
    <x v="6"/>
    <x v="3"/>
    <n v="1"/>
    <x v="0"/>
    <x v="3"/>
    <x v="4"/>
    <x v="4"/>
    <x v="0"/>
    <x v="20"/>
  </r>
  <r>
    <x v="1"/>
    <x v="6"/>
    <x v="2"/>
    <n v="0"/>
    <x v="0"/>
    <x v="0"/>
    <x v="4"/>
    <x v="1"/>
    <x v="1"/>
    <x v="12"/>
  </r>
  <r>
    <x v="1"/>
    <x v="6"/>
    <x v="3"/>
    <n v="1"/>
    <x v="2"/>
    <x v="0"/>
    <x v="4"/>
    <x v="0"/>
    <x v="0"/>
    <x v="76"/>
  </r>
  <r>
    <x v="0"/>
    <x v="6"/>
    <x v="2"/>
    <n v="0"/>
    <x v="0"/>
    <x v="3"/>
    <x v="4"/>
    <x v="1"/>
    <x v="1"/>
    <x v="20"/>
  </r>
  <r>
    <x v="1"/>
    <x v="6"/>
    <x v="5"/>
    <n v="1"/>
    <x v="2"/>
    <x v="0"/>
    <x v="4"/>
    <x v="0"/>
    <x v="2"/>
    <x v="20"/>
  </r>
  <r>
    <x v="0"/>
    <x v="6"/>
    <x v="2"/>
    <n v="0"/>
    <x v="5"/>
    <x v="4"/>
    <x v="4"/>
    <x v="1"/>
    <x v="1"/>
    <x v="20"/>
  </r>
  <r>
    <x v="0"/>
    <x v="6"/>
    <x v="2"/>
    <n v="0"/>
    <x v="0"/>
    <x v="3"/>
    <x v="4"/>
    <x v="1"/>
    <x v="1"/>
    <x v="8"/>
  </r>
  <r>
    <x v="1"/>
    <x v="6"/>
    <x v="3"/>
    <n v="1"/>
    <x v="2"/>
    <x v="0"/>
    <x v="4"/>
    <x v="4"/>
    <x v="4"/>
    <x v="76"/>
  </r>
  <r>
    <x v="0"/>
    <x v="6"/>
    <x v="2"/>
    <n v="0"/>
    <x v="1"/>
    <x v="3"/>
    <x v="4"/>
    <x v="1"/>
    <x v="1"/>
    <x v="76"/>
  </r>
  <r>
    <x v="1"/>
    <x v="7"/>
    <x v="2"/>
    <n v="0"/>
    <x v="1"/>
    <x v="1"/>
    <x v="1"/>
    <x v="1"/>
    <x v="1"/>
    <x v="21"/>
  </r>
  <r>
    <x v="1"/>
    <x v="7"/>
    <x v="4"/>
    <n v="1"/>
    <x v="1"/>
    <x v="0"/>
    <x v="2"/>
    <x v="0"/>
    <x v="0"/>
    <x v="15"/>
  </r>
  <r>
    <x v="0"/>
    <x v="7"/>
    <x v="3"/>
    <n v="1"/>
    <x v="3"/>
    <x v="0"/>
    <x v="1"/>
    <x v="0"/>
    <x v="0"/>
    <x v="74"/>
  </r>
  <r>
    <x v="1"/>
    <x v="7"/>
    <x v="5"/>
    <n v="1"/>
    <x v="3"/>
    <x v="1"/>
    <x v="2"/>
    <x v="2"/>
    <x v="4"/>
    <x v="11"/>
  </r>
  <r>
    <x v="1"/>
    <x v="7"/>
    <x v="0"/>
    <n v="1"/>
    <x v="1"/>
    <x v="1"/>
    <x v="3"/>
    <x v="2"/>
    <x v="2"/>
    <x v="62"/>
  </r>
  <r>
    <x v="0"/>
    <x v="7"/>
    <x v="3"/>
    <n v="1"/>
    <x v="1"/>
    <x v="0"/>
    <x v="2"/>
    <x v="3"/>
    <x v="2"/>
    <x v="13"/>
  </r>
  <r>
    <x v="1"/>
    <x v="7"/>
    <x v="2"/>
    <n v="0"/>
    <x v="2"/>
    <x v="0"/>
    <x v="3"/>
    <x v="1"/>
    <x v="1"/>
    <x v="81"/>
  </r>
  <r>
    <x v="0"/>
    <x v="7"/>
    <x v="2"/>
    <n v="0"/>
    <x v="2"/>
    <x v="0"/>
    <x v="3"/>
    <x v="1"/>
    <x v="1"/>
    <x v="2"/>
  </r>
  <r>
    <x v="0"/>
    <x v="7"/>
    <x v="2"/>
    <n v="0"/>
    <x v="3"/>
    <x v="2"/>
    <x v="2"/>
    <x v="1"/>
    <x v="1"/>
    <x v="2"/>
  </r>
  <r>
    <x v="1"/>
    <x v="7"/>
    <x v="1"/>
    <n v="1"/>
    <x v="1"/>
    <x v="3"/>
    <x v="2"/>
    <x v="0"/>
    <x v="0"/>
    <x v="4"/>
  </r>
  <r>
    <x v="0"/>
    <x v="7"/>
    <x v="2"/>
    <n v="0"/>
    <x v="3"/>
    <x v="2"/>
    <x v="2"/>
    <x v="1"/>
    <x v="1"/>
    <x v="10"/>
  </r>
  <r>
    <x v="1"/>
    <x v="7"/>
    <x v="5"/>
    <n v="1"/>
    <x v="4"/>
    <x v="1"/>
    <x v="1"/>
    <x v="0"/>
    <x v="2"/>
    <x v="6"/>
  </r>
  <r>
    <x v="1"/>
    <x v="7"/>
    <x v="2"/>
    <n v="0"/>
    <x v="1"/>
    <x v="1"/>
    <x v="1"/>
    <x v="1"/>
    <x v="1"/>
    <x v="8"/>
  </r>
  <r>
    <x v="0"/>
    <x v="7"/>
    <x v="2"/>
    <n v="0"/>
    <x v="2"/>
    <x v="0"/>
    <x v="2"/>
    <x v="1"/>
    <x v="1"/>
    <x v="20"/>
  </r>
  <r>
    <x v="0"/>
    <x v="7"/>
    <x v="4"/>
    <n v="1"/>
    <x v="2"/>
    <x v="0"/>
    <x v="1"/>
    <x v="4"/>
    <x v="0"/>
    <x v="8"/>
  </r>
  <r>
    <x v="0"/>
    <x v="7"/>
    <x v="2"/>
    <n v="0"/>
    <x v="2"/>
    <x v="0"/>
    <x v="2"/>
    <x v="1"/>
    <x v="1"/>
    <x v="21"/>
  </r>
  <r>
    <x v="1"/>
    <x v="7"/>
    <x v="2"/>
    <n v="0"/>
    <x v="2"/>
    <x v="1"/>
    <x v="3"/>
    <x v="1"/>
    <x v="1"/>
    <x v="79"/>
  </r>
  <r>
    <x v="0"/>
    <x v="7"/>
    <x v="5"/>
    <n v="1"/>
    <x v="1"/>
    <x v="0"/>
    <x v="2"/>
    <x v="3"/>
    <x v="2"/>
    <x v="10"/>
  </r>
  <r>
    <x v="0"/>
    <x v="7"/>
    <x v="2"/>
    <n v="0"/>
    <x v="3"/>
    <x v="0"/>
    <x v="1"/>
    <x v="1"/>
    <x v="1"/>
    <x v="79"/>
  </r>
  <r>
    <x v="0"/>
    <x v="7"/>
    <x v="2"/>
    <n v="0"/>
    <x v="3"/>
    <x v="1"/>
    <x v="1"/>
    <x v="1"/>
    <x v="1"/>
    <x v="8"/>
  </r>
  <r>
    <x v="0"/>
    <x v="7"/>
    <x v="2"/>
    <n v="0"/>
    <x v="3"/>
    <x v="3"/>
    <x v="1"/>
    <x v="1"/>
    <x v="1"/>
    <x v="8"/>
  </r>
  <r>
    <x v="0"/>
    <x v="7"/>
    <x v="2"/>
    <n v="0"/>
    <x v="2"/>
    <x v="0"/>
    <x v="1"/>
    <x v="1"/>
    <x v="1"/>
    <x v="1"/>
  </r>
  <r>
    <x v="1"/>
    <x v="7"/>
    <x v="1"/>
    <n v="1"/>
    <x v="3"/>
    <x v="0"/>
    <x v="2"/>
    <x v="2"/>
    <x v="4"/>
    <x v="4"/>
  </r>
  <r>
    <x v="1"/>
    <x v="7"/>
    <x v="2"/>
    <n v="0"/>
    <x v="3"/>
    <x v="0"/>
    <x v="2"/>
    <x v="1"/>
    <x v="1"/>
    <x v="0"/>
  </r>
  <r>
    <x v="1"/>
    <x v="7"/>
    <x v="1"/>
    <n v="1"/>
    <x v="3"/>
    <x v="2"/>
    <x v="2"/>
    <x v="3"/>
    <x v="2"/>
    <x v="15"/>
  </r>
  <r>
    <x v="1"/>
    <x v="7"/>
    <x v="2"/>
    <n v="0"/>
    <x v="1"/>
    <x v="3"/>
    <x v="2"/>
    <x v="1"/>
    <x v="1"/>
    <x v="10"/>
  </r>
  <r>
    <x v="1"/>
    <x v="7"/>
    <x v="1"/>
    <n v="1"/>
    <x v="1"/>
    <x v="1"/>
    <x v="1"/>
    <x v="0"/>
    <x v="0"/>
    <x v="21"/>
  </r>
  <r>
    <x v="1"/>
    <x v="7"/>
    <x v="0"/>
    <n v="1"/>
    <x v="3"/>
    <x v="0"/>
    <x v="3"/>
    <x v="3"/>
    <x v="2"/>
    <x v="21"/>
  </r>
  <r>
    <x v="0"/>
    <x v="7"/>
    <x v="2"/>
    <n v="0"/>
    <x v="3"/>
    <x v="1"/>
    <x v="2"/>
    <x v="1"/>
    <x v="1"/>
    <x v="10"/>
  </r>
  <r>
    <x v="1"/>
    <x v="7"/>
    <x v="1"/>
    <n v="1"/>
    <x v="0"/>
    <x v="1"/>
    <x v="2"/>
    <x v="3"/>
    <x v="0"/>
    <x v="49"/>
  </r>
  <r>
    <x v="1"/>
    <x v="7"/>
    <x v="5"/>
    <n v="1"/>
    <x v="1"/>
    <x v="2"/>
    <x v="2"/>
    <x v="3"/>
    <x v="0"/>
    <x v="6"/>
  </r>
  <r>
    <x v="1"/>
    <x v="7"/>
    <x v="3"/>
    <n v="2"/>
    <x v="3"/>
    <x v="1"/>
    <x v="1"/>
    <x v="3"/>
    <x v="5"/>
    <x v="34"/>
  </r>
  <r>
    <x v="0"/>
    <x v="7"/>
    <x v="2"/>
    <n v="0"/>
    <x v="2"/>
    <x v="0"/>
    <x v="2"/>
    <x v="1"/>
    <x v="1"/>
    <x v="15"/>
  </r>
  <r>
    <x v="1"/>
    <x v="7"/>
    <x v="3"/>
    <n v="1"/>
    <x v="2"/>
    <x v="0"/>
    <x v="2"/>
    <x v="2"/>
    <x v="0"/>
    <x v="29"/>
  </r>
  <r>
    <x v="0"/>
    <x v="7"/>
    <x v="5"/>
    <n v="1"/>
    <x v="2"/>
    <x v="0"/>
    <x v="2"/>
    <x v="3"/>
    <x v="4"/>
    <x v="21"/>
  </r>
  <r>
    <x v="0"/>
    <x v="7"/>
    <x v="2"/>
    <n v="0"/>
    <x v="3"/>
    <x v="0"/>
    <x v="2"/>
    <x v="1"/>
    <x v="1"/>
    <x v="55"/>
  </r>
  <r>
    <x v="0"/>
    <x v="7"/>
    <x v="1"/>
    <n v="1"/>
    <x v="2"/>
    <x v="0"/>
    <x v="2"/>
    <x v="3"/>
    <x v="0"/>
    <x v="14"/>
  </r>
  <r>
    <x v="1"/>
    <x v="7"/>
    <x v="1"/>
    <n v="1"/>
    <x v="3"/>
    <x v="0"/>
    <x v="2"/>
    <x v="4"/>
    <x v="4"/>
    <x v="2"/>
  </r>
  <r>
    <x v="0"/>
    <x v="7"/>
    <x v="1"/>
    <n v="1"/>
    <x v="3"/>
    <x v="2"/>
    <x v="2"/>
    <x v="3"/>
    <x v="4"/>
    <x v="15"/>
  </r>
  <r>
    <x v="1"/>
    <x v="7"/>
    <x v="5"/>
    <n v="1"/>
    <x v="3"/>
    <x v="0"/>
    <x v="3"/>
    <x v="0"/>
    <x v="2"/>
    <x v="23"/>
  </r>
  <r>
    <x v="1"/>
    <x v="7"/>
    <x v="0"/>
    <n v="1"/>
    <x v="0"/>
    <x v="3"/>
    <x v="3"/>
    <x v="3"/>
    <x v="2"/>
    <x v="11"/>
  </r>
  <r>
    <x v="1"/>
    <x v="7"/>
    <x v="0"/>
    <n v="1"/>
    <x v="3"/>
    <x v="1"/>
    <x v="1"/>
    <x v="0"/>
    <x v="2"/>
    <x v="11"/>
  </r>
  <r>
    <x v="1"/>
    <x v="7"/>
    <x v="3"/>
    <n v="1"/>
    <x v="3"/>
    <x v="2"/>
    <x v="1"/>
    <x v="3"/>
    <x v="0"/>
    <x v="82"/>
  </r>
  <r>
    <x v="1"/>
    <x v="7"/>
    <x v="5"/>
    <n v="1"/>
    <x v="1"/>
    <x v="3"/>
    <x v="1"/>
    <x v="0"/>
    <x v="0"/>
    <x v="8"/>
  </r>
  <r>
    <x v="1"/>
    <x v="7"/>
    <x v="3"/>
    <n v="1"/>
    <x v="3"/>
    <x v="0"/>
    <x v="1"/>
    <x v="2"/>
    <x v="2"/>
    <x v="83"/>
  </r>
  <r>
    <x v="0"/>
    <x v="7"/>
    <x v="4"/>
    <n v="1"/>
    <x v="3"/>
    <x v="0"/>
    <x v="2"/>
    <x v="0"/>
    <x v="0"/>
    <x v="73"/>
  </r>
  <r>
    <x v="0"/>
    <x v="7"/>
    <x v="2"/>
    <n v="0"/>
    <x v="1"/>
    <x v="0"/>
    <x v="2"/>
    <x v="1"/>
    <x v="1"/>
    <x v="61"/>
  </r>
  <r>
    <x v="0"/>
    <x v="7"/>
    <x v="5"/>
    <n v="1"/>
    <x v="2"/>
    <x v="0"/>
    <x v="2"/>
    <x v="0"/>
    <x v="0"/>
    <x v="14"/>
  </r>
  <r>
    <x v="0"/>
    <x v="7"/>
    <x v="2"/>
    <n v="0"/>
    <x v="2"/>
    <x v="0"/>
    <x v="2"/>
    <x v="1"/>
    <x v="1"/>
    <x v="84"/>
  </r>
  <r>
    <x v="1"/>
    <x v="7"/>
    <x v="5"/>
    <n v="1"/>
    <x v="1"/>
    <x v="0"/>
    <x v="2"/>
    <x v="0"/>
    <x v="2"/>
    <x v="14"/>
  </r>
  <r>
    <x v="1"/>
    <x v="7"/>
    <x v="3"/>
    <n v="1"/>
    <x v="4"/>
    <x v="2"/>
    <x v="0"/>
    <x v="0"/>
    <x v="2"/>
    <x v="85"/>
  </r>
  <r>
    <x v="1"/>
    <x v="7"/>
    <x v="0"/>
    <n v="1"/>
    <x v="2"/>
    <x v="0"/>
    <x v="2"/>
    <x v="0"/>
    <x v="2"/>
    <x v="30"/>
  </r>
  <r>
    <x v="1"/>
    <x v="7"/>
    <x v="4"/>
    <n v="1"/>
    <x v="2"/>
    <x v="0"/>
    <x v="2"/>
    <x v="3"/>
    <x v="2"/>
    <x v="11"/>
  </r>
  <r>
    <x v="0"/>
    <x v="7"/>
    <x v="2"/>
    <n v="0"/>
    <x v="3"/>
    <x v="2"/>
    <x v="2"/>
    <x v="1"/>
    <x v="1"/>
    <x v="66"/>
  </r>
  <r>
    <x v="1"/>
    <x v="7"/>
    <x v="1"/>
    <n v="1"/>
    <x v="3"/>
    <x v="2"/>
    <x v="2"/>
    <x v="3"/>
    <x v="2"/>
    <x v="86"/>
  </r>
  <r>
    <x v="1"/>
    <x v="7"/>
    <x v="1"/>
    <n v="1"/>
    <x v="1"/>
    <x v="2"/>
    <x v="1"/>
    <x v="3"/>
    <x v="4"/>
    <x v="34"/>
  </r>
  <r>
    <x v="1"/>
    <x v="7"/>
    <x v="0"/>
    <n v="1"/>
    <x v="1"/>
    <x v="1"/>
    <x v="2"/>
    <x v="3"/>
    <x v="0"/>
    <x v="87"/>
  </r>
  <r>
    <x v="0"/>
    <x v="7"/>
    <x v="1"/>
    <n v="1"/>
    <x v="1"/>
    <x v="5"/>
    <x v="2"/>
    <x v="3"/>
    <x v="4"/>
    <x v="8"/>
  </r>
  <r>
    <x v="1"/>
    <x v="7"/>
    <x v="4"/>
    <n v="1"/>
    <x v="2"/>
    <x v="0"/>
    <x v="2"/>
    <x v="2"/>
    <x v="4"/>
    <x v="65"/>
  </r>
  <r>
    <x v="0"/>
    <x v="7"/>
    <x v="3"/>
    <n v="1"/>
    <x v="1"/>
    <x v="0"/>
    <x v="2"/>
    <x v="0"/>
    <x v="0"/>
    <x v="65"/>
  </r>
  <r>
    <x v="1"/>
    <x v="7"/>
    <x v="4"/>
    <n v="1"/>
    <x v="2"/>
    <x v="3"/>
    <x v="0"/>
    <x v="2"/>
    <x v="5"/>
    <x v="6"/>
  </r>
  <r>
    <x v="1"/>
    <x v="7"/>
    <x v="3"/>
    <n v="1"/>
    <x v="0"/>
    <x v="0"/>
    <x v="3"/>
    <x v="3"/>
    <x v="4"/>
    <x v="88"/>
  </r>
  <r>
    <x v="1"/>
    <x v="7"/>
    <x v="0"/>
    <n v="1"/>
    <x v="2"/>
    <x v="0"/>
    <x v="2"/>
    <x v="4"/>
    <x v="5"/>
    <x v="10"/>
  </r>
  <r>
    <x v="0"/>
    <x v="7"/>
    <x v="2"/>
    <n v="0"/>
    <x v="3"/>
    <x v="0"/>
    <x v="1"/>
    <x v="1"/>
    <x v="1"/>
    <x v="26"/>
  </r>
  <r>
    <x v="0"/>
    <x v="7"/>
    <x v="2"/>
    <n v="0"/>
    <x v="2"/>
    <x v="1"/>
    <x v="2"/>
    <x v="1"/>
    <x v="1"/>
    <x v="21"/>
  </r>
  <r>
    <x v="1"/>
    <x v="7"/>
    <x v="1"/>
    <n v="1"/>
    <x v="1"/>
    <x v="2"/>
    <x v="2"/>
    <x v="3"/>
    <x v="2"/>
    <x v="15"/>
  </r>
  <r>
    <x v="1"/>
    <x v="7"/>
    <x v="3"/>
    <n v="1"/>
    <x v="4"/>
    <x v="2"/>
    <x v="1"/>
    <x v="0"/>
    <x v="0"/>
    <x v="2"/>
  </r>
  <r>
    <x v="0"/>
    <x v="7"/>
    <x v="3"/>
    <n v="1"/>
    <x v="3"/>
    <x v="0"/>
    <x v="1"/>
    <x v="2"/>
    <x v="0"/>
    <x v="8"/>
  </r>
  <r>
    <x v="0"/>
    <x v="7"/>
    <x v="2"/>
    <n v="0"/>
    <x v="2"/>
    <x v="1"/>
    <x v="1"/>
    <x v="1"/>
    <x v="1"/>
    <x v="10"/>
  </r>
  <r>
    <x v="1"/>
    <x v="7"/>
    <x v="2"/>
    <n v="0"/>
    <x v="3"/>
    <x v="0"/>
    <x v="1"/>
    <x v="1"/>
    <x v="1"/>
    <x v="2"/>
  </r>
  <r>
    <x v="0"/>
    <x v="7"/>
    <x v="3"/>
    <n v="1"/>
    <x v="4"/>
    <x v="1"/>
    <x v="2"/>
    <x v="3"/>
    <x v="0"/>
    <x v="14"/>
  </r>
  <r>
    <x v="1"/>
    <x v="7"/>
    <x v="1"/>
    <n v="1"/>
    <x v="1"/>
    <x v="1"/>
    <x v="1"/>
    <x v="3"/>
    <x v="2"/>
    <x v="5"/>
  </r>
  <r>
    <x v="0"/>
    <x v="7"/>
    <x v="3"/>
    <n v="1"/>
    <x v="1"/>
    <x v="0"/>
    <x v="1"/>
    <x v="0"/>
    <x v="0"/>
    <x v="33"/>
  </r>
  <r>
    <x v="1"/>
    <x v="7"/>
    <x v="4"/>
    <n v="1"/>
    <x v="1"/>
    <x v="1"/>
    <x v="1"/>
    <x v="0"/>
    <x v="5"/>
    <x v="5"/>
  </r>
  <r>
    <x v="0"/>
    <x v="7"/>
    <x v="2"/>
    <n v="0"/>
    <x v="2"/>
    <x v="0"/>
    <x v="1"/>
    <x v="1"/>
    <x v="1"/>
    <x v="89"/>
  </r>
  <r>
    <x v="0"/>
    <x v="7"/>
    <x v="2"/>
    <n v="0"/>
    <x v="2"/>
    <x v="0"/>
    <x v="2"/>
    <x v="1"/>
    <x v="1"/>
    <x v="62"/>
  </r>
  <r>
    <x v="0"/>
    <x v="7"/>
    <x v="2"/>
    <n v="0"/>
    <x v="3"/>
    <x v="1"/>
    <x v="2"/>
    <x v="1"/>
    <x v="1"/>
    <x v="2"/>
  </r>
  <r>
    <x v="0"/>
    <x v="7"/>
    <x v="0"/>
    <n v="1"/>
    <x v="2"/>
    <x v="3"/>
    <x v="3"/>
    <x v="2"/>
    <x v="0"/>
    <x v="2"/>
  </r>
  <r>
    <x v="0"/>
    <x v="7"/>
    <x v="3"/>
    <n v="1"/>
    <x v="5"/>
    <x v="0"/>
    <x v="2"/>
    <x v="3"/>
    <x v="0"/>
    <x v="20"/>
  </r>
  <r>
    <x v="0"/>
    <x v="7"/>
    <x v="2"/>
    <n v="0"/>
    <x v="3"/>
    <x v="2"/>
    <x v="1"/>
    <x v="1"/>
    <x v="1"/>
    <x v="21"/>
  </r>
  <r>
    <x v="1"/>
    <x v="7"/>
    <x v="2"/>
    <n v="0"/>
    <x v="2"/>
    <x v="1"/>
    <x v="3"/>
    <x v="1"/>
    <x v="1"/>
    <x v="52"/>
  </r>
  <r>
    <x v="1"/>
    <x v="7"/>
    <x v="2"/>
    <n v="0"/>
    <x v="4"/>
    <x v="1"/>
    <x v="1"/>
    <x v="1"/>
    <x v="1"/>
    <x v="6"/>
  </r>
  <r>
    <x v="0"/>
    <x v="7"/>
    <x v="2"/>
    <n v="0"/>
    <x v="2"/>
    <x v="2"/>
    <x v="1"/>
    <x v="1"/>
    <x v="1"/>
    <x v="8"/>
  </r>
  <r>
    <x v="0"/>
    <x v="7"/>
    <x v="2"/>
    <n v="0"/>
    <x v="3"/>
    <x v="1"/>
    <x v="1"/>
    <x v="1"/>
    <x v="1"/>
    <x v="11"/>
  </r>
  <r>
    <x v="1"/>
    <x v="7"/>
    <x v="2"/>
    <n v="0"/>
    <x v="2"/>
    <x v="1"/>
    <x v="1"/>
    <x v="1"/>
    <x v="1"/>
    <x v="21"/>
  </r>
  <r>
    <x v="1"/>
    <x v="7"/>
    <x v="2"/>
    <n v="0"/>
    <x v="3"/>
    <x v="2"/>
    <x v="1"/>
    <x v="1"/>
    <x v="1"/>
    <x v="6"/>
  </r>
  <r>
    <x v="1"/>
    <x v="7"/>
    <x v="2"/>
    <n v="0"/>
    <x v="2"/>
    <x v="1"/>
    <x v="2"/>
    <x v="1"/>
    <x v="1"/>
    <x v="2"/>
  </r>
  <r>
    <x v="1"/>
    <x v="7"/>
    <x v="2"/>
    <n v="0"/>
    <x v="3"/>
    <x v="0"/>
    <x v="2"/>
    <x v="1"/>
    <x v="1"/>
    <x v="11"/>
  </r>
  <r>
    <x v="0"/>
    <x v="7"/>
    <x v="2"/>
    <n v="0"/>
    <x v="3"/>
    <x v="3"/>
    <x v="1"/>
    <x v="1"/>
    <x v="1"/>
    <x v="4"/>
  </r>
  <r>
    <x v="0"/>
    <x v="7"/>
    <x v="2"/>
    <n v="0"/>
    <x v="2"/>
    <x v="2"/>
    <x v="2"/>
    <x v="1"/>
    <x v="1"/>
    <x v="38"/>
  </r>
  <r>
    <x v="0"/>
    <x v="7"/>
    <x v="2"/>
    <n v="0"/>
    <x v="3"/>
    <x v="1"/>
    <x v="2"/>
    <x v="1"/>
    <x v="1"/>
    <x v="4"/>
  </r>
  <r>
    <x v="0"/>
    <x v="7"/>
    <x v="3"/>
    <n v="1"/>
    <x v="3"/>
    <x v="1"/>
    <x v="1"/>
    <x v="0"/>
    <x v="0"/>
    <x v="2"/>
  </r>
  <r>
    <x v="0"/>
    <x v="7"/>
    <x v="2"/>
    <n v="0"/>
    <x v="1"/>
    <x v="1"/>
    <x v="2"/>
    <x v="1"/>
    <x v="1"/>
    <x v="10"/>
  </r>
  <r>
    <x v="1"/>
    <x v="7"/>
    <x v="4"/>
    <n v="1"/>
    <x v="2"/>
    <x v="0"/>
    <x v="0"/>
    <x v="0"/>
    <x v="0"/>
    <x v="14"/>
  </r>
  <r>
    <x v="0"/>
    <x v="7"/>
    <x v="4"/>
    <n v="1"/>
    <x v="1"/>
    <x v="2"/>
    <x v="3"/>
    <x v="2"/>
    <x v="4"/>
    <x v="15"/>
  </r>
  <r>
    <x v="0"/>
    <x v="7"/>
    <x v="2"/>
    <n v="0"/>
    <x v="3"/>
    <x v="1"/>
    <x v="1"/>
    <x v="1"/>
    <x v="1"/>
    <x v="3"/>
  </r>
  <r>
    <x v="1"/>
    <x v="7"/>
    <x v="2"/>
    <n v="0"/>
    <x v="0"/>
    <x v="0"/>
    <x v="2"/>
    <x v="1"/>
    <x v="1"/>
    <x v="6"/>
  </r>
  <r>
    <x v="1"/>
    <x v="7"/>
    <x v="5"/>
    <n v="1"/>
    <x v="1"/>
    <x v="2"/>
    <x v="1"/>
    <x v="2"/>
    <x v="5"/>
    <x v="4"/>
  </r>
  <r>
    <x v="0"/>
    <x v="7"/>
    <x v="2"/>
    <n v="0"/>
    <x v="1"/>
    <x v="1"/>
    <x v="3"/>
    <x v="1"/>
    <x v="1"/>
    <x v="90"/>
  </r>
  <r>
    <x v="1"/>
    <x v="7"/>
    <x v="4"/>
    <n v="1"/>
    <x v="0"/>
    <x v="3"/>
    <x v="3"/>
    <x v="3"/>
    <x v="4"/>
    <x v="91"/>
  </r>
  <r>
    <x v="1"/>
    <x v="7"/>
    <x v="3"/>
    <n v="1"/>
    <x v="2"/>
    <x v="2"/>
    <x v="2"/>
    <x v="3"/>
    <x v="2"/>
    <x v="14"/>
  </r>
  <r>
    <x v="0"/>
    <x v="7"/>
    <x v="2"/>
    <n v="0"/>
    <x v="3"/>
    <x v="2"/>
    <x v="1"/>
    <x v="1"/>
    <x v="1"/>
    <x v="7"/>
  </r>
  <r>
    <x v="1"/>
    <x v="7"/>
    <x v="2"/>
    <n v="0"/>
    <x v="3"/>
    <x v="2"/>
    <x v="2"/>
    <x v="1"/>
    <x v="1"/>
    <x v="9"/>
  </r>
  <r>
    <x v="1"/>
    <x v="7"/>
    <x v="3"/>
    <n v="1"/>
    <x v="2"/>
    <x v="0"/>
    <x v="3"/>
    <x v="3"/>
    <x v="0"/>
    <x v="2"/>
  </r>
  <r>
    <x v="0"/>
    <x v="7"/>
    <x v="1"/>
    <n v="1"/>
    <x v="3"/>
    <x v="1"/>
    <x v="2"/>
    <x v="3"/>
    <x v="2"/>
    <x v="6"/>
  </r>
  <r>
    <x v="0"/>
    <x v="7"/>
    <x v="2"/>
    <n v="0"/>
    <x v="4"/>
    <x v="6"/>
    <x v="1"/>
    <x v="1"/>
    <x v="1"/>
    <x v="21"/>
  </r>
  <r>
    <x v="0"/>
    <x v="7"/>
    <x v="2"/>
    <n v="0"/>
    <x v="2"/>
    <x v="1"/>
    <x v="1"/>
    <x v="1"/>
    <x v="1"/>
    <x v="4"/>
  </r>
  <r>
    <x v="1"/>
    <x v="7"/>
    <x v="4"/>
    <n v="1"/>
    <x v="0"/>
    <x v="3"/>
    <x v="2"/>
    <x v="2"/>
    <x v="4"/>
    <x v="24"/>
  </r>
  <r>
    <x v="1"/>
    <x v="7"/>
    <x v="4"/>
    <n v="1"/>
    <x v="2"/>
    <x v="4"/>
    <x v="2"/>
    <x v="2"/>
    <x v="5"/>
    <x v="8"/>
  </r>
  <r>
    <x v="0"/>
    <x v="7"/>
    <x v="5"/>
    <n v="1"/>
    <x v="1"/>
    <x v="0"/>
    <x v="2"/>
    <x v="3"/>
    <x v="4"/>
    <x v="13"/>
  </r>
  <r>
    <x v="1"/>
    <x v="7"/>
    <x v="4"/>
    <n v="1"/>
    <x v="3"/>
    <x v="3"/>
    <x v="1"/>
    <x v="0"/>
    <x v="0"/>
    <x v="5"/>
  </r>
  <r>
    <x v="0"/>
    <x v="7"/>
    <x v="2"/>
    <n v="0"/>
    <x v="2"/>
    <x v="1"/>
    <x v="3"/>
    <x v="1"/>
    <x v="1"/>
    <x v="12"/>
  </r>
  <r>
    <x v="1"/>
    <x v="7"/>
    <x v="5"/>
    <n v="1"/>
    <x v="2"/>
    <x v="3"/>
    <x v="2"/>
    <x v="0"/>
    <x v="0"/>
    <x v="2"/>
  </r>
  <r>
    <x v="1"/>
    <x v="7"/>
    <x v="2"/>
    <n v="0"/>
    <x v="3"/>
    <x v="0"/>
    <x v="1"/>
    <x v="1"/>
    <x v="1"/>
    <x v="23"/>
  </r>
  <r>
    <x v="1"/>
    <x v="7"/>
    <x v="4"/>
    <n v="1"/>
    <x v="1"/>
    <x v="0"/>
    <x v="2"/>
    <x v="3"/>
    <x v="5"/>
    <x v="21"/>
  </r>
  <r>
    <x v="1"/>
    <x v="7"/>
    <x v="4"/>
    <n v="1"/>
    <x v="1"/>
    <x v="2"/>
    <x v="2"/>
    <x v="0"/>
    <x v="0"/>
    <x v="21"/>
  </r>
  <r>
    <x v="1"/>
    <x v="7"/>
    <x v="1"/>
    <n v="1"/>
    <x v="1"/>
    <x v="2"/>
    <x v="1"/>
    <x v="2"/>
    <x v="2"/>
    <x v="8"/>
  </r>
  <r>
    <x v="0"/>
    <x v="7"/>
    <x v="0"/>
    <n v="1"/>
    <x v="1"/>
    <x v="0"/>
    <x v="2"/>
    <x v="3"/>
    <x v="2"/>
    <x v="81"/>
  </r>
  <r>
    <x v="1"/>
    <x v="8"/>
    <x v="2"/>
    <n v="0"/>
    <x v="1"/>
    <x v="0"/>
    <x v="4"/>
    <x v="1"/>
    <x v="1"/>
    <x v="20"/>
  </r>
  <r>
    <x v="0"/>
    <x v="8"/>
    <x v="2"/>
    <n v="0"/>
    <x v="2"/>
    <x v="0"/>
    <x v="4"/>
    <x v="1"/>
    <x v="1"/>
    <x v="2"/>
  </r>
  <r>
    <x v="1"/>
    <x v="8"/>
    <x v="2"/>
    <n v="0"/>
    <x v="5"/>
    <x v="4"/>
    <x v="4"/>
    <x v="1"/>
    <x v="1"/>
    <x v="20"/>
  </r>
  <r>
    <x v="0"/>
    <x v="8"/>
    <x v="3"/>
    <n v="1"/>
    <x v="1"/>
    <x v="0"/>
    <x v="4"/>
    <x v="0"/>
    <x v="0"/>
    <x v="20"/>
  </r>
  <r>
    <x v="0"/>
    <x v="8"/>
    <x v="2"/>
    <n v="0"/>
    <x v="5"/>
    <x v="4"/>
    <x v="4"/>
    <x v="1"/>
    <x v="1"/>
    <x v="20"/>
  </r>
  <r>
    <x v="0"/>
    <x v="8"/>
    <x v="2"/>
    <n v="0"/>
    <x v="1"/>
    <x v="3"/>
    <x v="4"/>
    <x v="1"/>
    <x v="1"/>
    <x v="4"/>
  </r>
  <r>
    <x v="0"/>
    <x v="8"/>
    <x v="2"/>
    <n v="0"/>
    <x v="5"/>
    <x v="3"/>
    <x v="4"/>
    <x v="1"/>
    <x v="1"/>
    <x v="20"/>
  </r>
  <r>
    <x v="0"/>
    <x v="8"/>
    <x v="2"/>
    <n v="0"/>
    <x v="0"/>
    <x v="3"/>
    <x v="4"/>
    <x v="1"/>
    <x v="1"/>
    <x v="20"/>
  </r>
  <r>
    <x v="0"/>
    <x v="8"/>
    <x v="2"/>
    <n v="0"/>
    <x v="0"/>
    <x v="3"/>
    <x v="4"/>
    <x v="1"/>
    <x v="1"/>
    <x v="20"/>
  </r>
  <r>
    <x v="1"/>
    <x v="8"/>
    <x v="3"/>
    <n v="1"/>
    <x v="0"/>
    <x v="3"/>
    <x v="4"/>
    <x v="4"/>
    <x v="4"/>
    <x v="20"/>
  </r>
  <r>
    <x v="1"/>
    <x v="8"/>
    <x v="5"/>
    <n v="1"/>
    <x v="0"/>
    <x v="3"/>
    <x v="4"/>
    <x v="3"/>
    <x v="2"/>
    <x v="8"/>
  </r>
  <r>
    <x v="0"/>
    <x v="8"/>
    <x v="5"/>
    <n v="1"/>
    <x v="0"/>
    <x v="3"/>
    <x v="4"/>
    <x v="3"/>
    <x v="2"/>
    <x v="20"/>
  </r>
  <r>
    <x v="0"/>
    <x v="8"/>
    <x v="2"/>
    <n v="0"/>
    <x v="1"/>
    <x v="0"/>
    <x v="4"/>
    <x v="1"/>
    <x v="1"/>
    <x v="20"/>
  </r>
  <r>
    <x v="0"/>
    <x v="8"/>
    <x v="2"/>
    <n v="0"/>
    <x v="1"/>
    <x v="3"/>
    <x v="4"/>
    <x v="1"/>
    <x v="1"/>
    <x v="20"/>
  </r>
  <r>
    <x v="0"/>
    <x v="8"/>
    <x v="2"/>
    <n v="0"/>
    <x v="5"/>
    <x v="4"/>
    <x v="4"/>
    <x v="1"/>
    <x v="1"/>
    <x v="20"/>
  </r>
  <r>
    <x v="0"/>
    <x v="8"/>
    <x v="2"/>
    <n v="0"/>
    <x v="5"/>
    <x v="3"/>
    <x v="4"/>
    <x v="1"/>
    <x v="1"/>
    <x v="20"/>
  </r>
  <r>
    <x v="0"/>
    <x v="8"/>
    <x v="2"/>
    <n v="0"/>
    <x v="5"/>
    <x v="4"/>
    <x v="4"/>
    <x v="1"/>
    <x v="1"/>
    <x v="20"/>
  </r>
  <r>
    <x v="0"/>
    <x v="8"/>
    <x v="2"/>
    <n v="0"/>
    <x v="0"/>
    <x v="3"/>
    <x v="4"/>
    <x v="1"/>
    <x v="1"/>
    <x v="20"/>
  </r>
  <r>
    <x v="0"/>
    <x v="8"/>
    <x v="3"/>
    <n v="1"/>
    <x v="5"/>
    <x v="4"/>
    <x v="4"/>
    <x v="3"/>
    <x v="2"/>
    <x v="20"/>
  </r>
  <r>
    <x v="0"/>
    <x v="8"/>
    <x v="2"/>
    <n v="0"/>
    <x v="0"/>
    <x v="3"/>
    <x v="4"/>
    <x v="1"/>
    <x v="1"/>
    <x v="4"/>
  </r>
  <r>
    <x v="1"/>
    <x v="8"/>
    <x v="3"/>
    <n v="1"/>
    <x v="0"/>
    <x v="3"/>
    <x v="4"/>
    <x v="2"/>
    <x v="0"/>
    <x v="20"/>
  </r>
  <r>
    <x v="1"/>
    <x v="8"/>
    <x v="5"/>
    <n v="1"/>
    <x v="0"/>
    <x v="3"/>
    <x v="4"/>
    <x v="4"/>
    <x v="4"/>
    <x v="20"/>
  </r>
  <r>
    <x v="1"/>
    <x v="8"/>
    <x v="3"/>
    <n v="1"/>
    <x v="2"/>
    <x v="3"/>
    <x v="4"/>
    <x v="3"/>
    <x v="0"/>
    <x v="2"/>
  </r>
  <r>
    <x v="1"/>
    <x v="8"/>
    <x v="0"/>
    <n v="1"/>
    <x v="0"/>
    <x v="4"/>
    <x v="4"/>
    <x v="4"/>
    <x v="2"/>
    <x v="20"/>
  </r>
  <r>
    <x v="1"/>
    <x v="8"/>
    <x v="2"/>
    <n v="0"/>
    <x v="1"/>
    <x v="1"/>
    <x v="4"/>
    <x v="1"/>
    <x v="1"/>
    <x v="20"/>
  </r>
  <r>
    <x v="0"/>
    <x v="8"/>
    <x v="2"/>
    <n v="0"/>
    <x v="2"/>
    <x v="1"/>
    <x v="4"/>
    <x v="1"/>
    <x v="1"/>
    <x v="20"/>
  </r>
  <r>
    <x v="1"/>
    <x v="8"/>
    <x v="5"/>
    <n v="1"/>
    <x v="0"/>
    <x v="3"/>
    <x v="4"/>
    <x v="0"/>
    <x v="0"/>
    <x v="20"/>
  </r>
  <r>
    <x v="0"/>
    <x v="8"/>
    <x v="2"/>
    <n v="0"/>
    <x v="0"/>
    <x v="3"/>
    <x v="4"/>
    <x v="1"/>
    <x v="1"/>
    <x v="8"/>
  </r>
  <r>
    <x v="0"/>
    <x v="8"/>
    <x v="3"/>
    <n v="1"/>
    <x v="2"/>
    <x v="0"/>
    <x v="4"/>
    <x v="0"/>
    <x v="0"/>
    <x v="20"/>
  </r>
  <r>
    <x v="0"/>
    <x v="8"/>
    <x v="2"/>
    <n v="0"/>
    <x v="0"/>
    <x v="3"/>
    <x v="4"/>
    <x v="1"/>
    <x v="1"/>
    <x v="20"/>
  </r>
  <r>
    <x v="0"/>
    <x v="8"/>
    <x v="0"/>
    <n v="1"/>
    <x v="2"/>
    <x v="3"/>
    <x v="4"/>
    <x v="3"/>
    <x v="0"/>
    <x v="2"/>
  </r>
  <r>
    <x v="0"/>
    <x v="8"/>
    <x v="4"/>
    <n v="1"/>
    <x v="0"/>
    <x v="3"/>
    <x v="4"/>
    <x v="0"/>
    <x v="0"/>
    <x v="20"/>
  </r>
  <r>
    <x v="1"/>
    <x v="8"/>
    <x v="4"/>
    <n v="1"/>
    <x v="1"/>
    <x v="1"/>
    <x v="4"/>
    <x v="4"/>
    <x v="2"/>
    <x v="6"/>
  </r>
  <r>
    <x v="1"/>
    <x v="8"/>
    <x v="1"/>
    <n v="1"/>
    <x v="2"/>
    <x v="0"/>
    <x v="4"/>
    <x v="0"/>
    <x v="0"/>
    <x v="20"/>
  </r>
  <r>
    <x v="0"/>
    <x v="8"/>
    <x v="3"/>
    <n v="1"/>
    <x v="1"/>
    <x v="1"/>
    <x v="4"/>
    <x v="3"/>
    <x v="0"/>
    <x v="6"/>
  </r>
  <r>
    <x v="0"/>
    <x v="8"/>
    <x v="2"/>
    <n v="0"/>
    <x v="2"/>
    <x v="0"/>
    <x v="4"/>
    <x v="1"/>
    <x v="1"/>
    <x v="20"/>
  </r>
  <r>
    <x v="0"/>
    <x v="8"/>
    <x v="2"/>
    <n v="0"/>
    <x v="2"/>
    <x v="3"/>
    <x v="4"/>
    <x v="1"/>
    <x v="1"/>
    <x v="20"/>
  </r>
  <r>
    <x v="0"/>
    <x v="8"/>
    <x v="5"/>
    <n v="1"/>
    <x v="0"/>
    <x v="3"/>
    <x v="4"/>
    <x v="2"/>
    <x v="0"/>
    <x v="20"/>
  </r>
  <r>
    <x v="0"/>
    <x v="8"/>
    <x v="2"/>
    <n v="0"/>
    <x v="2"/>
    <x v="0"/>
    <x v="4"/>
    <x v="1"/>
    <x v="1"/>
    <x v="20"/>
  </r>
  <r>
    <x v="1"/>
    <x v="8"/>
    <x v="3"/>
    <n v="1"/>
    <x v="0"/>
    <x v="3"/>
    <x v="4"/>
    <x v="2"/>
    <x v="4"/>
    <x v="4"/>
  </r>
  <r>
    <x v="1"/>
    <x v="8"/>
    <x v="4"/>
    <n v="1"/>
    <x v="0"/>
    <x v="3"/>
    <x v="4"/>
    <x v="2"/>
    <x v="2"/>
    <x v="14"/>
  </r>
  <r>
    <x v="1"/>
    <x v="8"/>
    <x v="4"/>
    <n v="1"/>
    <x v="0"/>
    <x v="3"/>
    <x v="4"/>
    <x v="0"/>
    <x v="5"/>
    <x v="20"/>
  </r>
  <r>
    <x v="0"/>
    <x v="8"/>
    <x v="2"/>
    <n v="0"/>
    <x v="2"/>
    <x v="0"/>
    <x v="4"/>
    <x v="1"/>
    <x v="1"/>
    <x v="20"/>
  </r>
  <r>
    <x v="1"/>
    <x v="8"/>
    <x v="1"/>
    <n v="1"/>
    <x v="5"/>
    <x v="4"/>
    <x v="4"/>
    <x v="3"/>
    <x v="2"/>
    <x v="50"/>
  </r>
  <r>
    <x v="0"/>
    <x v="8"/>
    <x v="2"/>
    <n v="0"/>
    <x v="2"/>
    <x v="0"/>
    <x v="4"/>
    <x v="1"/>
    <x v="1"/>
    <x v="20"/>
  </r>
  <r>
    <x v="1"/>
    <x v="8"/>
    <x v="2"/>
    <n v="0"/>
    <x v="0"/>
    <x v="3"/>
    <x v="4"/>
    <x v="1"/>
    <x v="1"/>
    <x v="20"/>
  </r>
  <r>
    <x v="1"/>
    <x v="8"/>
    <x v="4"/>
    <n v="1"/>
    <x v="2"/>
    <x v="3"/>
    <x v="4"/>
    <x v="4"/>
    <x v="2"/>
    <x v="20"/>
  </r>
  <r>
    <x v="1"/>
    <x v="8"/>
    <x v="3"/>
    <n v="1"/>
    <x v="5"/>
    <x v="3"/>
    <x v="4"/>
    <x v="4"/>
    <x v="3"/>
    <x v="20"/>
  </r>
  <r>
    <x v="0"/>
    <x v="9"/>
    <x v="2"/>
    <n v="0"/>
    <x v="2"/>
    <x v="0"/>
    <x v="2"/>
    <x v="1"/>
    <x v="1"/>
    <x v="2"/>
  </r>
  <r>
    <x v="0"/>
    <x v="9"/>
    <x v="2"/>
    <n v="0"/>
    <x v="1"/>
    <x v="0"/>
    <x v="2"/>
    <x v="1"/>
    <x v="1"/>
    <x v="92"/>
  </r>
  <r>
    <x v="0"/>
    <x v="9"/>
    <x v="2"/>
    <n v="0"/>
    <x v="2"/>
    <x v="0"/>
    <x v="1"/>
    <x v="1"/>
    <x v="1"/>
    <x v="93"/>
  </r>
  <r>
    <x v="0"/>
    <x v="9"/>
    <x v="1"/>
    <n v="1"/>
    <x v="3"/>
    <x v="0"/>
    <x v="2"/>
    <x v="4"/>
    <x v="0"/>
    <x v="13"/>
  </r>
  <r>
    <x v="0"/>
    <x v="9"/>
    <x v="3"/>
    <n v="1"/>
    <x v="3"/>
    <x v="0"/>
    <x v="0"/>
    <x v="0"/>
    <x v="0"/>
    <x v="8"/>
  </r>
  <r>
    <x v="0"/>
    <x v="9"/>
    <x v="3"/>
    <n v="1"/>
    <x v="2"/>
    <x v="1"/>
    <x v="1"/>
    <x v="0"/>
    <x v="0"/>
    <x v="3"/>
  </r>
  <r>
    <x v="0"/>
    <x v="9"/>
    <x v="2"/>
    <n v="0"/>
    <x v="3"/>
    <x v="0"/>
    <x v="2"/>
    <x v="1"/>
    <x v="1"/>
    <x v="8"/>
  </r>
  <r>
    <x v="0"/>
    <x v="9"/>
    <x v="1"/>
    <n v="1"/>
    <x v="2"/>
    <x v="1"/>
    <x v="1"/>
    <x v="4"/>
    <x v="0"/>
    <x v="15"/>
  </r>
  <r>
    <x v="0"/>
    <x v="9"/>
    <x v="2"/>
    <n v="0"/>
    <x v="3"/>
    <x v="3"/>
    <x v="2"/>
    <x v="1"/>
    <x v="1"/>
    <x v="20"/>
  </r>
  <r>
    <x v="0"/>
    <x v="9"/>
    <x v="3"/>
    <n v="1"/>
    <x v="0"/>
    <x v="4"/>
    <x v="3"/>
    <x v="0"/>
    <x v="0"/>
    <x v="12"/>
  </r>
  <r>
    <x v="0"/>
    <x v="9"/>
    <x v="2"/>
    <n v="0"/>
    <x v="4"/>
    <x v="1"/>
    <x v="1"/>
    <x v="1"/>
    <x v="1"/>
    <x v="35"/>
  </r>
  <r>
    <x v="0"/>
    <x v="9"/>
    <x v="1"/>
    <n v="1"/>
    <x v="1"/>
    <x v="1"/>
    <x v="2"/>
    <x v="0"/>
    <x v="0"/>
    <x v="14"/>
  </r>
  <r>
    <x v="0"/>
    <x v="9"/>
    <x v="2"/>
    <n v="0"/>
    <x v="2"/>
    <x v="1"/>
    <x v="2"/>
    <x v="1"/>
    <x v="1"/>
    <x v="21"/>
  </r>
  <r>
    <x v="0"/>
    <x v="9"/>
    <x v="2"/>
    <n v="0"/>
    <x v="0"/>
    <x v="0"/>
    <x v="0"/>
    <x v="1"/>
    <x v="1"/>
    <x v="2"/>
  </r>
  <r>
    <x v="0"/>
    <x v="9"/>
    <x v="2"/>
    <n v="0"/>
    <x v="1"/>
    <x v="1"/>
    <x v="3"/>
    <x v="1"/>
    <x v="1"/>
    <x v="37"/>
  </r>
  <r>
    <x v="0"/>
    <x v="9"/>
    <x v="2"/>
    <n v="0"/>
    <x v="3"/>
    <x v="0"/>
    <x v="3"/>
    <x v="1"/>
    <x v="1"/>
    <x v="2"/>
  </r>
  <r>
    <x v="0"/>
    <x v="9"/>
    <x v="2"/>
    <n v="0"/>
    <x v="2"/>
    <x v="0"/>
    <x v="2"/>
    <x v="1"/>
    <x v="1"/>
    <x v="23"/>
  </r>
  <r>
    <x v="1"/>
    <x v="9"/>
    <x v="3"/>
    <n v="1"/>
    <x v="1"/>
    <x v="1"/>
    <x v="0"/>
    <x v="3"/>
    <x v="2"/>
    <x v="33"/>
  </r>
  <r>
    <x v="1"/>
    <x v="9"/>
    <x v="2"/>
    <n v="0"/>
    <x v="1"/>
    <x v="2"/>
    <x v="1"/>
    <x v="1"/>
    <x v="1"/>
    <x v="94"/>
  </r>
  <r>
    <x v="1"/>
    <x v="9"/>
    <x v="3"/>
    <n v="1"/>
    <x v="2"/>
    <x v="1"/>
    <x v="1"/>
    <x v="2"/>
    <x v="4"/>
    <x v="2"/>
  </r>
  <r>
    <x v="1"/>
    <x v="9"/>
    <x v="1"/>
    <n v="1"/>
    <x v="0"/>
    <x v="3"/>
    <x v="3"/>
    <x v="2"/>
    <x v="4"/>
    <x v="8"/>
  </r>
  <r>
    <x v="1"/>
    <x v="9"/>
    <x v="3"/>
    <n v="1"/>
    <x v="2"/>
    <x v="3"/>
    <x v="3"/>
    <x v="2"/>
    <x v="3"/>
    <x v="8"/>
  </r>
  <r>
    <x v="1"/>
    <x v="9"/>
    <x v="4"/>
    <n v="1"/>
    <x v="3"/>
    <x v="0"/>
    <x v="3"/>
    <x v="4"/>
    <x v="2"/>
    <x v="35"/>
  </r>
  <r>
    <x v="1"/>
    <x v="9"/>
    <x v="5"/>
    <n v="1"/>
    <x v="1"/>
    <x v="1"/>
    <x v="3"/>
    <x v="2"/>
    <x v="0"/>
    <x v="14"/>
  </r>
  <r>
    <x v="1"/>
    <x v="9"/>
    <x v="3"/>
    <n v="1"/>
    <x v="1"/>
    <x v="0"/>
    <x v="1"/>
    <x v="2"/>
    <x v="2"/>
    <x v="19"/>
  </r>
  <r>
    <x v="1"/>
    <x v="9"/>
    <x v="5"/>
    <n v="1"/>
    <x v="2"/>
    <x v="1"/>
    <x v="2"/>
    <x v="2"/>
    <x v="4"/>
    <x v="89"/>
  </r>
  <r>
    <x v="1"/>
    <x v="9"/>
    <x v="0"/>
    <n v="1"/>
    <x v="2"/>
    <x v="3"/>
    <x v="2"/>
    <x v="0"/>
    <x v="4"/>
    <x v="14"/>
  </r>
  <r>
    <x v="1"/>
    <x v="9"/>
    <x v="1"/>
    <n v="1"/>
    <x v="0"/>
    <x v="3"/>
    <x v="2"/>
    <x v="3"/>
    <x v="0"/>
    <x v="37"/>
  </r>
  <r>
    <x v="1"/>
    <x v="9"/>
    <x v="5"/>
    <n v="1"/>
    <x v="3"/>
    <x v="3"/>
    <x v="1"/>
    <x v="4"/>
    <x v="4"/>
    <x v="11"/>
  </r>
  <r>
    <x v="1"/>
    <x v="9"/>
    <x v="1"/>
    <n v="1"/>
    <x v="0"/>
    <x v="3"/>
    <x v="3"/>
    <x v="4"/>
    <x v="2"/>
    <x v="46"/>
  </r>
  <r>
    <x v="0"/>
    <x v="9"/>
    <x v="2"/>
    <n v="0"/>
    <x v="1"/>
    <x v="1"/>
    <x v="1"/>
    <x v="1"/>
    <x v="1"/>
    <x v="44"/>
  </r>
  <r>
    <x v="1"/>
    <x v="9"/>
    <x v="0"/>
    <n v="1"/>
    <x v="3"/>
    <x v="0"/>
    <x v="2"/>
    <x v="3"/>
    <x v="2"/>
    <x v="26"/>
  </r>
  <r>
    <x v="1"/>
    <x v="10"/>
    <x v="3"/>
    <n v="1"/>
    <x v="2"/>
    <x v="2"/>
    <x v="1"/>
    <x v="0"/>
    <x v="0"/>
    <x v="21"/>
  </r>
  <r>
    <x v="1"/>
    <x v="10"/>
    <x v="3"/>
    <n v="1"/>
    <x v="3"/>
    <x v="6"/>
    <x v="2"/>
    <x v="3"/>
    <x v="4"/>
    <x v="95"/>
  </r>
  <r>
    <x v="0"/>
    <x v="10"/>
    <x v="5"/>
    <n v="1"/>
    <x v="3"/>
    <x v="0"/>
    <x v="3"/>
    <x v="0"/>
    <x v="0"/>
    <x v="11"/>
  </r>
  <r>
    <x v="0"/>
    <x v="10"/>
    <x v="3"/>
    <n v="1"/>
    <x v="3"/>
    <x v="2"/>
    <x v="1"/>
    <x v="0"/>
    <x v="0"/>
    <x v="96"/>
  </r>
  <r>
    <x v="0"/>
    <x v="10"/>
    <x v="4"/>
    <n v="1"/>
    <x v="2"/>
    <x v="0"/>
    <x v="2"/>
    <x v="4"/>
    <x v="2"/>
    <x v="2"/>
  </r>
  <r>
    <x v="0"/>
    <x v="10"/>
    <x v="5"/>
    <n v="1"/>
    <x v="1"/>
    <x v="0"/>
    <x v="2"/>
    <x v="3"/>
    <x v="0"/>
    <x v="2"/>
  </r>
  <r>
    <x v="0"/>
    <x v="10"/>
    <x v="3"/>
    <n v="1"/>
    <x v="2"/>
    <x v="0"/>
    <x v="2"/>
    <x v="0"/>
    <x v="2"/>
    <x v="4"/>
  </r>
  <r>
    <x v="1"/>
    <x v="10"/>
    <x v="4"/>
    <n v="1"/>
    <x v="3"/>
    <x v="2"/>
    <x v="1"/>
    <x v="4"/>
    <x v="0"/>
    <x v="15"/>
  </r>
  <r>
    <x v="1"/>
    <x v="10"/>
    <x v="4"/>
    <n v="1"/>
    <x v="0"/>
    <x v="0"/>
    <x v="3"/>
    <x v="4"/>
    <x v="4"/>
    <x v="8"/>
  </r>
  <r>
    <x v="0"/>
    <x v="10"/>
    <x v="2"/>
    <n v="0"/>
    <x v="4"/>
    <x v="1"/>
    <x v="2"/>
    <x v="1"/>
    <x v="1"/>
    <x v="14"/>
  </r>
  <r>
    <x v="0"/>
    <x v="10"/>
    <x v="2"/>
    <n v="0"/>
    <x v="3"/>
    <x v="1"/>
    <x v="3"/>
    <x v="1"/>
    <x v="1"/>
    <x v="8"/>
  </r>
  <r>
    <x v="1"/>
    <x v="10"/>
    <x v="4"/>
    <n v="1"/>
    <x v="1"/>
    <x v="0"/>
    <x v="2"/>
    <x v="4"/>
    <x v="4"/>
    <x v="4"/>
  </r>
  <r>
    <x v="0"/>
    <x v="10"/>
    <x v="4"/>
    <n v="1"/>
    <x v="3"/>
    <x v="2"/>
    <x v="2"/>
    <x v="4"/>
    <x v="3"/>
    <x v="2"/>
  </r>
  <r>
    <x v="0"/>
    <x v="10"/>
    <x v="1"/>
    <n v="1"/>
    <x v="1"/>
    <x v="2"/>
    <x v="1"/>
    <x v="2"/>
    <x v="2"/>
    <x v="4"/>
  </r>
  <r>
    <x v="0"/>
    <x v="10"/>
    <x v="1"/>
    <n v="1"/>
    <x v="3"/>
    <x v="0"/>
    <x v="2"/>
    <x v="2"/>
    <x v="2"/>
    <x v="4"/>
  </r>
  <r>
    <x v="0"/>
    <x v="10"/>
    <x v="1"/>
    <n v="1"/>
    <x v="2"/>
    <x v="2"/>
    <x v="1"/>
    <x v="0"/>
    <x v="0"/>
    <x v="15"/>
  </r>
  <r>
    <x v="1"/>
    <x v="10"/>
    <x v="4"/>
    <n v="1"/>
    <x v="3"/>
    <x v="1"/>
    <x v="1"/>
    <x v="4"/>
    <x v="2"/>
    <x v="15"/>
  </r>
  <r>
    <x v="0"/>
    <x v="10"/>
    <x v="4"/>
    <n v="1"/>
    <x v="3"/>
    <x v="2"/>
    <x v="1"/>
    <x v="4"/>
    <x v="5"/>
    <x v="97"/>
  </r>
  <r>
    <x v="1"/>
    <x v="10"/>
    <x v="4"/>
    <n v="1"/>
    <x v="1"/>
    <x v="1"/>
    <x v="2"/>
    <x v="3"/>
    <x v="2"/>
    <x v="35"/>
  </r>
  <r>
    <x v="1"/>
    <x v="10"/>
    <x v="4"/>
    <n v="1"/>
    <x v="3"/>
    <x v="1"/>
    <x v="2"/>
    <x v="4"/>
    <x v="4"/>
    <x v="5"/>
  </r>
  <r>
    <x v="1"/>
    <x v="7"/>
    <x v="4"/>
    <n v="1"/>
    <x v="1"/>
    <x v="2"/>
    <x v="1"/>
    <x v="4"/>
    <x v="3"/>
    <x v="42"/>
  </r>
  <r>
    <x v="1"/>
    <x v="7"/>
    <x v="5"/>
    <n v="1"/>
    <x v="2"/>
    <x v="0"/>
    <x v="2"/>
    <x v="0"/>
    <x v="0"/>
    <x v="4"/>
  </r>
  <r>
    <x v="1"/>
    <x v="7"/>
    <x v="1"/>
    <n v="1"/>
    <x v="2"/>
    <x v="1"/>
    <x v="2"/>
    <x v="0"/>
    <x v="2"/>
    <x v="76"/>
  </r>
  <r>
    <x v="0"/>
    <x v="7"/>
    <x v="0"/>
    <n v="1"/>
    <x v="2"/>
    <x v="1"/>
    <x v="3"/>
    <x v="3"/>
    <x v="0"/>
    <x v="4"/>
  </r>
  <r>
    <x v="1"/>
    <x v="7"/>
    <x v="2"/>
    <n v="0"/>
    <x v="2"/>
    <x v="1"/>
    <x v="2"/>
    <x v="1"/>
    <x v="1"/>
    <x v="98"/>
  </r>
  <r>
    <x v="0"/>
    <x v="7"/>
    <x v="2"/>
    <n v="0"/>
    <x v="1"/>
    <x v="3"/>
    <x v="3"/>
    <x v="1"/>
    <x v="1"/>
    <x v="21"/>
  </r>
  <r>
    <x v="0"/>
    <x v="7"/>
    <x v="3"/>
    <n v="1"/>
    <x v="3"/>
    <x v="3"/>
    <x v="1"/>
    <x v="0"/>
    <x v="0"/>
    <x v="99"/>
  </r>
  <r>
    <x v="0"/>
    <x v="7"/>
    <x v="4"/>
    <n v="1"/>
    <x v="2"/>
    <x v="1"/>
    <x v="3"/>
    <x v="4"/>
    <x v="2"/>
    <x v="67"/>
  </r>
  <r>
    <x v="1"/>
    <x v="7"/>
    <x v="4"/>
    <n v="1"/>
    <x v="1"/>
    <x v="1"/>
    <x v="0"/>
    <x v="4"/>
    <x v="2"/>
    <x v="14"/>
  </r>
  <r>
    <x v="1"/>
    <x v="7"/>
    <x v="5"/>
    <n v="1"/>
    <x v="4"/>
    <x v="1"/>
    <x v="2"/>
    <x v="3"/>
    <x v="2"/>
    <x v="2"/>
  </r>
  <r>
    <x v="0"/>
    <x v="7"/>
    <x v="2"/>
    <n v="0"/>
    <x v="2"/>
    <x v="0"/>
    <x v="3"/>
    <x v="1"/>
    <x v="1"/>
    <x v="15"/>
  </r>
  <r>
    <x v="1"/>
    <x v="7"/>
    <x v="4"/>
    <n v="1"/>
    <x v="1"/>
    <x v="0"/>
    <x v="2"/>
    <x v="4"/>
    <x v="4"/>
    <x v="21"/>
  </r>
  <r>
    <x v="0"/>
    <x v="7"/>
    <x v="2"/>
    <n v="0"/>
    <x v="1"/>
    <x v="1"/>
    <x v="2"/>
    <x v="1"/>
    <x v="1"/>
    <x v="21"/>
  </r>
  <r>
    <x v="0"/>
    <x v="7"/>
    <x v="5"/>
    <n v="1"/>
    <x v="2"/>
    <x v="0"/>
    <x v="2"/>
    <x v="3"/>
    <x v="0"/>
    <x v="15"/>
  </r>
  <r>
    <x v="1"/>
    <x v="3"/>
    <x v="3"/>
    <n v="1"/>
    <x v="1"/>
    <x v="0"/>
    <x v="2"/>
    <x v="3"/>
    <x v="0"/>
    <x v="6"/>
  </r>
  <r>
    <x v="0"/>
    <x v="3"/>
    <x v="5"/>
    <n v="1"/>
    <x v="3"/>
    <x v="2"/>
    <x v="1"/>
    <x v="0"/>
    <x v="2"/>
    <x v="97"/>
  </r>
  <r>
    <x v="0"/>
    <x v="3"/>
    <x v="5"/>
    <n v="1"/>
    <x v="1"/>
    <x v="1"/>
    <x v="2"/>
    <x v="4"/>
    <x v="2"/>
    <x v="100"/>
  </r>
  <r>
    <x v="1"/>
    <x v="3"/>
    <x v="3"/>
    <n v="1"/>
    <x v="2"/>
    <x v="4"/>
    <x v="3"/>
    <x v="4"/>
    <x v="4"/>
    <x v="14"/>
  </r>
  <r>
    <x v="1"/>
    <x v="3"/>
    <x v="5"/>
    <n v="1"/>
    <x v="1"/>
    <x v="1"/>
    <x v="1"/>
    <x v="2"/>
    <x v="4"/>
    <x v="5"/>
  </r>
  <r>
    <x v="1"/>
    <x v="3"/>
    <x v="1"/>
    <n v="1"/>
    <x v="3"/>
    <x v="1"/>
    <x v="2"/>
    <x v="4"/>
    <x v="5"/>
    <x v="14"/>
  </r>
  <r>
    <x v="1"/>
    <x v="3"/>
    <x v="4"/>
    <n v="1"/>
    <x v="2"/>
    <x v="1"/>
    <x v="3"/>
    <x v="2"/>
    <x v="5"/>
    <x v="6"/>
  </r>
  <r>
    <x v="0"/>
    <x v="3"/>
    <x v="3"/>
    <n v="1"/>
    <x v="3"/>
    <x v="2"/>
    <x v="2"/>
    <x v="0"/>
    <x v="2"/>
    <x v="6"/>
  </r>
  <r>
    <x v="1"/>
    <x v="3"/>
    <x v="0"/>
    <n v="1"/>
    <x v="2"/>
    <x v="0"/>
    <x v="0"/>
    <x v="4"/>
    <x v="3"/>
    <x v="6"/>
  </r>
  <r>
    <x v="1"/>
    <x v="3"/>
    <x v="2"/>
    <n v="0"/>
    <x v="3"/>
    <x v="2"/>
    <x v="2"/>
    <x v="1"/>
    <x v="1"/>
    <x v="14"/>
  </r>
  <r>
    <x v="1"/>
    <x v="3"/>
    <x v="0"/>
    <n v="1"/>
    <x v="0"/>
    <x v="0"/>
    <x v="2"/>
    <x v="4"/>
    <x v="3"/>
    <x v="6"/>
  </r>
  <r>
    <x v="0"/>
    <x v="3"/>
    <x v="3"/>
    <n v="1"/>
    <x v="2"/>
    <x v="0"/>
    <x v="1"/>
    <x v="2"/>
    <x v="0"/>
    <x v="71"/>
  </r>
  <r>
    <x v="0"/>
    <x v="3"/>
    <x v="2"/>
    <n v="0"/>
    <x v="2"/>
    <x v="0"/>
    <x v="2"/>
    <x v="1"/>
    <x v="1"/>
    <x v="14"/>
  </r>
  <r>
    <x v="0"/>
    <x v="3"/>
    <x v="3"/>
    <n v="1"/>
    <x v="2"/>
    <x v="4"/>
    <x v="2"/>
    <x v="4"/>
    <x v="4"/>
    <x v="15"/>
  </r>
  <r>
    <x v="1"/>
    <x v="3"/>
    <x v="5"/>
    <n v="1"/>
    <x v="1"/>
    <x v="0"/>
    <x v="2"/>
    <x v="3"/>
    <x v="0"/>
    <x v="29"/>
  </r>
  <r>
    <x v="0"/>
    <x v="3"/>
    <x v="4"/>
    <n v="1"/>
    <x v="2"/>
    <x v="0"/>
    <x v="1"/>
    <x v="4"/>
    <x v="2"/>
    <x v="17"/>
  </r>
  <r>
    <x v="0"/>
    <x v="3"/>
    <x v="2"/>
    <n v="0"/>
    <x v="0"/>
    <x v="3"/>
    <x v="2"/>
    <x v="1"/>
    <x v="1"/>
    <x v="84"/>
  </r>
  <r>
    <x v="0"/>
    <x v="3"/>
    <x v="2"/>
    <n v="0"/>
    <x v="2"/>
    <x v="3"/>
    <x v="2"/>
    <x v="1"/>
    <x v="1"/>
    <x v="62"/>
  </r>
  <r>
    <x v="0"/>
    <x v="3"/>
    <x v="4"/>
    <n v="1"/>
    <x v="1"/>
    <x v="4"/>
    <x v="2"/>
    <x v="0"/>
    <x v="0"/>
    <x v="65"/>
  </r>
  <r>
    <x v="1"/>
    <x v="3"/>
    <x v="3"/>
    <n v="1"/>
    <x v="2"/>
    <x v="1"/>
    <x v="1"/>
    <x v="3"/>
    <x v="0"/>
    <x v="15"/>
  </r>
  <r>
    <x v="1"/>
    <x v="3"/>
    <x v="4"/>
    <n v="1"/>
    <x v="2"/>
    <x v="4"/>
    <x v="3"/>
    <x v="0"/>
    <x v="4"/>
    <x v="31"/>
  </r>
  <r>
    <x v="0"/>
    <x v="3"/>
    <x v="2"/>
    <n v="0"/>
    <x v="1"/>
    <x v="3"/>
    <x v="1"/>
    <x v="1"/>
    <x v="1"/>
    <x v="4"/>
  </r>
  <r>
    <x v="1"/>
    <x v="3"/>
    <x v="3"/>
    <n v="1"/>
    <x v="0"/>
    <x v="4"/>
    <x v="3"/>
    <x v="0"/>
    <x v="2"/>
    <x v="24"/>
  </r>
  <r>
    <x v="0"/>
    <x v="3"/>
    <x v="2"/>
    <n v="0"/>
    <x v="3"/>
    <x v="0"/>
    <x v="1"/>
    <x v="1"/>
    <x v="1"/>
    <x v="36"/>
  </r>
  <r>
    <x v="1"/>
    <x v="7"/>
    <x v="4"/>
    <n v="1"/>
    <x v="2"/>
    <x v="2"/>
    <x v="2"/>
    <x v="0"/>
    <x v="3"/>
    <x v="7"/>
  </r>
  <r>
    <x v="1"/>
    <x v="7"/>
    <x v="4"/>
    <n v="1"/>
    <x v="2"/>
    <x v="1"/>
    <x v="0"/>
    <x v="4"/>
    <x v="2"/>
    <x v="14"/>
  </r>
  <r>
    <x v="1"/>
    <x v="7"/>
    <x v="4"/>
    <n v="1"/>
    <x v="3"/>
    <x v="2"/>
    <x v="2"/>
    <x v="2"/>
    <x v="5"/>
    <x v="38"/>
  </r>
  <r>
    <x v="0"/>
    <x v="7"/>
    <x v="2"/>
    <n v="0"/>
    <x v="1"/>
    <x v="0"/>
    <x v="1"/>
    <x v="1"/>
    <x v="1"/>
    <x v="8"/>
  </r>
  <r>
    <x v="1"/>
    <x v="7"/>
    <x v="4"/>
    <n v="1"/>
    <x v="3"/>
    <x v="2"/>
    <x v="1"/>
    <x v="4"/>
    <x v="3"/>
    <x v="14"/>
  </r>
  <r>
    <x v="1"/>
    <x v="7"/>
    <x v="1"/>
    <n v="1"/>
    <x v="1"/>
    <x v="1"/>
    <x v="2"/>
    <x v="4"/>
    <x v="4"/>
    <x v="21"/>
  </r>
  <r>
    <x v="0"/>
    <x v="7"/>
    <x v="2"/>
    <n v="0"/>
    <x v="1"/>
    <x v="1"/>
    <x v="2"/>
    <x v="1"/>
    <x v="1"/>
    <x v="21"/>
  </r>
  <r>
    <x v="1"/>
    <x v="7"/>
    <x v="5"/>
    <n v="1"/>
    <x v="2"/>
    <x v="0"/>
    <x v="1"/>
    <x v="2"/>
    <x v="4"/>
    <x v="34"/>
  </r>
  <r>
    <x v="1"/>
    <x v="1"/>
    <x v="4"/>
    <n v="1"/>
    <x v="4"/>
    <x v="2"/>
    <x v="1"/>
    <x v="3"/>
    <x v="4"/>
    <x v="5"/>
  </r>
  <r>
    <x v="1"/>
    <x v="1"/>
    <x v="2"/>
    <n v="0"/>
    <x v="4"/>
    <x v="2"/>
    <x v="1"/>
    <x v="1"/>
    <x v="1"/>
    <x v="3"/>
  </r>
  <r>
    <x v="1"/>
    <x v="1"/>
    <x v="5"/>
    <n v="1"/>
    <x v="1"/>
    <x v="0"/>
    <x v="2"/>
    <x v="0"/>
    <x v="0"/>
    <x v="13"/>
  </r>
  <r>
    <x v="1"/>
    <x v="1"/>
    <x v="4"/>
    <n v="1"/>
    <x v="1"/>
    <x v="0"/>
    <x v="2"/>
    <x v="4"/>
    <x v="3"/>
    <x v="63"/>
  </r>
  <r>
    <x v="0"/>
    <x v="4"/>
    <x v="3"/>
    <n v="1"/>
    <x v="1"/>
    <x v="0"/>
    <x v="3"/>
    <x v="0"/>
    <x v="2"/>
    <x v="20"/>
  </r>
  <r>
    <x v="1"/>
    <x v="4"/>
    <x v="0"/>
    <n v="1"/>
    <x v="2"/>
    <x v="0"/>
    <x v="2"/>
    <x v="4"/>
    <x v="0"/>
    <x v="20"/>
  </r>
  <r>
    <x v="0"/>
    <x v="4"/>
    <x v="2"/>
    <n v="0"/>
    <x v="6"/>
    <x v="5"/>
    <x v="4"/>
    <x v="1"/>
    <x v="1"/>
    <x v="20"/>
  </r>
  <r>
    <x v="1"/>
    <x v="0"/>
    <x v="2"/>
    <n v="0"/>
    <x v="2"/>
    <x v="3"/>
    <x v="3"/>
    <x v="1"/>
    <x v="1"/>
    <x v="6"/>
  </r>
  <r>
    <x v="1"/>
    <x v="0"/>
    <x v="2"/>
    <n v="0"/>
    <x v="3"/>
    <x v="1"/>
    <x v="2"/>
    <x v="1"/>
    <x v="1"/>
    <x v="101"/>
  </r>
  <r>
    <x v="1"/>
    <x v="0"/>
    <x v="0"/>
    <n v="1"/>
    <x v="4"/>
    <x v="2"/>
    <x v="2"/>
    <x v="3"/>
    <x v="3"/>
    <x v="11"/>
  </r>
  <r>
    <x v="0"/>
    <x v="1"/>
    <x v="5"/>
    <n v="1"/>
    <x v="2"/>
    <x v="0"/>
    <x v="1"/>
    <x v="0"/>
    <x v="0"/>
    <x v="14"/>
  </r>
  <r>
    <x v="0"/>
    <x v="1"/>
    <x v="3"/>
    <n v="1"/>
    <x v="1"/>
    <x v="0"/>
    <x v="2"/>
    <x v="3"/>
    <x v="5"/>
    <x v="102"/>
  </r>
  <r>
    <x v="0"/>
    <x v="1"/>
    <x v="1"/>
    <n v="1"/>
    <x v="3"/>
    <x v="2"/>
    <x v="2"/>
    <x v="2"/>
    <x v="4"/>
    <x v="45"/>
  </r>
  <r>
    <x v="1"/>
    <x v="1"/>
    <x v="1"/>
    <n v="1"/>
    <x v="3"/>
    <x v="0"/>
    <x v="2"/>
    <x v="0"/>
    <x v="4"/>
    <x v="38"/>
  </r>
  <r>
    <x v="1"/>
    <x v="1"/>
    <x v="1"/>
    <n v="1"/>
    <x v="3"/>
    <x v="0"/>
    <x v="1"/>
    <x v="2"/>
    <x v="4"/>
    <x v="11"/>
  </r>
  <r>
    <x v="0"/>
    <x v="1"/>
    <x v="2"/>
    <n v="0"/>
    <x v="1"/>
    <x v="1"/>
    <x v="2"/>
    <x v="1"/>
    <x v="1"/>
    <x v="41"/>
  </r>
  <r>
    <x v="1"/>
    <x v="1"/>
    <x v="5"/>
    <n v="1"/>
    <x v="2"/>
    <x v="1"/>
    <x v="2"/>
    <x v="0"/>
    <x v="2"/>
    <x v="4"/>
  </r>
  <r>
    <x v="1"/>
    <x v="1"/>
    <x v="0"/>
    <n v="1"/>
    <x v="1"/>
    <x v="1"/>
    <x v="1"/>
    <x v="0"/>
    <x v="5"/>
    <x v="81"/>
  </r>
  <r>
    <x v="1"/>
    <x v="8"/>
    <x v="3"/>
    <n v="1"/>
    <x v="0"/>
    <x v="3"/>
    <x v="2"/>
    <x v="3"/>
    <x v="0"/>
    <x v="20"/>
  </r>
  <r>
    <x v="0"/>
    <x v="3"/>
    <x v="4"/>
    <n v="1"/>
    <x v="2"/>
    <x v="3"/>
    <x v="0"/>
    <x v="3"/>
    <x v="4"/>
    <x v="21"/>
  </r>
  <r>
    <x v="0"/>
    <x v="3"/>
    <x v="4"/>
    <n v="1"/>
    <x v="2"/>
    <x v="0"/>
    <x v="2"/>
    <x v="3"/>
    <x v="4"/>
    <x v="19"/>
  </r>
  <r>
    <x v="0"/>
    <x v="8"/>
    <x v="3"/>
    <n v="1"/>
    <x v="0"/>
    <x v="3"/>
    <x v="4"/>
    <x v="3"/>
    <x v="2"/>
    <x v="2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3">
  <r>
    <x v="0"/>
    <x v="0"/>
    <x v="0"/>
    <n v="1"/>
    <n v="5"/>
    <n v="4"/>
    <x v="0"/>
    <x v="0"/>
    <x v="0"/>
    <x v="0"/>
  </r>
  <r>
    <x v="1"/>
    <x v="0"/>
    <x v="1"/>
    <n v="1"/>
    <n v="3"/>
    <n v="3"/>
    <x v="1"/>
    <x v="0"/>
    <x v="0"/>
    <x v="1"/>
  </r>
  <r>
    <x v="0"/>
    <x v="0"/>
    <x v="2"/>
    <n v="0"/>
    <n v="3"/>
    <n v="3"/>
    <x v="1"/>
    <x v="1"/>
    <x v="1"/>
    <x v="2"/>
  </r>
  <r>
    <x v="0"/>
    <x v="0"/>
    <x v="3"/>
    <n v="1"/>
    <n v="3"/>
    <n v="2"/>
    <x v="2"/>
    <x v="2"/>
    <x v="0"/>
    <x v="3"/>
  </r>
  <r>
    <x v="1"/>
    <x v="0"/>
    <x v="4"/>
    <n v="1"/>
    <n v="4"/>
    <n v="3"/>
    <x v="1"/>
    <x v="0"/>
    <x v="2"/>
    <x v="4"/>
  </r>
  <r>
    <x v="0"/>
    <x v="0"/>
    <x v="3"/>
    <n v="1"/>
    <n v="2"/>
    <n v="2"/>
    <x v="1"/>
    <x v="0"/>
    <x v="0"/>
    <x v="2"/>
  </r>
  <r>
    <x v="0"/>
    <x v="0"/>
    <x v="0"/>
    <n v="1"/>
    <n v="3"/>
    <n v="3"/>
    <x v="2"/>
    <x v="0"/>
    <x v="2"/>
    <x v="5"/>
  </r>
  <r>
    <x v="0"/>
    <x v="0"/>
    <x v="3"/>
    <n v="1"/>
    <n v="3"/>
    <n v="3"/>
    <x v="2"/>
    <x v="0"/>
    <x v="2"/>
    <x v="2"/>
  </r>
  <r>
    <x v="1"/>
    <x v="0"/>
    <x v="4"/>
    <n v="1"/>
    <n v="5"/>
    <n v="3"/>
    <x v="3"/>
    <x v="3"/>
    <x v="0"/>
    <x v="6"/>
  </r>
  <r>
    <x v="0"/>
    <x v="0"/>
    <x v="3"/>
    <n v="1"/>
    <n v="4"/>
    <n v="2"/>
    <x v="1"/>
    <x v="3"/>
    <x v="2"/>
    <x v="7"/>
  </r>
  <r>
    <x v="1"/>
    <x v="0"/>
    <x v="4"/>
    <n v="1"/>
    <n v="2"/>
    <n v="4"/>
    <x v="2"/>
    <x v="4"/>
    <x v="0"/>
    <x v="2"/>
  </r>
  <r>
    <x v="0"/>
    <x v="0"/>
    <x v="2"/>
    <n v="0"/>
    <n v="4"/>
    <n v="4"/>
    <x v="2"/>
    <x v="1"/>
    <x v="1"/>
    <x v="3"/>
  </r>
  <r>
    <x v="1"/>
    <x v="0"/>
    <x v="1"/>
    <n v="1"/>
    <n v="5"/>
    <n v="5"/>
    <x v="2"/>
    <x v="2"/>
    <x v="2"/>
    <x v="8"/>
  </r>
  <r>
    <x v="1"/>
    <x v="0"/>
    <x v="4"/>
    <n v="1"/>
    <n v="5"/>
    <n v="5"/>
    <x v="2"/>
    <x v="4"/>
    <x v="2"/>
    <x v="9"/>
  </r>
  <r>
    <x v="1"/>
    <x v="0"/>
    <x v="3"/>
    <n v="1"/>
    <n v="4"/>
    <n v="4"/>
    <x v="2"/>
    <x v="2"/>
    <x v="3"/>
    <x v="10"/>
  </r>
  <r>
    <x v="1"/>
    <x v="0"/>
    <x v="5"/>
    <n v="1"/>
    <n v="3"/>
    <n v="3"/>
    <x v="1"/>
    <x v="3"/>
    <x v="4"/>
    <x v="11"/>
  </r>
  <r>
    <x v="0"/>
    <x v="0"/>
    <x v="3"/>
    <n v="1"/>
    <n v="1"/>
    <n v="4"/>
    <x v="1"/>
    <x v="0"/>
    <x v="0"/>
    <x v="12"/>
  </r>
  <r>
    <x v="1"/>
    <x v="0"/>
    <x v="0"/>
    <n v="1"/>
    <n v="3"/>
    <n v="5"/>
    <x v="2"/>
    <x v="3"/>
    <x v="4"/>
    <x v="8"/>
  </r>
  <r>
    <x v="1"/>
    <x v="0"/>
    <x v="1"/>
    <n v="1"/>
    <n v="4"/>
    <n v="3"/>
    <x v="3"/>
    <x v="2"/>
    <x v="2"/>
    <x v="13"/>
  </r>
  <r>
    <x v="0"/>
    <x v="0"/>
    <x v="2"/>
    <n v="0"/>
    <n v="3"/>
    <n v="2"/>
    <x v="2"/>
    <x v="1"/>
    <x v="1"/>
    <x v="5"/>
  </r>
  <r>
    <x v="0"/>
    <x v="0"/>
    <x v="0"/>
    <n v="1"/>
    <n v="4"/>
    <n v="4"/>
    <x v="0"/>
    <x v="3"/>
    <x v="2"/>
    <x v="10"/>
  </r>
  <r>
    <x v="1"/>
    <x v="0"/>
    <x v="5"/>
    <n v="1"/>
    <n v="2"/>
    <n v="3"/>
    <x v="1"/>
    <x v="0"/>
    <x v="0"/>
    <x v="14"/>
  </r>
  <r>
    <x v="1"/>
    <x v="0"/>
    <x v="3"/>
    <n v="1"/>
    <n v="1"/>
    <n v="4"/>
    <x v="3"/>
    <x v="0"/>
    <x v="0"/>
    <x v="14"/>
  </r>
  <r>
    <x v="1"/>
    <x v="0"/>
    <x v="0"/>
    <n v="1"/>
    <n v="3"/>
    <n v="3"/>
    <x v="1"/>
    <x v="2"/>
    <x v="2"/>
    <x v="3"/>
  </r>
  <r>
    <x v="0"/>
    <x v="0"/>
    <x v="2"/>
    <n v="0"/>
    <n v="3"/>
    <n v="4"/>
    <x v="1"/>
    <x v="1"/>
    <x v="1"/>
    <x v="2"/>
  </r>
  <r>
    <x v="1"/>
    <x v="0"/>
    <x v="0"/>
    <n v="1"/>
    <n v="2"/>
    <n v="2"/>
    <x v="2"/>
    <x v="3"/>
    <x v="0"/>
    <x v="15"/>
  </r>
  <r>
    <x v="0"/>
    <x v="0"/>
    <x v="3"/>
    <n v="1"/>
    <n v="5"/>
    <n v="2"/>
    <x v="1"/>
    <x v="0"/>
    <x v="0"/>
    <x v="10"/>
  </r>
  <r>
    <x v="1"/>
    <x v="0"/>
    <x v="2"/>
    <n v="0"/>
    <n v="3"/>
    <n v="4"/>
    <x v="3"/>
    <x v="1"/>
    <x v="1"/>
    <x v="3"/>
  </r>
  <r>
    <x v="1"/>
    <x v="0"/>
    <x v="4"/>
    <n v="1"/>
    <n v="2"/>
    <n v="2"/>
    <x v="2"/>
    <x v="4"/>
    <x v="4"/>
    <x v="16"/>
  </r>
  <r>
    <x v="1"/>
    <x v="0"/>
    <x v="0"/>
    <n v="1"/>
    <n v="2"/>
    <n v="4"/>
    <x v="2"/>
    <x v="3"/>
    <x v="0"/>
    <x v="17"/>
  </r>
  <r>
    <x v="0"/>
    <x v="0"/>
    <x v="2"/>
    <n v="0"/>
    <n v="2"/>
    <n v="3"/>
    <x v="3"/>
    <x v="1"/>
    <x v="1"/>
    <x v="10"/>
  </r>
  <r>
    <x v="0"/>
    <x v="0"/>
    <x v="5"/>
    <n v="1"/>
    <n v="2"/>
    <n v="2"/>
    <x v="1"/>
    <x v="0"/>
    <x v="0"/>
    <x v="2"/>
  </r>
  <r>
    <x v="0"/>
    <x v="0"/>
    <x v="2"/>
    <n v="0"/>
    <n v="4"/>
    <n v="2"/>
    <x v="1"/>
    <x v="1"/>
    <x v="1"/>
    <x v="4"/>
  </r>
  <r>
    <x v="0"/>
    <x v="0"/>
    <x v="2"/>
    <n v="0"/>
    <n v="4"/>
    <n v="2"/>
    <x v="1"/>
    <x v="1"/>
    <x v="1"/>
    <x v="18"/>
  </r>
  <r>
    <x v="1"/>
    <x v="0"/>
    <x v="0"/>
    <n v="1"/>
    <n v="2"/>
    <n v="3"/>
    <x v="3"/>
    <x v="3"/>
    <x v="0"/>
    <x v="19"/>
  </r>
  <r>
    <x v="1"/>
    <x v="0"/>
    <x v="2"/>
    <n v="0"/>
    <n v="2"/>
    <n v="2"/>
    <x v="3"/>
    <x v="1"/>
    <x v="1"/>
    <x v="8"/>
  </r>
  <r>
    <x v="0"/>
    <x v="0"/>
    <x v="5"/>
    <n v="1"/>
    <n v="4"/>
    <n v="4"/>
    <x v="2"/>
    <x v="3"/>
    <x v="0"/>
    <x v="20"/>
  </r>
  <r>
    <x v="1"/>
    <x v="0"/>
    <x v="1"/>
    <n v="1"/>
    <n v="4"/>
    <n v="5"/>
    <x v="2"/>
    <x v="4"/>
    <x v="4"/>
    <x v="2"/>
  </r>
  <r>
    <x v="0"/>
    <x v="0"/>
    <x v="2"/>
    <n v="0"/>
    <n v="2"/>
    <n v="3"/>
    <x v="3"/>
    <x v="1"/>
    <x v="1"/>
    <x v="18"/>
  </r>
  <r>
    <x v="1"/>
    <x v="0"/>
    <x v="1"/>
    <n v="1"/>
    <n v="2"/>
    <n v="2"/>
    <x v="2"/>
    <x v="3"/>
    <x v="4"/>
    <x v="14"/>
  </r>
  <r>
    <x v="1"/>
    <x v="0"/>
    <x v="4"/>
    <n v="1"/>
    <n v="2"/>
    <n v="2"/>
    <x v="2"/>
    <x v="4"/>
    <x v="3"/>
    <x v="11"/>
  </r>
  <r>
    <x v="0"/>
    <x v="0"/>
    <x v="4"/>
    <n v="1"/>
    <n v="3"/>
    <n v="4"/>
    <x v="2"/>
    <x v="3"/>
    <x v="4"/>
    <x v="2"/>
  </r>
  <r>
    <x v="0"/>
    <x v="0"/>
    <x v="2"/>
    <n v="0"/>
    <n v="2"/>
    <n v="2"/>
    <x v="3"/>
    <x v="1"/>
    <x v="1"/>
    <x v="5"/>
  </r>
  <r>
    <x v="0"/>
    <x v="0"/>
    <x v="5"/>
    <n v="1"/>
    <n v="4"/>
    <n v="5"/>
    <x v="2"/>
    <x v="0"/>
    <x v="0"/>
    <x v="21"/>
  </r>
  <r>
    <x v="1"/>
    <x v="0"/>
    <x v="4"/>
    <n v="1"/>
    <n v="5"/>
    <n v="4"/>
    <x v="2"/>
    <x v="4"/>
    <x v="4"/>
    <x v="22"/>
  </r>
  <r>
    <x v="0"/>
    <x v="0"/>
    <x v="5"/>
    <n v="1"/>
    <n v="5"/>
    <n v="5"/>
    <x v="3"/>
    <x v="3"/>
    <x v="2"/>
    <x v="10"/>
  </r>
  <r>
    <x v="0"/>
    <x v="0"/>
    <x v="0"/>
    <n v="1"/>
    <n v="3"/>
    <n v="3"/>
    <x v="1"/>
    <x v="0"/>
    <x v="0"/>
    <x v="5"/>
  </r>
  <r>
    <x v="1"/>
    <x v="0"/>
    <x v="4"/>
    <n v="1"/>
    <n v="2"/>
    <n v="3"/>
    <x v="3"/>
    <x v="4"/>
    <x v="2"/>
    <x v="6"/>
  </r>
  <r>
    <x v="1"/>
    <x v="0"/>
    <x v="5"/>
    <n v="1"/>
    <n v="2"/>
    <n v="2"/>
    <x v="2"/>
    <x v="3"/>
    <x v="4"/>
    <x v="6"/>
  </r>
  <r>
    <x v="1"/>
    <x v="0"/>
    <x v="4"/>
    <n v="1"/>
    <n v="3"/>
    <n v="2"/>
    <x v="1"/>
    <x v="3"/>
    <x v="4"/>
    <x v="3"/>
  </r>
  <r>
    <x v="0"/>
    <x v="0"/>
    <x v="3"/>
    <n v="1"/>
    <n v="4"/>
    <n v="4"/>
    <x v="2"/>
    <x v="0"/>
    <x v="0"/>
    <x v="15"/>
  </r>
  <r>
    <x v="0"/>
    <x v="0"/>
    <x v="5"/>
    <n v="1"/>
    <n v="2"/>
    <n v="5"/>
    <x v="1"/>
    <x v="0"/>
    <x v="0"/>
    <x v="11"/>
  </r>
  <r>
    <x v="0"/>
    <x v="0"/>
    <x v="5"/>
    <n v="1"/>
    <n v="2"/>
    <n v="2"/>
    <x v="1"/>
    <x v="0"/>
    <x v="4"/>
    <x v="21"/>
  </r>
  <r>
    <x v="1"/>
    <x v="0"/>
    <x v="2"/>
    <n v="0"/>
    <n v="3"/>
    <n v="3"/>
    <x v="3"/>
    <x v="1"/>
    <x v="1"/>
    <x v="14"/>
  </r>
  <r>
    <x v="1"/>
    <x v="0"/>
    <x v="3"/>
    <n v="1"/>
    <n v="4"/>
    <n v="3"/>
    <x v="3"/>
    <x v="0"/>
    <x v="0"/>
    <x v="12"/>
  </r>
  <r>
    <x v="0"/>
    <x v="0"/>
    <x v="2"/>
    <n v="0"/>
    <n v="3"/>
    <n v="2"/>
    <x v="1"/>
    <x v="1"/>
    <x v="1"/>
    <x v="23"/>
  </r>
  <r>
    <x v="0"/>
    <x v="0"/>
    <x v="2"/>
    <n v="0"/>
    <n v="2"/>
    <n v="3"/>
    <x v="2"/>
    <x v="1"/>
    <x v="1"/>
    <x v="5"/>
  </r>
  <r>
    <x v="1"/>
    <x v="0"/>
    <x v="0"/>
    <n v="1"/>
    <n v="3"/>
    <n v="4"/>
    <x v="1"/>
    <x v="4"/>
    <x v="2"/>
    <x v="6"/>
  </r>
  <r>
    <x v="1"/>
    <x v="0"/>
    <x v="1"/>
    <n v="1"/>
    <n v="4"/>
    <n v="4"/>
    <x v="2"/>
    <x v="2"/>
    <x v="0"/>
    <x v="20"/>
  </r>
  <r>
    <x v="1"/>
    <x v="0"/>
    <x v="1"/>
    <n v="1"/>
    <n v="4"/>
    <n v="4"/>
    <x v="1"/>
    <x v="4"/>
    <x v="0"/>
    <x v="15"/>
  </r>
  <r>
    <x v="0"/>
    <x v="0"/>
    <x v="2"/>
    <n v="0"/>
    <n v="6"/>
    <n v="6"/>
    <x v="3"/>
    <x v="1"/>
    <x v="1"/>
    <x v="10"/>
  </r>
  <r>
    <x v="1"/>
    <x v="0"/>
    <x v="4"/>
    <n v="1"/>
    <n v="2"/>
    <n v="2"/>
    <x v="2"/>
    <x v="4"/>
    <x v="2"/>
    <x v="10"/>
  </r>
  <r>
    <x v="0"/>
    <x v="0"/>
    <x v="5"/>
    <n v="1"/>
    <n v="3"/>
    <n v="4"/>
    <x v="2"/>
    <x v="3"/>
    <x v="0"/>
    <x v="24"/>
  </r>
  <r>
    <x v="0"/>
    <x v="0"/>
    <x v="0"/>
    <n v="1"/>
    <n v="3"/>
    <n v="5"/>
    <x v="2"/>
    <x v="0"/>
    <x v="0"/>
    <x v="11"/>
  </r>
  <r>
    <x v="1"/>
    <x v="0"/>
    <x v="0"/>
    <n v="1"/>
    <n v="2"/>
    <n v="3"/>
    <x v="1"/>
    <x v="3"/>
    <x v="0"/>
    <x v="14"/>
  </r>
  <r>
    <x v="0"/>
    <x v="0"/>
    <x v="3"/>
    <n v="1"/>
    <n v="3"/>
    <n v="2"/>
    <x v="2"/>
    <x v="0"/>
    <x v="0"/>
    <x v="11"/>
  </r>
  <r>
    <x v="0"/>
    <x v="0"/>
    <x v="2"/>
    <n v="0"/>
    <n v="1"/>
    <n v="3"/>
    <x v="1"/>
    <x v="1"/>
    <x v="1"/>
    <x v="25"/>
  </r>
  <r>
    <x v="0"/>
    <x v="0"/>
    <x v="2"/>
    <n v="0"/>
    <n v="5"/>
    <n v="3"/>
    <x v="2"/>
    <x v="1"/>
    <x v="1"/>
    <x v="11"/>
  </r>
  <r>
    <x v="0"/>
    <x v="0"/>
    <x v="2"/>
    <n v="0"/>
    <n v="5"/>
    <n v="6"/>
    <x v="3"/>
    <x v="1"/>
    <x v="1"/>
    <x v="8"/>
  </r>
  <r>
    <x v="1"/>
    <x v="0"/>
    <x v="5"/>
    <n v="1"/>
    <n v="4"/>
    <n v="5"/>
    <x v="2"/>
    <x v="2"/>
    <x v="2"/>
    <x v="15"/>
  </r>
  <r>
    <x v="0"/>
    <x v="0"/>
    <x v="2"/>
    <n v="0"/>
    <n v="4"/>
    <n v="0"/>
    <x v="3"/>
    <x v="1"/>
    <x v="1"/>
    <x v="8"/>
  </r>
  <r>
    <x v="1"/>
    <x v="0"/>
    <x v="1"/>
    <n v="1"/>
    <n v="1"/>
    <n v="2"/>
    <x v="1"/>
    <x v="0"/>
    <x v="2"/>
    <x v="14"/>
  </r>
  <r>
    <x v="1"/>
    <x v="0"/>
    <x v="3"/>
    <n v="1"/>
    <n v="6"/>
    <n v="6"/>
    <x v="0"/>
    <x v="4"/>
    <x v="4"/>
    <x v="2"/>
  </r>
  <r>
    <x v="1"/>
    <x v="0"/>
    <x v="1"/>
    <n v="1"/>
    <n v="6"/>
    <n v="6"/>
    <x v="3"/>
    <x v="4"/>
    <x v="2"/>
    <x v="15"/>
  </r>
  <r>
    <x v="0"/>
    <x v="0"/>
    <x v="3"/>
    <n v="1"/>
    <n v="5"/>
    <n v="5"/>
    <x v="0"/>
    <x v="2"/>
    <x v="0"/>
    <x v="8"/>
  </r>
  <r>
    <x v="1"/>
    <x v="0"/>
    <x v="1"/>
    <n v="1"/>
    <n v="5"/>
    <n v="4"/>
    <x v="3"/>
    <x v="4"/>
    <x v="4"/>
    <x v="14"/>
  </r>
  <r>
    <x v="1"/>
    <x v="0"/>
    <x v="3"/>
    <n v="1"/>
    <n v="6"/>
    <n v="6"/>
    <x v="3"/>
    <x v="4"/>
    <x v="3"/>
    <x v="26"/>
  </r>
  <r>
    <x v="0"/>
    <x v="0"/>
    <x v="3"/>
    <n v="1"/>
    <n v="4"/>
    <n v="4"/>
    <x v="2"/>
    <x v="4"/>
    <x v="2"/>
    <x v="4"/>
  </r>
  <r>
    <x v="1"/>
    <x v="0"/>
    <x v="5"/>
    <n v="1"/>
    <n v="5"/>
    <n v="5"/>
    <x v="2"/>
    <x v="4"/>
    <x v="2"/>
    <x v="27"/>
  </r>
  <r>
    <x v="1"/>
    <x v="0"/>
    <x v="5"/>
    <n v="1"/>
    <n v="2"/>
    <n v="3"/>
    <x v="2"/>
    <x v="4"/>
    <x v="2"/>
    <x v="19"/>
  </r>
  <r>
    <x v="1"/>
    <x v="0"/>
    <x v="5"/>
    <n v="1"/>
    <n v="3"/>
    <n v="2"/>
    <x v="1"/>
    <x v="4"/>
    <x v="2"/>
    <x v="27"/>
  </r>
  <r>
    <x v="0"/>
    <x v="0"/>
    <x v="3"/>
    <n v="1"/>
    <n v="3"/>
    <n v="3"/>
    <x v="1"/>
    <x v="2"/>
    <x v="0"/>
    <x v="11"/>
  </r>
  <r>
    <x v="1"/>
    <x v="0"/>
    <x v="4"/>
    <n v="1"/>
    <n v="4"/>
    <n v="4"/>
    <x v="2"/>
    <x v="4"/>
    <x v="2"/>
    <x v="5"/>
  </r>
  <r>
    <x v="0"/>
    <x v="0"/>
    <x v="3"/>
    <n v="1"/>
    <n v="1"/>
    <n v="2"/>
    <x v="1"/>
    <x v="0"/>
    <x v="0"/>
    <x v="27"/>
  </r>
  <r>
    <x v="1"/>
    <x v="0"/>
    <x v="4"/>
    <n v="1"/>
    <n v="4"/>
    <n v="4"/>
    <x v="1"/>
    <x v="4"/>
    <x v="5"/>
    <x v="11"/>
  </r>
  <r>
    <x v="1"/>
    <x v="0"/>
    <x v="3"/>
    <n v="1"/>
    <n v="3"/>
    <n v="5"/>
    <x v="2"/>
    <x v="4"/>
    <x v="3"/>
    <x v="15"/>
  </r>
  <r>
    <x v="1"/>
    <x v="0"/>
    <x v="4"/>
    <n v="1"/>
    <n v="4"/>
    <n v="4"/>
    <x v="1"/>
    <x v="4"/>
    <x v="4"/>
    <x v="11"/>
  </r>
  <r>
    <x v="1"/>
    <x v="0"/>
    <x v="2"/>
    <n v="0"/>
    <n v="1"/>
    <n v="2"/>
    <x v="1"/>
    <x v="1"/>
    <x v="1"/>
    <x v="6"/>
  </r>
  <r>
    <x v="0"/>
    <x v="0"/>
    <x v="5"/>
    <n v="1"/>
    <n v="1"/>
    <n v="3"/>
    <x v="1"/>
    <x v="0"/>
    <x v="4"/>
    <x v="14"/>
  </r>
  <r>
    <x v="0"/>
    <x v="0"/>
    <x v="5"/>
    <n v="1"/>
    <n v="3"/>
    <n v="3"/>
    <x v="2"/>
    <x v="0"/>
    <x v="2"/>
    <x v="10"/>
  </r>
  <r>
    <x v="1"/>
    <x v="0"/>
    <x v="2"/>
    <n v="0"/>
    <n v="4"/>
    <n v="6"/>
    <x v="2"/>
    <x v="1"/>
    <x v="1"/>
    <x v="20"/>
  </r>
  <r>
    <x v="0"/>
    <x v="0"/>
    <x v="3"/>
    <n v="1"/>
    <n v="2"/>
    <n v="3"/>
    <x v="2"/>
    <x v="3"/>
    <x v="0"/>
    <x v="2"/>
  </r>
  <r>
    <x v="0"/>
    <x v="0"/>
    <x v="0"/>
    <n v="1"/>
    <n v="2"/>
    <n v="2"/>
    <x v="2"/>
    <x v="0"/>
    <x v="0"/>
    <x v="28"/>
  </r>
  <r>
    <x v="0"/>
    <x v="0"/>
    <x v="1"/>
    <n v="1"/>
    <n v="4"/>
    <n v="4"/>
    <x v="2"/>
    <x v="3"/>
    <x v="2"/>
    <x v="29"/>
  </r>
  <r>
    <x v="0"/>
    <x v="0"/>
    <x v="0"/>
    <n v="1"/>
    <n v="4"/>
    <n v="4"/>
    <x v="2"/>
    <x v="0"/>
    <x v="0"/>
    <x v="6"/>
  </r>
  <r>
    <x v="1"/>
    <x v="0"/>
    <x v="3"/>
    <n v="1"/>
    <n v="4"/>
    <n v="5"/>
    <x v="3"/>
    <x v="0"/>
    <x v="2"/>
    <x v="10"/>
  </r>
  <r>
    <x v="0"/>
    <x v="0"/>
    <x v="2"/>
    <n v="0"/>
    <n v="2"/>
    <n v="4"/>
    <x v="3"/>
    <x v="1"/>
    <x v="1"/>
    <x v="21"/>
  </r>
  <r>
    <x v="1"/>
    <x v="0"/>
    <x v="4"/>
    <n v="1"/>
    <n v="4"/>
    <n v="4"/>
    <x v="3"/>
    <x v="2"/>
    <x v="4"/>
    <x v="15"/>
  </r>
  <r>
    <x v="1"/>
    <x v="0"/>
    <x v="4"/>
    <n v="1"/>
    <n v="3"/>
    <n v="2"/>
    <x v="2"/>
    <x v="0"/>
    <x v="2"/>
    <x v="30"/>
  </r>
  <r>
    <x v="1"/>
    <x v="0"/>
    <x v="1"/>
    <n v="1"/>
    <n v="6"/>
    <n v="6"/>
    <x v="3"/>
    <x v="0"/>
    <x v="4"/>
    <x v="21"/>
  </r>
  <r>
    <x v="0"/>
    <x v="0"/>
    <x v="2"/>
    <n v="0"/>
    <n v="4"/>
    <n v="4"/>
    <x v="1"/>
    <x v="1"/>
    <x v="1"/>
    <x v="14"/>
  </r>
  <r>
    <x v="1"/>
    <x v="0"/>
    <x v="5"/>
    <n v="1"/>
    <n v="4"/>
    <n v="4"/>
    <x v="0"/>
    <x v="0"/>
    <x v="2"/>
    <x v="4"/>
  </r>
  <r>
    <x v="1"/>
    <x v="0"/>
    <x v="1"/>
    <n v="1"/>
    <n v="3"/>
    <n v="4"/>
    <x v="3"/>
    <x v="0"/>
    <x v="0"/>
    <x v="14"/>
  </r>
  <r>
    <x v="1"/>
    <x v="0"/>
    <x v="5"/>
    <n v="1"/>
    <n v="2"/>
    <n v="5"/>
    <x v="2"/>
    <x v="3"/>
    <x v="4"/>
    <x v="31"/>
  </r>
  <r>
    <x v="1"/>
    <x v="0"/>
    <x v="4"/>
    <n v="1"/>
    <n v="4"/>
    <n v="2"/>
    <x v="2"/>
    <x v="3"/>
    <x v="2"/>
    <x v="32"/>
  </r>
  <r>
    <x v="0"/>
    <x v="0"/>
    <x v="3"/>
    <n v="1"/>
    <n v="2"/>
    <n v="3"/>
    <x v="2"/>
    <x v="4"/>
    <x v="2"/>
    <x v="5"/>
  </r>
  <r>
    <x v="0"/>
    <x v="0"/>
    <x v="2"/>
    <n v="0"/>
    <n v="5"/>
    <n v="5"/>
    <x v="2"/>
    <x v="1"/>
    <x v="1"/>
    <x v="33"/>
  </r>
  <r>
    <x v="1"/>
    <x v="0"/>
    <x v="1"/>
    <n v="1"/>
    <n v="3"/>
    <n v="3"/>
    <x v="3"/>
    <x v="0"/>
    <x v="0"/>
    <x v="5"/>
  </r>
  <r>
    <x v="0"/>
    <x v="0"/>
    <x v="0"/>
    <n v="1"/>
    <n v="3"/>
    <n v="2"/>
    <x v="1"/>
    <x v="3"/>
    <x v="2"/>
    <x v="15"/>
  </r>
  <r>
    <x v="0"/>
    <x v="1"/>
    <x v="2"/>
    <n v="0"/>
    <n v="3"/>
    <n v="1"/>
    <x v="2"/>
    <x v="1"/>
    <x v="1"/>
    <x v="4"/>
  </r>
  <r>
    <x v="0"/>
    <x v="1"/>
    <x v="2"/>
    <n v="0"/>
    <n v="4"/>
    <n v="4"/>
    <x v="2"/>
    <x v="1"/>
    <x v="1"/>
    <x v="6"/>
  </r>
  <r>
    <x v="1"/>
    <x v="1"/>
    <x v="4"/>
    <n v="1"/>
    <n v="4"/>
    <n v="4"/>
    <x v="3"/>
    <x v="0"/>
    <x v="4"/>
    <x v="21"/>
  </r>
  <r>
    <x v="1"/>
    <x v="1"/>
    <x v="3"/>
    <n v="1"/>
    <n v="3"/>
    <n v="3"/>
    <x v="2"/>
    <x v="4"/>
    <x v="2"/>
    <x v="34"/>
  </r>
  <r>
    <x v="1"/>
    <x v="1"/>
    <x v="1"/>
    <n v="1"/>
    <n v="2"/>
    <n v="2"/>
    <x v="1"/>
    <x v="4"/>
    <x v="2"/>
    <x v="11"/>
  </r>
  <r>
    <x v="1"/>
    <x v="1"/>
    <x v="4"/>
    <n v="1"/>
    <n v="4"/>
    <n v="4"/>
    <x v="1"/>
    <x v="4"/>
    <x v="5"/>
    <x v="3"/>
  </r>
  <r>
    <x v="1"/>
    <x v="1"/>
    <x v="3"/>
    <n v="1"/>
    <n v="4"/>
    <n v="3"/>
    <x v="1"/>
    <x v="0"/>
    <x v="0"/>
    <x v="5"/>
  </r>
  <r>
    <x v="1"/>
    <x v="1"/>
    <x v="1"/>
    <n v="1"/>
    <n v="3"/>
    <n v="3"/>
    <x v="1"/>
    <x v="3"/>
    <x v="4"/>
    <x v="35"/>
  </r>
  <r>
    <x v="1"/>
    <x v="1"/>
    <x v="3"/>
    <n v="1"/>
    <n v="3"/>
    <n v="2"/>
    <x v="2"/>
    <x v="0"/>
    <x v="0"/>
    <x v="11"/>
  </r>
  <r>
    <x v="1"/>
    <x v="1"/>
    <x v="1"/>
    <n v="1"/>
    <n v="4"/>
    <n v="2"/>
    <x v="1"/>
    <x v="2"/>
    <x v="2"/>
    <x v="34"/>
  </r>
  <r>
    <x v="1"/>
    <x v="1"/>
    <x v="3"/>
    <n v="1"/>
    <n v="1"/>
    <n v="3"/>
    <x v="1"/>
    <x v="0"/>
    <x v="2"/>
    <x v="34"/>
  </r>
  <r>
    <x v="0"/>
    <x v="1"/>
    <x v="3"/>
    <n v="1"/>
    <n v="3"/>
    <n v="2"/>
    <x v="1"/>
    <x v="0"/>
    <x v="0"/>
    <x v="36"/>
  </r>
  <r>
    <x v="0"/>
    <x v="1"/>
    <x v="1"/>
    <n v="1"/>
    <n v="4"/>
    <n v="3"/>
    <x v="1"/>
    <x v="0"/>
    <x v="0"/>
    <x v="37"/>
  </r>
  <r>
    <x v="1"/>
    <x v="1"/>
    <x v="5"/>
    <n v="1"/>
    <n v="3"/>
    <n v="2"/>
    <x v="1"/>
    <x v="0"/>
    <x v="0"/>
    <x v="21"/>
  </r>
  <r>
    <x v="0"/>
    <x v="1"/>
    <x v="0"/>
    <n v="1"/>
    <n v="2"/>
    <n v="3"/>
    <x v="2"/>
    <x v="0"/>
    <x v="0"/>
    <x v="38"/>
  </r>
  <r>
    <x v="1"/>
    <x v="1"/>
    <x v="2"/>
    <n v="0"/>
    <n v="4"/>
    <n v="5"/>
    <x v="2"/>
    <x v="1"/>
    <x v="1"/>
    <x v="21"/>
  </r>
  <r>
    <x v="1"/>
    <x v="1"/>
    <x v="3"/>
    <n v="1"/>
    <n v="2"/>
    <n v="2"/>
    <x v="3"/>
    <x v="0"/>
    <x v="0"/>
    <x v="11"/>
  </r>
  <r>
    <x v="0"/>
    <x v="1"/>
    <x v="5"/>
    <n v="1"/>
    <n v="2"/>
    <n v="2"/>
    <x v="1"/>
    <x v="0"/>
    <x v="2"/>
    <x v="7"/>
  </r>
  <r>
    <x v="0"/>
    <x v="1"/>
    <x v="0"/>
    <n v="1"/>
    <n v="3"/>
    <n v="2"/>
    <x v="2"/>
    <x v="0"/>
    <x v="2"/>
    <x v="8"/>
  </r>
  <r>
    <x v="0"/>
    <x v="1"/>
    <x v="1"/>
    <n v="1"/>
    <n v="2"/>
    <n v="5"/>
    <x v="2"/>
    <x v="3"/>
    <x v="4"/>
    <x v="8"/>
  </r>
  <r>
    <x v="0"/>
    <x v="1"/>
    <x v="2"/>
    <n v="0"/>
    <n v="2"/>
    <n v="3"/>
    <x v="1"/>
    <x v="1"/>
    <x v="1"/>
    <x v="14"/>
  </r>
  <r>
    <x v="1"/>
    <x v="1"/>
    <x v="3"/>
    <n v="1"/>
    <n v="3"/>
    <n v="4"/>
    <x v="2"/>
    <x v="2"/>
    <x v="4"/>
    <x v="39"/>
  </r>
  <r>
    <x v="0"/>
    <x v="1"/>
    <x v="0"/>
    <n v="1"/>
    <n v="4"/>
    <n v="4"/>
    <x v="1"/>
    <x v="0"/>
    <x v="0"/>
    <x v="40"/>
  </r>
  <r>
    <x v="1"/>
    <x v="1"/>
    <x v="3"/>
    <n v="1"/>
    <n v="2"/>
    <n v="2"/>
    <x v="1"/>
    <x v="0"/>
    <x v="0"/>
    <x v="14"/>
  </r>
  <r>
    <x v="0"/>
    <x v="1"/>
    <x v="1"/>
    <n v="1"/>
    <n v="3"/>
    <n v="3"/>
    <x v="1"/>
    <x v="3"/>
    <x v="2"/>
    <x v="14"/>
  </r>
  <r>
    <x v="0"/>
    <x v="1"/>
    <x v="2"/>
    <n v="0"/>
    <n v="3"/>
    <n v="5"/>
    <x v="1"/>
    <x v="1"/>
    <x v="1"/>
    <x v="41"/>
  </r>
  <r>
    <x v="0"/>
    <x v="1"/>
    <x v="1"/>
    <n v="1"/>
    <n v="2"/>
    <n v="2"/>
    <x v="2"/>
    <x v="2"/>
    <x v="4"/>
    <x v="8"/>
  </r>
  <r>
    <x v="1"/>
    <x v="1"/>
    <x v="5"/>
    <n v="1"/>
    <n v="3"/>
    <n v="2"/>
    <x v="3"/>
    <x v="0"/>
    <x v="0"/>
    <x v="6"/>
  </r>
  <r>
    <x v="0"/>
    <x v="1"/>
    <x v="5"/>
    <n v="1"/>
    <n v="1"/>
    <n v="2"/>
    <x v="1"/>
    <x v="0"/>
    <x v="0"/>
    <x v="14"/>
  </r>
  <r>
    <x v="0"/>
    <x v="1"/>
    <x v="1"/>
    <n v="1"/>
    <n v="2"/>
    <n v="4"/>
    <x v="1"/>
    <x v="3"/>
    <x v="0"/>
    <x v="5"/>
  </r>
  <r>
    <x v="0"/>
    <x v="1"/>
    <x v="1"/>
    <n v="1"/>
    <n v="3"/>
    <n v="1"/>
    <x v="1"/>
    <x v="0"/>
    <x v="2"/>
    <x v="42"/>
  </r>
  <r>
    <x v="0"/>
    <x v="1"/>
    <x v="1"/>
    <n v="1"/>
    <n v="4"/>
    <n v="4"/>
    <x v="2"/>
    <x v="3"/>
    <x v="2"/>
    <x v="21"/>
  </r>
  <r>
    <x v="0"/>
    <x v="1"/>
    <x v="5"/>
    <n v="1"/>
    <n v="2"/>
    <n v="3"/>
    <x v="3"/>
    <x v="4"/>
    <x v="2"/>
    <x v="43"/>
  </r>
  <r>
    <x v="1"/>
    <x v="1"/>
    <x v="2"/>
    <n v="0"/>
    <n v="3"/>
    <n v="3"/>
    <x v="2"/>
    <x v="1"/>
    <x v="1"/>
    <x v="21"/>
  </r>
  <r>
    <x v="0"/>
    <x v="1"/>
    <x v="3"/>
    <n v="1"/>
    <n v="4"/>
    <n v="4"/>
    <x v="2"/>
    <x v="0"/>
    <x v="0"/>
    <x v="15"/>
  </r>
  <r>
    <x v="0"/>
    <x v="1"/>
    <x v="3"/>
    <n v="1"/>
    <n v="5"/>
    <n v="6"/>
    <x v="1"/>
    <x v="0"/>
    <x v="2"/>
    <x v="13"/>
  </r>
  <r>
    <x v="1"/>
    <x v="1"/>
    <x v="0"/>
    <n v="1"/>
    <n v="3"/>
    <n v="2"/>
    <x v="3"/>
    <x v="0"/>
    <x v="0"/>
    <x v="30"/>
  </r>
  <r>
    <x v="1"/>
    <x v="1"/>
    <x v="0"/>
    <n v="1"/>
    <n v="2"/>
    <n v="3"/>
    <x v="3"/>
    <x v="0"/>
    <x v="0"/>
    <x v="21"/>
  </r>
  <r>
    <x v="0"/>
    <x v="1"/>
    <x v="1"/>
    <n v="1"/>
    <n v="3"/>
    <n v="2"/>
    <x v="2"/>
    <x v="2"/>
    <x v="0"/>
    <x v="36"/>
  </r>
  <r>
    <x v="0"/>
    <x v="1"/>
    <x v="4"/>
    <n v="1"/>
    <n v="5"/>
    <n v="4"/>
    <x v="3"/>
    <x v="2"/>
    <x v="2"/>
    <x v="5"/>
  </r>
  <r>
    <x v="1"/>
    <x v="1"/>
    <x v="3"/>
    <n v="1"/>
    <n v="2"/>
    <n v="4"/>
    <x v="3"/>
    <x v="4"/>
    <x v="3"/>
    <x v="14"/>
  </r>
  <r>
    <x v="0"/>
    <x v="1"/>
    <x v="1"/>
    <n v="1"/>
    <n v="3"/>
    <n v="3"/>
    <x v="2"/>
    <x v="2"/>
    <x v="4"/>
    <x v="2"/>
  </r>
  <r>
    <x v="1"/>
    <x v="1"/>
    <x v="4"/>
    <n v="1"/>
    <n v="3"/>
    <n v="3"/>
    <x v="1"/>
    <x v="3"/>
    <x v="2"/>
    <x v="44"/>
  </r>
  <r>
    <x v="0"/>
    <x v="1"/>
    <x v="3"/>
    <n v="1"/>
    <n v="4"/>
    <n v="4"/>
    <x v="2"/>
    <x v="4"/>
    <x v="0"/>
    <x v="13"/>
  </r>
  <r>
    <x v="1"/>
    <x v="1"/>
    <x v="3"/>
    <n v="1"/>
    <n v="5"/>
    <n v="5"/>
    <x v="0"/>
    <x v="4"/>
    <x v="3"/>
    <x v="36"/>
  </r>
  <r>
    <x v="1"/>
    <x v="1"/>
    <x v="1"/>
    <n v="1"/>
    <n v="3"/>
    <n v="3"/>
    <x v="1"/>
    <x v="4"/>
    <x v="3"/>
    <x v="3"/>
  </r>
  <r>
    <x v="0"/>
    <x v="1"/>
    <x v="1"/>
    <n v="1"/>
    <n v="5"/>
    <n v="4"/>
    <x v="1"/>
    <x v="0"/>
    <x v="0"/>
    <x v="14"/>
  </r>
  <r>
    <x v="0"/>
    <x v="1"/>
    <x v="4"/>
    <n v="1"/>
    <n v="2"/>
    <n v="2"/>
    <x v="1"/>
    <x v="0"/>
    <x v="0"/>
    <x v="6"/>
  </r>
  <r>
    <x v="0"/>
    <x v="1"/>
    <x v="1"/>
    <n v="1"/>
    <n v="3"/>
    <n v="3"/>
    <x v="2"/>
    <x v="4"/>
    <x v="4"/>
    <x v="7"/>
  </r>
  <r>
    <x v="1"/>
    <x v="1"/>
    <x v="4"/>
    <n v="1"/>
    <n v="2"/>
    <n v="4"/>
    <x v="2"/>
    <x v="2"/>
    <x v="2"/>
    <x v="14"/>
  </r>
  <r>
    <x v="1"/>
    <x v="1"/>
    <x v="3"/>
    <n v="1"/>
    <n v="5"/>
    <n v="5"/>
    <x v="3"/>
    <x v="2"/>
    <x v="4"/>
    <x v="45"/>
  </r>
  <r>
    <x v="0"/>
    <x v="1"/>
    <x v="3"/>
    <n v="1"/>
    <n v="2"/>
    <n v="2"/>
    <x v="1"/>
    <x v="0"/>
    <x v="0"/>
    <x v="14"/>
  </r>
  <r>
    <x v="0"/>
    <x v="1"/>
    <x v="4"/>
    <n v="1"/>
    <n v="2"/>
    <n v="4"/>
    <x v="1"/>
    <x v="2"/>
    <x v="2"/>
    <x v="2"/>
  </r>
  <r>
    <x v="0"/>
    <x v="1"/>
    <x v="5"/>
    <n v="1"/>
    <n v="3"/>
    <n v="4"/>
    <x v="1"/>
    <x v="0"/>
    <x v="0"/>
    <x v="14"/>
  </r>
  <r>
    <x v="0"/>
    <x v="1"/>
    <x v="1"/>
    <n v="1"/>
    <n v="3"/>
    <n v="3"/>
    <x v="2"/>
    <x v="3"/>
    <x v="5"/>
    <x v="43"/>
  </r>
  <r>
    <x v="1"/>
    <x v="1"/>
    <x v="0"/>
    <n v="1"/>
    <n v="4"/>
    <n v="5"/>
    <x v="3"/>
    <x v="4"/>
    <x v="3"/>
    <x v="2"/>
  </r>
  <r>
    <x v="0"/>
    <x v="1"/>
    <x v="4"/>
    <n v="1"/>
    <n v="2"/>
    <n v="4"/>
    <x v="1"/>
    <x v="2"/>
    <x v="4"/>
    <x v="2"/>
  </r>
  <r>
    <x v="0"/>
    <x v="1"/>
    <x v="3"/>
    <n v="1"/>
    <n v="2"/>
    <n v="4"/>
    <x v="2"/>
    <x v="3"/>
    <x v="0"/>
    <x v="7"/>
  </r>
  <r>
    <x v="0"/>
    <x v="1"/>
    <x v="5"/>
    <n v="1"/>
    <n v="5"/>
    <n v="4"/>
    <x v="2"/>
    <x v="3"/>
    <x v="2"/>
    <x v="21"/>
  </r>
  <r>
    <x v="1"/>
    <x v="1"/>
    <x v="4"/>
    <n v="1"/>
    <n v="2"/>
    <n v="3"/>
    <x v="2"/>
    <x v="3"/>
    <x v="4"/>
    <x v="14"/>
  </r>
  <r>
    <x v="1"/>
    <x v="1"/>
    <x v="4"/>
    <n v="1"/>
    <n v="5"/>
    <n v="4"/>
    <x v="1"/>
    <x v="2"/>
    <x v="0"/>
    <x v="46"/>
  </r>
  <r>
    <x v="0"/>
    <x v="1"/>
    <x v="3"/>
    <n v="1"/>
    <n v="2"/>
    <n v="4"/>
    <x v="1"/>
    <x v="4"/>
    <x v="0"/>
    <x v="23"/>
  </r>
  <r>
    <x v="0"/>
    <x v="1"/>
    <x v="3"/>
    <n v="1"/>
    <n v="2"/>
    <n v="3"/>
    <x v="3"/>
    <x v="0"/>
    <x v="0"/>
    <x v="21"/>
  </r>
  <r>
    <x v="0"/>
    <x v="1"/>
    <x v="4"/>
    <n v="1"/>
    <n v="3"/>
    <n v="4"/>
    <x v="2"/>
    <x v="4"/>
    <x v="4"/>
    <x v="47"/>
  </r>
  <r>
    <x v="0"/>
    <x v="1"/>
    <x v="4"/>
    <n v="1"/>
    <n v="3"/>
    <n v="2"/>
    <x v="2"/>
    <x v="2"/>
    <x v="4"/>
    <x v="5"/>
  </r>
  <r>
    <x v="1"/>
    <x v="1"/>
    <x v="0"/>
    <n v="1"/>
    <n v="3"/>
    <n v="3"/>
    <x v="2"/>
    <x v="3"/>
    <x v="2"/>
    <x v="13"/>
  </r>
  <r>
    <x v="1"/>
    <x v="1"/>
    <x v="2"/>
    <n v="0"/>
    <n v="2"/>
    <n v="4"/>
    <x v="0"/>
    <x v="1"/>
    <x v="1"/>
    <x v="12"/>
  </r>
  <r>
    <x v="1"/>
    <x v="1"/>
    <x v="5"/>
    <n v="1"/>
    <n v="3"/>
    <n v="3"/>
    <x v="2"/>
    <x v="2"/>
    <x v="0"/>
    <x v="12"/>
  </r>
  <r>
    <x v="0"/>
    <x v="1"/>
    <x v="0"/>
    <n v="1"/>
    <n v="5"/>
    <n v="5"/>
    <x v="0"/>
    <x v="3"/>
    <x v="2"/>
    <x v="48"/>
  </r>
  <r>
    <x v="0"/>
    <x v="1"/>
    <x v="5"/>
    <n v="1"/>
    <n v="4"/>
    <n v="4"/>
    <x v="2"/>
    <x v="0"/>
    <x v="0"/>
    <x v="49"/>
  </r>
  <r>
    <x v="0"/>
    <x v="1"/>
    <x v="3"/>
    <n v="1"/>
    <n v="5"/>
    <n v="6"/>
    <x v="3"/>
    <x v="3"/>
    <x v="0"/>
    <x v="50"/>
  </r>
  <r>
    <x v="1"/>
    <x v="1"/>
    <x v="4"/>
    <n v="1"/>
    <n v="2"/>
    <n v="2"/>
    <x v="3"/>
    <x v="4"/>
    <x v="3"/>
    <x v="34"/>
  </r>
  <r>
    <x v="0"/>
    <x v="1"/>
    <x v="2"/>
    <n v="0"/>
    <n v="2"/>
    <n v="2"/>
    <x v="1"/>
    <x v="1"/>
    <x v="1"/>
    <x v="51"/>
  </r>
  <r>
    <x v="0"/>
    <x v="1"/>
    <x v="5"/>
    <n v="1"/>
    <n v="5"/>
    <n v="5"/>
    <x v="3"/>
    <x v="0"/>
    <x v="0"/>
    <x v="52"/>
  </r>
  <r>
    <x v="0"/>
    <x v="1"/>
    <x v="3"/>
    <n v="1"/>
    <n v="4"/>
    <n v="4"/>
    <x v="2"/>
    <x v="0"/>
    <x v="0"/>
    <x v="44"/>
  </r>
  <r>
    <x v="0"/>
    <x v="1"/>
    <x v="3"/>
    <n v="1"/>
    <n v="5"/>
    <n v="3"/>
    <x v="1"/>
    <x v="0"/>
    <x v="2"/>
    <x v="8"/>
  </r>
  <r>
    <x v="0"/>
    <x v="1"/>
    <x v="0"/>
    <n v="1"/>
    <n v="2"/>
    <n v="2"/>
    <x v="2"/>
    <x v="0"/>
    <x v="2"/>
    <x v="53"/>
  </r>
  <r>
    <x v="1"/>
    <x v="1"/>
    <x v="3"/>
    <n v="1"/>
    <n v="5"/>
    <n v="5"/>
    <x v="2"/>
    <x v="0"/>
    <x v="4"/>
    <x v="14"/>
  </r>
  <r>
    <x v="0"/>
    <x v="1"/>
    <x v="1"/>
    <n v="1"/>
    <n v="3"/>
    <n v="2"/>
    <x v="1"/>
    <x v="3"/>
    <x v="2"/>
    <x v="54"/>
  </r>
  <r>
    <x v="0"/>
    <x v="1"/>
    <x v="5"/>
    <n v="1"/>
    <n v="5"/>
    <n v="4"/>
    <x v="3"/>
    <x v="4"/>
    <x v="2"/>
    <x v="2"/>
  </r>
  <r>
    <x v="0"/>
    <x v="1"/>
    <x v="2"/>
    <n v="0"/>
    <n v="6"/>
    <n v="6"/>
    <x v="1"/>
    <x v="1"/>
    <x v="1"/>
    <x v="55"/>
  </r>
  <r>
    <x v="0"/>
    <x v="1"/>
    <x v="3"/>
    <n v="1"/>
    <n v="4"/>
    <n v="5"/>
    <x v="3"/>
    <x v="0"/>
    <x v="0"/>
    <x v="21"/>
  </r>
  <r>
    <x v="0"/>
    <x v="1"/>
    <x v="4"/>
    <n v="1"/>
    <n v="4"/>
    <n v="2"/>
    <x v="2"/>
    <x v="0"/>
    <x v="4"/>
    <x v="9"/>
  </r>
  <r>
    <x v="0"/>
    <x v="1"/>
    <x v="3"/>
    <n v="1"/>
    <n v="2"/>
    <n v="2"/>
    <x v="2"/>
    <x v="0"/>
    <x v="0"/>
    <x v="4"/>
  </r>
  <r>
    <x v="0"/>
    <x v="1"/>
    <x v="5"/>
    <n v="1"/>
    <n v="4"/>
    <n v="5"/>
    <x v="3"/>
    <x v="3"/>
    <x v="2"/>
    <x v="8"/>
  </r>
  <r>
    <x v="1"/>
    <x v="1"/>
    <x v="1"/>
    <n v="1"/>
    <n v="4"/>
    <n v="5"/>
    <x v="0"/>
    <x v="3"/>
    <x v="2"/>
    <x v="56"/>
  </r>
  <r>
    <x v="0"/>
    <x v="1"/>
    <x v="0"/>
    <n v="1"/>
    <n v="2"/>
    <n v="4"/>
    <x v="1"/>
    <x v="0"/>
    <x v="0"/>
    <x v="54"/>
  </r>
  <r>
    <x v="1"/>
    <x v="1"/>
    <x v="4"/>
    <n v="1"/>
    <n v="2"/>
    <n v="2"/>
    <x v="2"/>
    <x v="2"/>
    <x v="3"/>
    <x v="11"/>
  </r>
  <r>
    <x v="0"/>
    <x v="1"/>
    <x v="2"/>
    <n v="0"/>
    <n v="2"/>
    <n v="4"/>
    <x v="2"/>
    <x v="1"/>
    <x v="1"/>
    <x v="57"/>
  </r>
  <r>
    <x v="0"/>
    <x v="1"/>
    <x v="1"/>
    <n v="1"/>
    <n v="4"/>
    <n v="4"/>
    <x v="3"/>
    <x v="3"/>
    <x v="2"/>
    <x v="58"/>
  </r>
  <r>
    <x v="0"/>
    <x v="1"/>
    <x v="1"/>
    <n v="1"/>
    <n v="2"/>
    <n v="4"/>
    <x v="1"/>
    <x v="3"/>
    <x v="2"/>
    <x v="14"/>
  </r>
  <r>
    <x v="0"/>
    <x v="1"/>
    <x v="3"/>
    <n v="1"/>
    <n v="3"/>
    <n v="2"/>
    <x v="2"/>
    <x v="0"/>
    <x v="2"/>
    <x v="21"/>
  </r>
  <r>
    <x v="0"/>
    <x v="1"/>
    <x v="0"/>
    <n v="1"/>
    <n v="3"/>
    <n v="3"/>
    <x v="2"/>
    <x v="3"/>
    <x v="2"/>
    <x v="6"/>
  </r>
  <r>
    <x v="1"/>
    <x v="1"/>
    <x v="4"/>
    <n v="1"/>
    <n v="3"/>
    <n v="3"/>
    <x v="3"/>
    <x v="0"/>
    <x v="2"/>
    <x v="35"/>
  </r>
  <r>
    <x v="0"/>
    <x v="2"/>
    <x v="2"/>
    <n v="0"/>
    <n v="2"/>
    <n v="2"/>
    <x v="2"/>
    <x v="1"/>
    <x v="1"/>
    <x v="2"/>
  </r>
  <r>
    <x v="0"/>
    <x v="2"/>
    <x v="3"/>
    <n v="1"/>
    <n v="4"/>
    <n v="4"/>
    <x v="3"/>
    <x v="0"/>
    <x v="2"/>
    <x v="9"/>
  </r>
  <r>
    <x v="0"/>
    <x v="2"/>
    <x v="2"/>
    <n v="0"/>
    <n v="4"/>
    <n v="6"/>
    <x v="3"/>
    <x v="1"/>
    <x v="1"/>
    <x v="4"/>
  </r>
  <r>
    <x v="0"/>
    <x v="2"/>
    <x v="2"/>
    <n v="0"/>
    <n v="3"/>
    <n v="4"/>
    <x v="2"/>
    <x v="1"/>
    <x v="1"/>
    <x v="13"/>
  </r>
  <r>
    <x v="1"/>
    <x v="2"/>
    <x v="2"/>
    <n v="0"/>
    <n v="3"/>
    <n v="3"/>
    <x v="0"/>
    <x v="1"/>
    <x v="1"/>
    <x v="15"/>
  </r>
  <r>
    <x v="0"/>
    <x v="2"/>
    <x v="2"/>
    <n v="0"/>
    <n v="2"/>
    <n v="4"/>
    <x v="2"/>
    <x v="1"/>
    <x v="1"/>
    <x v="30"/>
  </r>
  <r>
    <x v="0"/>
    <x v="2"/>
    <x v="2"/>
    <n v="0"/>
    <n v="5"/>
    <n v="5"/>
    <x v="2"/>
    <x v="1"/>
    <x v="1"/>
    <x v="14"/>
  </r>
  <r>
    <x v="0"/>
    <x v="2"/>
    <x v="2"/>
    <n v="0"/>
    <n v="3"/>
    <n v="4"/>
    <x v="3"/>
    <x v="1"/>
    <x v="1"/>
    <x v="21"/>
  </r>
  <r>
    <x v="1"/>
    <x v="2"/>
    <x v="4"/>
    <n v="1"/>
    <n v="2"/>
    <n v="2"/>
    <x v="1"/>
    <x v="4"/>
    <x v="2"/>
    <x v="5"/>
  </r>
  <r>
    <x v="1"/>
    <x v="2"/>
    <x v="0"/>
    <n v="1"/>
    <n v="3"/>
    <n v="4"/>
    <x v="1"/>
    <x v="0"/>
    <x v="0"/>
    <x v="5"/>
  </r>
  <r>
    <x v="0"/>
    <x v="2"/>
    <x v="5"/>
    <n v="1"/>
    <n v="3"/>
    <n v="3"/>
    <x v="2"/>
    <x v="3"/>
    <x v="4"/>
    <x v="11"/>
  </r>
  <r>
    <x v="1"/>
    <x v="2"/>
    <x v="2"/>
    <n v="0"/>
    <n v="4"/>
    <n v="4"/>
    <x v="2"/>
    <x v="1"/>
    <x v="1"/>
    <x v="2"/>
  </r>
  <r>
    <x v="0"/>
    <x v="2"/>
    <x v="2"/>
    <n v="0"/>
    <n v="4"/>
    <n v="4"/>
    <x v="3"/>
    <x v="1"/>
    <x v="1"/>
    <x v="8"/>
  </r>
  <r>
    <x v="1"/>
    <x v="2"/>
    <x v="1"/>
    <n v="1"/>
    <n v="3"/>
    <n v="4"/>
    <x v="3"/>
    <x v="4"/>
    <x v="2"/>
    <x v="11"/>
  </r>
  <r>
    <x v="1"/>
    <x v="2"/>
    <x v="2"/>
    <n v="0"/>
    <n v="2"/>
    <n v="4"/>
    <x v="2"/>
    <x v="1"/>
    <x v="1"/>
    <x v="8"/>
  </r>
  <r>
    <x v="0"/>
    <x v="2"/>
    <x v="2"/>
    <n v="0"/>
    <n v="4"/>
    <n v="6"/>
    <x v="3"/>
    <x v="1"/>
    <x v="1"/>
    <x v="36"/>
  </r>
  <r>
    <x v="0"/>
    <x v="2"/>
    <x v="2"/>
    <n v="0"/>
    <n v="2"/>
    <n v="3"/>
    <x v="2"/>
    <x v="1"/>
    <x v="1"/>
    <x v="15"/>
  </r>
  <r>
    <x v="1"/>
    <x v="2"/>
    <x v="0"/>
    <n v="1"/>
    <n v="3"/>
    <n v="3"/>
    <x v="3"/>
    <x v="0"/>
    <x v="2"/>
    <x v="3"/>
  </r>
  <r>
    <x v="1"/>
    <x v="2"/>
    <x v="1"/>
    <n v="1"/>
    <n v="4"/>
    <n v="4"/>
    <x v="2"/>
    <x v="0"/>
    <x v="0"/>
    <x v="11"/>
  </r>
  <r>
    <x v="0"/>
    <x v="2"/>
    <x v="2"/>
    <n v="0"/>
    <n v="3"/>
    <n v="4"/>
    <x v="2"/>
    <x v="1"/>
    <x v="1"/>
    <x v="4"/>
  </r>
  <r>
    <x v="1"/>
    <x v="2"/>
    <x v="2"/>
    <n v="0"/>
    <n v="3"/>
    <n v="3"/>
    <x v="2"/>
    <x v="1"/>
    <x v="1"/>
    <x v="15"/>
  </r>
  <r>
    <x v="0"/>
    <x v="2"/>
    <x v="2"/>
    <n v="0"/>
    <n v="3"/>
    <n v="3"/>
    <x v="2"/>
    <x v="1"/>
    <x v="1"/>
    <x v="4"/>
  </r>
  <r>
    <x v="0"/>
    <x v="2"/>
    <x v="1"/>
    <n v="1"/>
    <n v="2"/>
    <n v="2"/>
    <x v="3"/>
    <x v="3"/>
    <x v="4"/>
    <x v="14"/>
  </r>
  <r>
    <x v="0"/>
    <x v="2"/>
    <x v="1"/>
    <n v="1"/>
    <n v="3"/>
    <n v="3"/>
    <x v="2"/>
    <x v="3"/>
    <x v="2"/>
    <x v="23"/>
  </r>
  <r>
    <x v="0"/>
    <x v="2"/>
    <x v="2"/>
    <n v="0"/>
    <n v="2"/>
    <n v="3"/>
    <x v="3"/>
    <x v="1"/>
    <x v="1"/>
    <x v="7"/>
  </r>
  <r>
    <x v="1"/>
    <x v="2"/>
    <x v="2"/>
    <n v="0"/>
    <n v="2"/>
    <n v="4"/>
    <x v="1"/>
    <x v="1"/>
    <x v="1"/>
    <x v="14"/>
  </r>
  <r>
    <x v="1"/>
    <x v="2"/>
    <x v="2"/>
    <n v="0"/>
    <n v="4"/>
    <n v="4"/>
    <x v="1"/>
    <x v="1"/>
    <x v="1"/>
    <x v="15"/>
  </r>
  <r>
    <x v="0"/>
    <x v="2"/>
    <x v="5"/>
    <n v="1"/>
    <n v="3"/>
    <n v="3"/>
    <x v="1"/>
    <x v="2"/>
    <x v="4"/>
    <x v="6"/>
  </r>
  <r>
    <x v="1"/>
    <x v="2"/>
    <x v="1"/>
    <n v="1"/>
    <n v="3"/>
    <n v="3"/>
    <x v="2"/>
    <x v="3"/>
    <x v="0"/>
    <x v="4"/>
  </r>
  <r>
    <x v="1"/>
    <x v="2"/>
    <x v="4"/>
    <n v="1"/>
    <n v="4"/>
    <n v="5"/>
    <x v="1"/>
    <x v="2"/>
    <x v="4"/>
    <x v="21"/>
  </r>
  <r>
    <x v="1"/>
    <x v="2"/>
    <x v="3"/>
    <n v="1"/>
    <n v="2"/>
    <n v="2"/>
    <x v="1"/>
    <x v="0"/>
    <x v="2"/>
    <x v="6"/>
  </r>
  <r>
    <x v="1"/>
    <x v="2"/>
    <x v="2"/>
    <n v="0"/>
    <n v="3"/>
    <n v="1"/>
    <x v="2"/>
    <x v="1"/>
    <x v="1"/>
    <x v="15"/>
  </r>
  <r>
    <x v="0"/>
    <x v="2"/>
    <x v="5"/>
    <n v="1"/>
    <n v="2"/>
    <n v="2"/>
    <x v="1"/>
    <x v="3"/>
    <x v="2"/>
    <x v="14"/>
  </r>
  <r>
    <x v="0"/>
    <x v="2"/>
    <x v="2"/>
    <n v="0"/>
    <n v="3"/>
    <n v="2"/>
    <x v="1"/>
    <x v="1"/>
    <x v="1"/>
    <x v="15"/>
  </r>
  <r>
    <x v="0"/>
    <x v="2"/>
    <x v="2"/>
    <n v="0"/>
    <n v="3"/>
    <n v="5"/>
    <x v="2"/>
    <x v="1"/>
    <x v="1"/>
    <x v="6"/>
  </r>
  <r>
    <x v="0"/>
    <x v="2"/>
    <x v="0"/>
    <n v="1"/>
    <n v="4"/>
    <n v="5"/>
    <x v="1"/>
    <x v="2"/>
    <x v="0"/>
    <x v="11"/>
  </r>
  <r>
    <x v="0"/>
    <x v="2"/>
    <x v="2"/>
    <n v="0"/>
    <n v="2"/>
    <n v="3"/>
    <x v="3"/>
    <x v="1"/>
    <x v="1"/>
    <x v="11"/>
  </r>
  <r>
    <x v="0"/>
    <x v="2"/>
    <x v="2"/>
    <n v="0"/>
    <n v="3"/>
    <n v="4"/>
    <x v="2"/>
    <x v="1"/>
    <x v="1"/>
    <x v="36"/>
  </r>
  <r>
    <x v="1"/>
    <x v="2"/>
    <x v="4"/>
    <n v="1"/>
    <n v="2"/>
    <n v="2"/>
    <x v="2"/>
    <x v="4"/>
    <x v="5"/>
    <x v="5"/>
  </r>
  <r>
    <x v="0"/>
    <x v="2"/>
    <x v="2"/>
    <n v="0"/>
    <n v="3"/>
    <n v="2"/>
    <x v="2"/>
    <x v="1"/>
    <x v="1"/>
    <x v="59"/>
  </r>
  <r>
    <x v="0"/>
    <x v="2"/>
    <x v="2"/>
    <n v="0"/>
    <n v="2"/>
    <n v="2"/>
    <x v="1"/>
    <x v="1"/>
    <x v="1"/>
    <x v="5"/>
  </r>
  <r>
    <x v="0"/>
    <x v="2"/>
    <x v="3"/>
    <n v="1"/>
    <n v="4"/>
    <n v="4"/>
    <x v="2"/>
    <x v="0"/>
    <x v="2"/>
    <x v="7"/>
  </r>
  <r>
    <x v="0"/>
    <x v="2"/>
    <x v="1"/>
    <n v="1"/>
    <n v="3"/>
    <n v="4"/>
    <x v="1"/>
    <x v="2"/>
    <x v="2"/>
    <x v="5"/>
  </r>
  <r>
    <x v="0"/>
    <x v="2"/>
    <x v="0"/>
    <n v="1"/>
    <n v="4"/>
    <n v="2"/>
    <x v="1"/>
    <x v="0"/>
    <x v="0"/>
    <x v="6"/>
  </r>
  <r>
    <x v="0"/>
    <x v="2"/>
    <x v="1"/>
    <n v="1"/>
    <n v="4"/>
    <n v="4"/>
    <x v="2"/>
    <x v="0"/>
    <x v="4"/>
    <x v="20"/>
  </r>
  <r>
    <x v="0"/>
    <x v="2"/>
    <x v="0"/>
    <n v="1"/>
    <n v="1"/>
    <n v="3"/>
    <x v="1"/>
    <x v="0"/>
    <x v="0"/>
    <x v="15"/>
  </r>
  <r>
    <x v="0"/>
    <x v="2"/>
    <x v="1"/>
    <n v="1"/>
    <n v="4"/>
    <n v="5"/>
    <x v="2"/>
    <x v="2"/>
    <x v="2"/>
    <x v="14"/>
  </r>
  <r>
    <x v="1"/>
    <x v="2"/>
    <x v="3"/>
    <n v="1"/>
    <n v="1"/>
    <n v="3"/>
    <x v="2"/>
    <x v="0"/>
    <x v="2"/>
    <x v="15"/>
  </r>
  <r>
    <x v="1"/>
    <x v="2"/>
    <x v="5"/>
    <n v="1"/>
    <n v="3"/>
    <n v="5"/>
    <x v="3"/>
    <x v="0"/>
    <x v="4"/>
    <x v="15"/>
  </r>
  <r>
    <x v="1"/>
    <x v="2"/>
    <x v="1"/>
    <n v="1"/>
    <n v="5"/>
    <n v="4"/>
    <x v="2"/>
    <x v="2"/>
    <x v="0"/>
    <x v="11"/>
  </r>
  <r>
    <x v="0"/>
    <x v="2"/>
    <x v="3"/>
    <n v="1"/>
    <n v="2"/>
    <n v="1"/>
    <x v="1"/>
    <x v="0"/>
    <x v="0"/>
    <x v="14"/>
  </r>
  <r>
    <x v="0"/>
    <x v="2"/>
    <x v="3"/>
    <n v="1"/>
    <n v="4"/>
    <n v="4"/>
    <x v="2"/>
    <x v="3"/>
    <x v="0"/>
    <x v="8"/>
  </r>
  <r>
    <x v="1"/>
    <x v="2"/>
    <x v="0"/>
    <n v="1"/>
    <n v="4"/>
    <n v="5"/>
    <x v="2"/>
    <x v="3"/>
    <x v="0"/>
    <x v="8"/>
  </r>
  <r>
    <x v="1"/>
    <x v="2"/>
    <x v="5"/>
    <n v="1"/>
    <n v="4"/>
    <n v="3"/>
    <x v="1"/>
    <x v="0"/>
    <x v="2"/>
    <x v="14"/>
  </r>
  <r>
    <x v="0"/>
    <x v="2"/>
    <x v="0"/>
    <n v="1"/>
    <n v="2"/>
    <n v="3"/>
    <x v="2"/>
    <x v="0"/>
    <x v="0"/>
    <x v="15"/>
  </r>
  <r>
    <x v="1"/>
    <x v="2"/>
    <x v="4"/>
    <n v="1"/>
    <n v="3"/>
    <n v="5"/>
    <x v="2"/>
    <x v="4"/>
    <x v="4"/>
    <x v="21"/>
  </r>
  <r>
    <x v="0"/>
    <x v="2"/>
    <x v="1"/>
    <n v="1"/>
    <n v="4"/>
    <n v="4"/>
    <x v="2"/>
    <x v="3"/>
    <x v="0"/>
    <x v="2"/>
  </r>
  <r>
    <x v="1"/>
    <x v="2"/>
    <x v="1"/>
    <n v="1"/>
    <n v="1"/>
    <n v="4"/>
    <x v="1"/>
    <x v="0"/>
    <x v="0"/>
    <x v="15"/>
  </r>
  <r>
    <x v="1"/>
    <x v="2"/>
    <x v="2"/>
    <n v="0"/>
    <n v="2"/>
    <n v="2"/>
    <x v="1"/>
    <x v="1"/>
    <x v="1"/>
    <x v="60"/>
  </r>
  <r>
    <x v="1"/>
    <x v="2"/>
    <x v="2"/>
    <n v="0"/>
    <n v="1"/>
    <n v="3"/>
    <x v="2"/>
    <x v="1"/>
    <x v="1"/>
    <x v="11"/>
  </r>
  <r>
    <x v="0"/>
    <x v="2"/>
    <x v="1"/>
    <n v="1"/>
    <n v="3"/>
    <n v="3"/>
    <x v="1"/>
    <x v="0"/>
    <x v="0"/>
    <x v="61"/>
  </r>
  <r>
    <x v="0"/>
    <x v="2"/>
    <x v="3"/>
    <n v="1"/>
    <n v="2"/>
    <n v="4"/>
    <x v="2"/>
    <x v="0"/>
    <x v="0"/>
    <x v="8"/>
  </r>
  <r>
    <x v="0"/>
    <x v="2"/>
    <x v="3"/>
    <n v="1"/>
    <n v="3"/>
    <n v="3"/>
    <x v="2"/>
    <x v="0"/>
    <x v="2"/>
    <x v="2"/>
  </r>
  <r>
    <x v="1"/>
    <x v="2"/>
    <x v="5"/>
    <n v="1"/>
    <n v="3"/>
    <n v="3"/>
    <x v="1"/>
    <x v="2"/>
    <x v="4"/>
    <x v="11"/>
  </r>
  <r>
    <x v="1"/>
    <x v="2"/>
    <x v="3"/>
    <n v="1"/>
    <n v="3"/>
    <n v="2"/>
    <x v="2"/>
    <x v="0"/>
    <x v="0"/>
    <x v="21"/>
  </r>
  <r>
    <x v="1"/>
    <x v="2"/>
    <x v="1"/>
    <n v="1"/>
    <n v="2"/>
    <n v="2"/>
    <x v="2"/>
    <x v="4"/>
    <x v="4"/>
    <x v="21"/>
  </r>
  <r>
    <x v="1"/>
    <x v="3"/>
    <x v="3"/>
    <n v="1"/>
    <n v="6"/>
    <n v="5"/>
    <x v="3"/>
    <x v="2"/>
    <x v="2"/>
    <x v="8"/>
  </r>
  <r>
    <x v="0"/>
    <x v="3"/>
    <x v="2"/>
    <n v="0"/>
    <n v="4"/>
    <n v="3"/>
    <x v="2"/>
    <x v="1"/>
    <x v="1"/>
    <x v="14"/>
  </r>
  <r>
    <x v="0"/>
    <x v="3"/>
    <x v="2"/>
    <n v="0"/>
    <n v="3"/>
    <n v="4"/>
    <x v="2"/>
    <x v="1"/>
    <x v="1"/>
    <x v="4"/>
  </r>
  <r>
    <x v="0"/>
    <x v="3"/>
    <x v="2"/>
    <n v="0"/>
    <n v="2"/>
    <n v="2"/>
    <x v="2"/>
    <x v="1"/>
    <x v="1"/>
    <x v="0"/>
  </r>
  <r>
    <x v="1"/>
    <x v="3"/>
    <x v="1"/>
    <n v="1"/>
    <n v="4"/>
    <n v="4"/>
    <x v="0"/>
    <x v="4"/>
    <x v="4"/>
    <x v="2"/>
  </r>
  <r>
    <x v="1"/>
    <x v="3"/>
    <x v="2"/>
    <n v="0"/>
    <n v="3"/>
    <n v="3"/>
    <x v="1"/>
    <x v="1"/>
    <x v="1"/>
    <x v="6"/>
  </r>
  <r>
    <x v="0"/>
    <x v="3"/>
    <x v="0"/>
    <n v="1"/>
    <n v="2"/>
    <n v="2"/>
    <x v="1"/>
    <x v="0"/>
    <x v="2"/>
    <x v="62"/>
  </r>
  <r>
    <x v="0"/>
    <x v="3"/>
    <x v="2"/>
    <n v="0"/>
    <n v="3"/>
    <n v="5"/>
    <x v="2"/>
    <x v="1"/>
    <x v="1"/>
    <x v="2"/>
  </r>
  <r>
    <x v="0"/>
    <x v="3"/>
    <x v="2"/>
    <n v="0"/>
    <n v="5"/>
    <n v="4"/>
    <x v="3"/>
    <x v="1"/>
    <x v="1"/>
    <x v="2"/>
  </r>
  <r>
    <x v="0"/>
    <x v="3"/>
    <x v="2"/>
    <n v="0"/>
    <n v="4"/>
    <n v="3"/>
    <x v="2"/>
    <x v="1"/>
    <x v="1"/>
    <x v="14"/>
  </r>
  <r>
    <x v="0"/>
    <x v="3"/>
    <x v="2"/>
    <n v="0"/>
    <n v="4"/>
    <n v="4"/>
    <x v="2"/>
    <x v="1"/>
    <x v="1"/>
    <x v="38"/>
  </r>
  <r>
    <x v="0"/>
    <x v="3"/>
    <x v="2"/>
    <n v="0"/>
    <n v="2"/>
    <n v="3"/>
    <x v="3"/>
    <x v="1"/>
    <x v="1"/>
    <x v="2"/>
  </r>
  <r>
    <x v="1"/>
    <x v="3"/>
    <x v="2"/>
    <n v="0"/>
    <n v="3"/>
    <n v="3"/>
    <x v="1"/>
    <x v="1"/>
    <x v="1"/>
    <x v="14"/>
  </r>
  <r>
    <x v="1"/>
    <x v="3"/>
    <x v="5"/>
    <n v="1"/>
    <n v="4"/>
    <n v="3"/>
    <x v="0"/>
    <x v="0"/>
    <x v="0"/>
    <x v="21"/>
  </r>
  <r>
    <x v="0"/>
    <x v="3"/>
    <x v="2"/>
    <n v="0"/>
    <n v="4"/>
    <n v="5"/>
    <x v="3"/>
    <x v="1"/>
    <x v="1"/>
    <x v="13"/>
  </r>
  <r>
    <x v="0"/>
    <x v="3"/>
    <x v="2"/>
    <n v="0"/>
    <n v="2"/>
    <n v="3"/>
    <x v="1"/>
    <x v="1"/>
    <x v="1"/>
    <x v="14"/>
  </r>
  <r>
    <x v="0"/>
    <x v="3"/>
    <x v="2"/>
    <n v="0"/>
    <n v="5"/>
    <n v="4"/>
    <x v="1"/>
    <x v="1"/>
    <x v="1"/>
    <x v="4"/>
  </r>
  <r>
    <x v="1"/>
    <x v="3"/>
    <x v="0"/>
    <n v="1"/>
    <n v="4"/>
    <n v="4"/>
    <x v="2"/>
    <x v="2"/>
    <x v="2"/>
    <x v="4"/>
  </r>
  <r>
    <x v="1"/>
    <x v="3"/>
    <x v="5"/>
    <n v="1"/>
    <n v="5"/>
    <n v="6"/>
    <x v="2"/>
    <x v="3"/>
    <x v="2"/>
    <x v="21"/>
  </r>
  <r>
    <x v="1"/>
    <x v="3"/>
    <x v="4"/>
    <n v="1"/>
    <n v="4"/>
    <n v="4"/>
    <x v="3"/>
    <x v="4"/>
    <x v="5"/>
    <x v="12"/>
  </r>
  <r>
    <x v="1"/>
    <x v="3"/>
    <x v="0"/>
    <n v="1"/>
    <n v="3"/>
    <n v="4"/>
    <x v="3"/>
    <x v="4"/>
    <x v="0"/>
    <x v="18"/>
  </r>
  <r>
    <x v="1"/>
    <x v="3"/>
    <x v="4"/>
    <n v="1"/>
    <n v="5"/>
    <n v="5"/>
    <x v="2"/>
    <x v="4"/>
    <x v="0"/>
    <x v="13"/>
  </r>
  <r>
    <x v="1"/>
    <x v="3"/>
    <x v="4"/>
    <n v="1"/>
    <n v="4"/>
    <n v="2"/>
    <x v="2"/>
    <x v="3"/>
    <x v="2"/>
    <x v="63"/>
  </r>
  <r>
    <x v="0"/>
    <x v="3"/>
    <x v="1"/>
    <n v="1"/>
    <n v="4"/>
    <n v="4"/>
    <x v="2"/>
    <x v="4"/>
    <x v="4"/>
    <x v="14"/>
  </r>
  <r>
    <x v="1"/>
    <x v="3"/>
    <x v="4"/>
    <n v="1"/>
    <n v="4"/>
    <n v="4"/>
    <x v="1"/>
    <x v="0"/>
    <x v="4"/>
    <x v="11"/>
  </r>
  <r>
    <x v="1"/>
    <x v="3"/>
    <x v="3"/>
    <n v="1"/>
    <n v="2"/>
    <n v="3"/>
    <x v="2"/>
    <x v="2"/>
    <x v="3"/>
    <x v="6"/>
  </r>
  <r>
    <x v="1"/>
    <x v="3"/>
    <x v="4"/>
    <n v="1"/>
    <n v="3"/>
    <n v="3"/>
    <x v="0"/>
    <x v="2"/>
    <x v="3"/>
    <x v="14"/>
  </r>
  <r>
    <x v="1"/>
    <x v="3"/>
    <x v="0"/>
    <n v="1"/>
    <n v="2"/>
    <n v="2"/>
    <x v="1"/>
    <x v="0"/>
    <x v="2"/>
    <x v="64"/>
  </r>
  <r>
    <x v="1"/>
    <x v="3"/>
    <x v="0"/>
    <n v="1"/>
    <n v="5"/>
    <n v="5"/>
    <x v="2"/>
    <x v="0"/>
    <x v="0"/>
    <x v="46"/>
  </r>
  <r>
    <x v="1"/>
    <x v="3"/>
    <x v="0"/>
    <n v="1"/>
    <n v="3"/>
    <n v="5"/>
    <x v="3"/>
    <x v="0"/>
    <x v="4"/>
    <x v="65"/>
  </r>
  <r>
    <x v="1"/>
    <x v="3"/>
    <x v="5"/>
    <n v="1"/>
    <n v="4"/>
    <n v="4"/>
    <x v="2"/>
    <x v="0"/>
    <x v="0"/>
    <x v="34"/>
  </r>
  <r>
    <x v="1"/>
    <x v="3"/>
    <x v="4"/>
    <n v="1"/>
    <n v="4"/>
    <n v="3"/>
    <x v="3"/>
    <x v="4"/>
    <x v="2"/>
    <x v="6"/>
  </r>
  <r>
    <x v="1"/>
    <x v="3"/>
    <x v="1"/>
    <n v="1"/>
    <n v="3"/>
    <n v="3"/>
    <x v="1"/>
    <x v="4"/>
    <x v="4"/>
    <x v="14"/>
  </r>
  <r>
    <x v="0"/>
    <x v="3"/>
    <x v="0"/>
    <n v="1"/>
    <n v="3"/>
    <n v="3"/>
    <x v="1"/>
    <x v="3"/>
    <x v="2"/>
    <x v="6"/>
  </r>
  <r>
    <x v="1"/>
    <x v="3"/>
    <x v="4"/>
    <n v="1"/>
    <n v="4"/>
    <n v="3"/>
    <x v="2"/>
    <x v="4"/>
    <x v="5"/>
    <x v="8"/>
  </r>
  <r>
    <x v="0"/>
    <x v="3"/>
    <x v="2"/>
    <n v="0"/>
    <n v="2"/>
    <n v="4"/>
    <x v="1"/>
    <x v="1"/>
    <x v="1"/>
    <x v="11"/>
  </r>
  <r>
    <x v="1"/>
    <x v="3"/>
    <x v="4"/>
    <n v="1"/>
    <n v="4"/>
    <n v="4"/>
    <x v="2"/>
    <x v="0"/>
    <x v="2"/>
    <x v="11"/>
  </r>
  <r>
    <x v="1"/>
    <x v="3"/>
    <x v="3"/>
    <n v="1"/>
    <n v="4"/>
    <n v="6"/>
    <x v="3"/>
    <x v="2"/>
    <x v="2"/>
    <x v="66"/>
  </r>
  <r>
    <x v="0"/>
    <x v="3"/>
    <x v="3"/>
    <n v="1"/>
    <n v="2"/>
    <n v="2"/>
    <x v="1"/>
    <x v="0"/>
    <x v="2"/>
    <x v="21"/>
  </r>
  <r>
    <x v="1"/>
    <x v="3"/>
    <x v="3"/>
    <n v="1"/>
    <n v="5"/>
    <n v="6"/>
    <x v="3"/>
    <x v="3"/>
    <x v="4"/>
    <x v="18"/>
  </r>
  <r>
    <x v="1"/>
    <x v="3"/>
    <x v="4"/>
    <n v="1"/>
    <n v="4"/>
    <n v="5"/>
    <x v="0"/>
    <x v="4"/>
    <x v="3"/>
    <x v="67"/>
  </r>
  <r>
    <x v="0"/>
    <x v="3"/>
    <x v="3"/>
    <n v="1"/>
    <n v="5"/>
    <n v="4"/>
    <x v="3"/>
    <x v="0"/>
    <x v="0"/>
    <x v="21"/>
  </r>
  <r>
    <x v="0"/>
    <x v="3"/>
    <x v="0"/>
    <n v="1"/>
    <n v="4"/>
    <n v="4"/>
    <x v="3"/>
    <x v="3"/>
    <x v="0"/>
    <x v="14"/>
  </r>
  <r>
    <x v="1"/>
    <x v="3"/>
    <x v="3"/>
    <n v="1"/>
    <n v="1"/>
    <n v="3"/>
    <x v="1"/>
    <x v="0"/>
    <x v="0"/>
    <x v="68"/>
  </r>
  <r>
    <x v="1"/>
    <x v="3"/>
    <x v="4"/>
    <n v="1"/>
    <n v="3"/>
    <n v="5"/>
    <x v="2"/>
    <x v="4"/>
    <x v="3"/>
    <x v="14"/>
  </r>
  <r>
    <x v="0"/>
    <x v="3"/>
    <x v="1"/>
    <n v="1"/>
    <n v="4"/>
    <n v="3"/>
    <x v="1"/>
    <x v="0"/>
    <x v="2"/>
    <x v="61"/>
  </r>
  <r>
    <x v="0"/>
    <x v="3"/>
    <x v="3"/>
    <n v="1"/>
    <n v="4"/>
    <n v="5"/>
    <x v="3"/>
    <x v="0"/>
    <x v="0"/>
    <x v="69"/>
  </r>
  <r>
    <x v="0"/>
    <x v="3"/>
    <x v="3"/>
    <n v="1"/>
    <n v="3"/>
    <n v="2"/>
    <x v="2"/>
    <x v="4"/>
    <x v="0"/>
    <x v="23"/>
  </r>
  <r>
    <x v="1"/>
    <x v="3"/>
    <x v="3"/>
    <n v="1"/>
    <n v="4"/>
    <n v="4"/>
    <x v="2"/>
    <x v="4"/>
    <x v="3"/>
    <x v="7"/>
  </r>
  <r>
    <x v="0"/>
    <x v="3"/>
    <x v="3"/>
    <n v="1"/>
    <n v="3"/>
    <n v="4"/>
    <x v="2"/>
    <x v="0"/>
    <x v="0"/>
    <x v="8"/>
  </r>
  <r>
    <x v="0"/>
    <x v="3"/>
    <x v="2"/>
    <n v="0"/>
    <n v="5"/>
    <n v="4"/>
    <x v="2"/>
    <x v="1"/>
    <x v="1"/>
    <x v="8"/>
  </r>
  <r>
    <x v="0"/>
    <x v="3"/>
    <x v="1"/>
    <n v="1"/>
    <n v="2"/>
    <n v="5"/>
    <x v="1"/>
    <x v="0"/>
    <x v="2"/>
    <x v="11"/>
  </r>
  <r>
    <x v="1"/>
    <x v="3"/>
    <x v="3"/>
    <n v="1"/>
    <n v="4"/>
    <n v="5"/>
    <x v="2"/>
    <x v="0"/>
    <x v="4"/>
    <x v="38"/>
  </r>
  <r>
    <x v="1"/>
    <x v="3"/>
    <x v="4"/>
    <n v="1"/>
    <n v="3"/>
    <n v="5"/>
    <x v="3"/>
    <x v="2"/>
    <x v="2"/>
    <x v="10"/>
  </r>
  <r>
    <x v="1"/>
    <x v="3"/>
    <x v="4"/>
    <n v="1"/>
    <n v="4"/>
    <n v="3"/>
    <x v="2"/>
    <x v="4"/>
    <x v="4"/>
    <x v="21"/>
  </r>
  <r>
    <x v="0"/>
    <x v="3"/>
    <x v="4"/>
    <n v="1"/>
    <n v="4"/>
    <n v="3"/>
    <x v="2"/>
    <x v="3"/>
    <x v="2"/>
    <x v="6"/>
  </r>
  <r>
    <x v="0"/>
    <x v="3"/>
    <x v="1"/>
    <n v="1"/>
    <n v="5"/>
    <n v="4"/>
    <x v="3"/>
    <x v="3"/>
    <x v="0"/>
    <x v="12"/>
  </r>
  <r>
    <x v="0"/>
    <x v="3"/>
    <x v="3"/>
    <n v="1"/>
    <n v="4"/>
    <n v="4"/>
    <x v="2"/>
    <x v="0"/>
    <x v="0"/>
    <x v="10"/>
  </r>
  <r>
    <x v="1"/>
    <x v="3"/>
    <x v="3"/>
    <n v="1"/>
    <n v="5"/>
    <n v="5"/>
    <x v="3"/>
    <x v="4"/>
    <x v="4"/>
    <x v="44"/>
  </r>
  <r>
    <x v="1"/>
    <x v="3"/>
    <x v="3"/>
    <n v="1"/>
    <n v="4"/>
    <n v="4"/>
    <x v="3"/>
    <x v="3"/>
    <x v="2"/>
    <x v="5"/>
  </r>
  <r>
    <x v="0"/>
    <x v="3"/>
    <x v="3"/>
    <n v="1"/>
    <n v="4"/>
    <n v="5"/>
    <x v="3"/>
    <x v="3"/>
    <x v="0"/>
    <x v="70"/>
  </r>
  <r>
    <x v="1"/>
    <x v="3"/>
    <x v="3"/>
    <n v="1"/>
    <n v="3"/>
    <n v="3"/>
    <x v="3"/>
    <x v="0"/>
    <x v="0"/>
    <x v="8"/>
  </r>
  <r>
    <x v="1"/>
    <x v="3"/>
    <x v="1"/>
    <n v="1"/>
    <n v="2"/>
    <n v="4"/>
    <x v="3"/>
    <x v="2"/>
    <x v="2"/>
    <x v="71"/>
  </r>
  <r>
    <x v="1"/>
    <x v="3"/>
    <x v="3"/>
    <n v="1"/>
    <n v="4"/>
    <n v="4"/>
    <x v="2"/>
    <x v="3"/>
    <x v="2"/>
    <x v="21"/>
  </r>
  <r>
    <x v="1"/>
    <x v="3"/>
    <x v="3"/>
    <n v="1"/>
    <n v="6"/>
    <n v="6"/>
    <x v="3"/>
    <x v="0"/>
    <x v="2"/>
    <x v="65"/>
  </r>
  <r>
    <x v="1"/>
    <x v="3"/>
    <x v="3"/>
    <n v="1"/>
    <n v="4"/>
    <n v="3"/>
    <x v="2"/>
    <x v="4"/>
    <x v="2"/>
    <x v="27"/>
  </r>
  <r>
    <x v="1"/>
    <x v="3"/>
    <x v="1"/>
    <n v="1"/>
    <n v="3"/>
    <n v="5"/>
    <x v="2"/>
    <x v="0"/>
    <x v="2"/>
    <x v="27"/>
  </r>
  <r>
    <x v="1"/>
    <x v="3"/>
    <x v="4"/>
    <n v="1"/>
    <n v="5"/>
    <n v="5"/>
    <x v="2"/>
    <x v="2"/>
    <x v="5"/>
    <x v="2"/>
  </r>
  <r>
    <x v="1"/>
    <x v="3"/>
    <x v="4"/>
    <n v="1"/>
    <n v="4"/>
    <n v="4"/>
    <x v="2"/>
    <x v="4"/>
    <x v="5"/>
    <x v="11"/>
  </r>
  <r>
    <x v="0"/>
    <x v="3"/>
    <x v="2"/>
    <n v="0"/>
    <n v="4"/>
    <n v="4"/>
    <x v="1"/>
    <x v="1"/>
    <x v="1"/>
    <x v="37"/>
  </r>
  <r>
    <x v="1"/>
    <x v="3"/>
    <x v="3"/>
    <n v="1"/>
    <n v="4"/>
    <n v="4"/>
    <x v="2"/>
    <x v="0"/>
    <x v="0"/>
    <x v="72"/>
  </r>
  <r>
    <x v="0"/>
    <x v="3"/>
    <x v="5"/>
    <n v="1"/>
    <n v="4"/>
    <n v="4"/>
    <x v="2"/>
    <x v="3"/>
    <x v="2"/>
    <x v="11"/>
  </r>
  <r>
    <x v="0"/>
    <x v="3"/>
    <x v="2"/>
    <n v="0"/>
    <n v="3"/>
    <n v="3"/>
    <x v="1"/>
    <x v="1"/>
    <x v="1"/>
    <x v="5"/>
  </r>
  <r>
    <x v="1"/>
    <x v="3"/>
    <x v="5"/>
    <n v="1"/>
    <n v="4"/>
    <n v="5"/>
    <x v="3"/>
    <x v="2"/>
    <x v="2"/>
    <x v="21"/>
  </r>
  <r>
    <x v="0"/>
    <x v="3"/>
    <x v="2"/>
    <n v="0"/>
    <n v="4"/>
    <n v="5"/>
    <x v="3"/>
    <x v="1"/>
    <x v="1"/>
    <x v="36"/>
  </r>
  <r>
    <x v="1"/>
    <x v="3"/>
    <x v="4"/>
    <n v="1"/>
    <n v="4"/>
    <n v="5"/>
    <x v="3"/>
    <x v="2"/>
    <x v="2"/>
    <x v="73"/>
  </r>
  <r>
    <x v="0"/>
    <x v="3"/>
    <x v="2"/>
    <n v="0"/>
    <n v="4"/>
    <n v="4"/>
    <x v="2"/>
    <x v="1"/>
    <x v="1"/>
    <x v="4"/>
  </r>
  <r>
    <x v="1"/>
    <x v="3"/>
    <x v="1"/>
    <n v="1"/>
    <n v="4"/>
    <n v="3"/>
    <x v="0"/>
    <x v="4"/>
    <x v="0"/>
    <x v="2"/>
  </r>
  <r>
    <x v="0"/>
    <x v="3"/>
    <x v="1"/>
    <n v="1"/>
    <n v="4"/>
    <n v="2"/>
    <x v="1"/>
    <x v="0"/>
    <x v="2"/>
    <x v="37"/>
  </r>
  <r>
    <x v="1"/>
    <x v="3"/>
    <x v="4"/>
    <n v="1"/>
    <n v="5"/>
    <n v="5"/>
    <x v="2"/>
    <x v="2"/>
    <x v="0"/>
    <x v="37"/>
  </r>
  <r>
    <x v="1"/>
    <x v="3"/>
    <x v="4"/>
    <n v="1"/>
    <n v="3"/>
    <n v="3"/>
    <x v="2"/>
    <x v="0"/>
    <x v="2"/>
    <x v="34"/>
  </r>
  <r>
    <x v="0"/>
    <x v="3"/>
    <x v="3"/>
    <n v="1"/>
    <n v="4"/>
    <n v="2"/>
    <x v="2"/>
    <x v="3"/>
    <x v="5"/>
    <x v="2"/>
  </r>
  <r>
    <x v="0"/>
    <x v="3"/>
    <x v="2"/>
    <n v="0"/>
    <n v="2"/>
    <n v="4"/>
    <x v="3"/>
    <x v="1"/>
    <x v="1"/>
    <x v="21"/>
  </r>
  <r>
    <x v="0"/>
    <x v="3"/>
    <x v="1"/>
    <n v="1"/>
    <n v="4"/>
    <n v="5"/>
    <x v="3"/>
    <x v="0"/>
    <x v="2"/>
    <x v="30"/>
  </r>
  <r>
    <x v="1"/>
    <x v="3"/>
    <x v="1"/>
    <n v="1"/>
    <n v="2"/>
    <n v="2"/>
    <x v="3"/>
    <x v="2"/>
    <x v="2"/>
    <x v="7"/>
  </r>
  <r>
    <x v="1"/>
    <x v="3"/>
    <x v="4"/>
    <n v="1"/>
    <n v="4"/>
    <n v="4"/>
    <x v="2"/>
    <x v="0"/>
    <x v="4"/>
    <x v="74"/>
  </r>
  <r>
    <x v="0"/>
    <x v="3"/>
    <x v="1"/>
    <n v="1"/>
    <n v="3"/>
    <n v="3"/>
    <x v="2"/>
    <x v="0"/>
    <x v="0"/>
    <x v="75"/>
  </r>
  <r>
    <x v="0"/>
    <x v="3"/>
    <x v="2"/>
    <n v="0"/>
    <n v="4"/>
    <n v="4"/>
    <x v="0"/>
    <x v="1"/>
    <x v="1"/>
    <x v="46"/>
  </r>
  <r>
    <x v="0"/>
    <x v="3"/>
    <x v="2"/>
    <n v="0"/>
    <n v="4"/>
    <n v="4"/>
    <x v="1"/>
    <x v="1"/>
    <x v="1"/>
    <x v="14"/>
  </r>
  <r>
    <x v="1"/>
    <x v="3"/>
    <x v="4"/>
    <n v="1"/>
    <n v="2"/>
    <n v="4"/>
    <x v="2"/>
    <x v="2"/>
    <x v="4"/>
    <x v="6"/>
  </r>
  <r>
    <x v="1"/>
    <x v="3"/>
    <x v="5"/>
    <n v="1"/>
    <n v="3"/>
    <n v="5"/>
    <x v="2"/>
    <x v="0"/>
    <x v="0"/>
    <x v="64"/>
  </r>
  <r>
    <x v="1"/>
    <x v="3"/>
    <x v="3"/>
    <n v="1"/>
    <n v="4"/>
    <n v="5"/>
    <x v="2"/>
    <x v="0"/>
    <x v="2"/>
    <x v="2"/>
  </r>
  <r>
    <x v="0"/>
    <x v="3"/>
    <x v="2"/>
    <n v="0"/>
    <n v="4"/>
    <n v="4"/>
    <x v="3"/>
    <x v="1"/>
    <x v="1"/>
    <x v="76"/>
  </r>
  <r>
    <x v="0"/>
    <x v="3"/>
    <x v="2"/>
    <n v="0"/>
    <n v="4"/>
    <n v="4"/>
    <x v="2"/>
    <x v="1"/>
    <x v="1"/>
    <x v="21"/>
  </r>
  <r>
    <x v="0"/>
    <x v="3"/>
    <x v="2"/>
    <n v="0"/>
    <n v="4"/>
    <n v="4"/>
    <x v="2"/>
    <x v="1"/>
    <x v="1"/>
    <x v="26"/>
  </r>
  <r>
    <x v="1"/>
    <x v="3"/>
    <x v="5"/>
    <n v="1"/>
    <n v="3"/>
    <n v="3"/>
    <x v="3"/>
    <x v="4"/>
    <x v="2"/>
    <x v="4"/>
  </r>
  <r>
    <x v="0"/>
    <x v="3"/>
    <x v="3"/>
    <n v="1"/>
    <n v="4"/>
    <n v="6"/>
    <x v="2"/>
    <x v="0"/>
    <x v="0"/>
    <x v="8"/>
  </r>
  <r>
    <x v="0"/>
    <x v="3"/>
    <x v="0"/>
    <n v="1"/>
    <n v="3"/>
    <n v="4"/>
    <x v="1"/>
    <x v="3"/>
    <x v="0"/>
    <x v="4"/>
  </r>
  <r>
    <x v="0"/>
    <x v="3"/>
    <x v="2"/>
    <n v="0"/>
    <n v="2"/>
    <n v="3"/>
    <x v="1"/>
    <x v="1"/>
    <x v="1"/>
    <x v="14"/>
  </r>
  <r>
    <x v="1"/>
    <x v="3"/>
    <x v="1"/>
    <n v="1"/>
    <n v="1"/>
    <n v="3"/>
    <x v="2"/>
    <x v="3"/>
    <x v="2"/>
    <x v="77"/>
  </r>
  <r>
    <x v="0"/>
    <x v="3"/>
    <x v="2"/>
    <n v="0"/>
    <n v="3"/>
    <n v="5"/>
    <x v="2"/>
    <x v="1"/>
    <x v="1"/>
    <x v="4"/>
  </r>
  <r>
    <x v="1"/>
    <x v="3"/>
    <x v="1"/>
    <n v="1"/>
    <n v="4"/>
    <n v="4"/>
    <x v="2"/>
    <x v="0"/>
    <x v="4"/>
    <x v="4"/>
  </r>
  <r>
    <x v="0"/>
    <x v="3"/>
    <x v="3"/>
    <n v="1"/>
    <n v="3"/>
    <n v="3"/>
    <x v="2"/>
    <x v="3"/>
    <x v="2"/>
    <x v="15"/>
  </r>
  <r>
    <x v="0"/>
    <x v="3"/>
    <x v="4"/>
    <n v="1"/>
    <n v="3"/>
    <n v="3"/>
    <x v="2"/>
    <x v="3"/>
    <x v="4"/>
    <x v="14"/>
  </r>
  <r>
    <x v="0"/>
    <x v="3"/>
    <x v="1"/>
    <n v="1"/>
    <n v="5"/>
    <n v="4"/>
    <x v="3"/>
    <x v="3"/>
    <x v="0"/>
    <x v="21"/>
  </r>
  <r>
    <x v="1"/>
    <x v="3"/>
    <x v="1"/>
    <n v="1"/>
    <n v="3"/>
    <n v="2"/>
    <x v="2"/>
    <x v="0"/>
    <x v="2"/>
    <x v="5"/>
  </r>
  <r>
    <x v="1"/>
    <x v="3"/>
    <x v="4"/>
    <n v="1"/>
    <n v="5"/>
    <n v="5"/>
    <x v="3"/>
    <x v="0"/>
    <x v="2"/>
    <x v="30"/>
  </r>
  <r>
    <x v="1"/>
    <x v="3"/>
    <x v="3"/>
    <n v="1"/>
    <n v="4"/>
    <n v="4"/>
    <x v="0"/>
    <x v="4"/>
    <x v="5"/>
    <x v="10"/>
  </r>
  <r>
    <x v="1"/>
    <x v="3"/>
    <x v="3"/>
    <n v="1"/>
    <n v="5"/>
    <n v="5"/>
    <x v="0"/>
    <x v="2"/>
    <x v="2"/>
    <x v="10"/>
  </r>
  <r>
    <x v="1"/>
    <x v="3"/>
    <x v="2"/>
    <n v="0"/>
    <n v="4"/>
    <n v="5"/>
    <x v="2"/>
    <x v="1"/>
    <x v="1"/>
    <x v="78"/>
  </r>
  <r>
    <x v="1"/>
    <x v="3"/>
    <x v="1"/>
    <n v="1"/>
    <n v="4"/>
    <n v="5"/>
    <x v="1"/>
    <x v="4"/>
    <x v="4"/>
    <x v="4"/>
  </r>
  <r>
    <x v="1"/>
    <x v="3"/>
    <x v="4"/>
    <n v="1"/>
    <n v="3"/>
    <n v="4"/>
    <x v="2"/>
    <x v="4"/>
    <x v="4"/>
    <x v="15"/>
  </r>
  <r>
    <x v="1"/>
    <x v="3"/>
    <x v="1"/>
    <n v="1"/>
    <n v="4"/>
    <n v="4"/>
    <x v="3"/>
    <x v="0"/>
    <x v="4"/>
    <x v="3"/>
  </r>
  <r>
    <x v="0"/>
    <x v="3"/>
    <x v="2"/>
    <n v="0"/>
    <n v="5"/>
    <n v="4"/>
    <x v="2"/>
    <x v="1"/>
    <x v="1"/>
    <x v="79"/>
  </r>
  <r>
    <x v="1"/>
    <x v="3"/>
    <x v="3"/>
    <n v="1"/>
    <n v="4"/>
    <n v="3"/>
    <x v="2"/>
    <x v="0"/>
    <x v="0"/>
    <x v="7"/>
  </r>
  <r>
    <x v="1"/>
    <x v="3"/>
    <x v="4"/>
    <n v="1"/>
    <n v="3"/>
    <n v="5"/>
    <x v="2"/>
    <x v="4"/>
    <x v="5"/>
    <x v="34"/>
  </r>
  <r>
    <x v="0"/>
    <x v="3"/>
    <x v="2"/>
    <n v="0"/>
    <n v="4"/>
    <n v="5"/>
    <x v="2"/>
    <x v="1"/>
    <x v="1"/>
    <x v="19"/>
  </r>
  <r>
    <x v="1"/>
    <x v="3"/>
    <x v="1"/>
    <n v="1"/>
    <n v="4"/>
    <n v="4"/>
    <x v="3"/>
    <x v="3"/>
    <x v="2"/>
    <x v="43"/>
  </r>
  <r>
    <x v="0"/>
    <x v="3"/>
    <x v="2"/>
    <n v="0"/>
    <n v="3"/>
    <n v="4"/>
    <x v="2"/>
    <x v="1"/>
    <x v="1"/>
    <x v="21"/>
  </r>
  <r>
    <x v="0"/>
    <x v="3"/>
    <x v="2"/>
    <n v="0"/>
    <n v="6"/>
    <n v="6"/>
    <x v="0"/>
    <x v="1"/>
    <x v="1"/>
    <x v="8"/>
  </r>
  <r>
    <x v="1"/>
    <x v="3"/>
    <x v="1"/>
    <n v="1"/>
    <n v="3"/>
    <n v="3"/>
    <x v="2"/>
    <x v="2"/>
    <x v="4"/>
    <x v="15"/>
  </r>
  <r>
    <x v="1"/>
    <x v="3"/>
    <x v="1"/>
    <n v="1"/>
    <n v="3"/>
    <n v="4"/>
    <x v="2"/>
    <x v="0"/>
    <x v="2"/>
    <x v="15"/>
  </r>
  <r>
    <x v="1"/>
    <x v="4"/>
    <x v="4"/>
    <n v="1"/>
    <n v="4"/>
    <n v="5"/>
    <x v="3"/>
    <x v="4"/>
    <x v="4"/>
    <x v="20"/>
  </r>
  <r>
    <x v="0"/>
    <x v="4"/>
    <x v="3"/>
    <n v="1"/>
    <n v="3"/>
    <n v="5"/>
    <x v="0"/>
    <x v="3"/>
    <x v="2"/>
    <x v="20"/>
  </r>
  <r>
    <x v="1"/>
    <x v="4"/>
    <x v="5"/>
    <n v="1"/>
    <n v="2"/>
    <n v="4"/>
    <x v="3"/>
    <x v="3"/>
    <x v="2"/>
    <x v="20"/>
  </r>
  <r>
    <x v="1"/>
    <x v="4"/>
    <x v="5"/>
    <n v="1"/>
    <n v="4"/>
    <n v="2"/>
    <x v="0"/>
    <x v="3"/>
    <x v="4"/>
    <x v="20"/>
  </r>
  <r>
    <x v="1"/>
    <x v="4"/>
    <x v="5"/>
    <n v="1"/>
    <n v="4"/>
    <n v="4"/>
    <x v="2"/>
    <x v="2"/>
    <x v="0"/>
    <x v="80"/>
  </r>
  <r>
    <x v="0"/>
    <x v="4"/>
    <x v="2"/>
    <n v="0"/>
    <n v="4"/>
    <n v="3"/>
    <x v="3"/>
    <x v="1"/>
    <x v="1"/>
    <x v="20"/>
  </r>
  <r>
    <x v="1"/>
    <x v="4"/>
    <x v="4"/>
    <n v="1"/>
    <n v="3"/>
    <n v="4"/>
    <x v="1"/>
    <x v="4"/>
    <x v="3"/>
    <x v="2"/>
  </r>
  <r>
    <x v="1"/>
    <x v="4"/>
    <x v="4"/>
    <n v="1"/>
    <n v="3"/>
    <n v="5"/>
    <x v="2"/>
    <x v="3"/>
    <x v="2"/>
    <x v="4"/>
  </r>
  <r>
    <x v="0"/>
    <x v="4"/>
    <x v="3"/>
    <n v="1"/>
    <n v="6"/>
    <n v="6"/>
    <x v="0"/>
    <x v="0"/>
    <x v="0"/>
    <x v="20"/>
  </r>
  <r>
    <x v="0"/>
    <x v="4"/>
    <x v="1"/>
    <n v="1"/>
    <n v="3"/>
    <n v="5"/>
    <x v="3"/>
    <x v="0"/>
    <x v="0"/>
    <x v="20"/>
  </r>
  <r>
    <x v="0"/>
    <x v="4"/>
    <x v="1"/>
    <n v="1"/>
    <n v="4"/>
    <n v="4"/>
    <x v="0"/>
    <x v="3"/>
    <x v="4"/>
    <x v="20"/>
  </r>
  <r>
    <x v="1"/>
    <x v="4"/>
    <x v="3"/>
    <n v="1"/>
    <n v="3"/>
    <n v="4"/>
    <x v="3"/>
    <x v="3"/>
    <x v="4"/>
    <x v="4"/>
  </r>
  <r>
    <x v="1"/>
    <x v="4"/>
    <x v="5"/>
    <n v="1"/>
    <n v="4"/>
    <n v="4"/>
    <x v="0"/>
    <x v="2"/>
    <x v="0"/>
    <x v="8"/>
  </r>
  <r>
    <x v="1"/>
    <x v="4"/>
    <x v="2"/>
    <n v="0"/>
    <n v="5"/>
    <n v="4"/>
    <x v="3"/>
    <x v="1"/>
    <x v="1"/>
    <x v="4"/>
  </r>
  <r>
    <x v="1"/>
    <x v="4"/>
    <x v="4"/>
    <n v="1"/>
    <n v="4"/>
    <n v="4"/>
    <x v="3"/>
    <x v="4"/>
    <x v="5"/>
    <x v="20"/>
  </r>
  <r>
    <x v="0"/>
    <x v="4"/>
    <x v="0"/>
    <n v="1"/>
    <n v="3"/>
    <n v="5"/>
    <x v="0"/>
    <x v="4"/>
    <x v="4"/>
    <x v="2"/>
  </r>
  <r>
    <x v="0"/>
    <x v="4"/>
    <x v="2"/>
    <n v="0"/>
    <n v="4"/>
    <n v="4"/>
    <x v="0"/>
    <x v="1"/>
    <x v="1"/>
    <x v="8"/>
  </r>
  <r>
    <x v="0"/>
    <x v="4"/>
    <x v="1"/>
    <n v="1"/>
    <n v="3"/>
    <n v="3"/>
    <x v="2"/>
    <x v="2"/>
    <x v="2"/>
    <x v="20"/>
  </r>
  <r>
    <x v="0"/>
    <x v="4"/>
    <x v="0"/>
    <n v="1"/>
    <n v="4"/>
    <n v="4"/>
    <x v="3"/>
    <x v="0"/>
    <x v="0"/>
    <x v="72"/>
  </r>
  <r>
    <x v="0"/>
    <x v="4"/>
    <x v="5"/>
    <n v="1"/>
    <n v="4"/>
    <n v="4"/>
    <x v="3"/>
    <x v="3"/>
    <x v="4"/>
    <x v="4"/>
  </r>
  <r>
    <x v="0"/>
    <x v="4"/>
    <x v="2"/>
    <n v="0"/>
    <n v="4"/>
    <n v="5"/>
    <x v="2"/>
    <x v="1"/>
    <x v="1"/>
    <x v="20"/>
  </r>
  <r>
    <x v="0"/>
    <x v="4"/>
    <x v="2"/>
    <n v="0"/>
    <n v="4"/>
    <n v="4"/>
    <x v="2"/>
    <x v="1"/>
    <x v="1"/>
    <x v="20"/>
  </r>
  <r>
    <x v="1"/>
    <x v="4"/>
    <x v="2"/>
    <n v="0"/>
    <n v="5"/>
    <n v="6"/>
    <x v="3"/>
    <x v="1"/>
    <x v="1"/>
    <x v="12"/>
  </r>
  <r>
    <x v="0"/>
    <x v="4"/>
    <x v="3"/>
    <n v="1"/>
    <n v="5"/>
    <n v="6"/>
    <x v="0"/>
    <x v="2"/>
    <x v="2"/>
    <x v="20"/>
  </r>
  <r>
    <x v="1"/>
    <x v="4"/>
    <x v="4"/>
    <n v="1"/>
    <n v="3"/>
    <n v="4"/>
    <x v="2"/>
    <x v="2"/>
    <x v="5"/>
    <x v="26"/>
  </r>
  <r>
    <x v="1"/>
    <x v="4"/>
    <x v="5"/>
    <n v="1"/>
    <n v="4"/>
    <n v="5"/>
    <x v="2"/>
    <x v="4"/>
    <x v="2"/>
    <x v="8"/>
  </r>
  <r>
    <x v="0"/>
    <x v="4"/>
    <x v="1"/>
    <n v="1"/>
    <n v="4"/>
    <n v="4"/>
    <x v="3"/>
    <x v="2"/>
    <x v="0"/>
    <x v="4"/>
  </r>
  <r>
    <x v="0"/>
    <x v="4"/>
    <x v="3"/>
    <n v="1"/>
    <n v="4"/>
    <n v="5"/>
    <x v="0"/>
    <x v="0"/>
    <x v="2"/>
    <x v="4"/>
  </r>
  <r>
    <x v="0"/>
    <x v="4"/>
    <x v="2"/>
    <n v="0"/>
    <n v="4"/>
    <n v="5"/>
    <x v="2"/>
    <x v="1"/>
    <x v="1"/>
    <x v="20"/>
  </r>
  <r>
    <x v="1"/>
    <x v="4"/>
    <x v="1"/>
    <n v="1"/>
    <n v="5"/>
    <n v="5"/>
    <x v="2"/>
    <x v="0"/>
    <x v="2"/>
    <x v="33"/>
  </r>
  <r>
    <x v="1"/>
    <x v="4"/>
    <x v="1"/>
    <n v="1"/>
    <n v="4"/>
    <n v="4"/>
    <x v="0"/>
    <x v="2"/>
    <x v="2"/>
    <x v="4"/>
  </r>
  <r>
    <x v="0"/>
    <x v="5"/>
    <x v="3"/>
    <n v="1"/>
    <n v="4"/>
    <n v="4"/>
    <x v="0"/>
    <x v="0"/>
    <x v="2"/>
    <x v="20"/>
  </r>
  <r>
    <x v="1"/>
    <x v="5"/>
    <x v="4"/>
    <n v="1"/>
    <n v="5"/>
    <n v="5"/>
    <x v="0"/>
    <x v="3"/>
    <x v="2"/>
    <x v="20"/>
  </r>
  <r>
    <x v="1"/>
    <x v="5"/>
    <x v="5"/>
    <n v="1"/>
    <n v="2"/>
    <n v="2"/>
    <x v="0"/>
    <x v="0"/>
    <x v="0"/>
    <x v="20"/>
  </r>
  <r>
    <x v="1"/>
    <x v="5"/>
    <x v="3"/>
    <n v="1"/>
    <n v="3"/>
    <n v="3"/>
    <x v="0"/>
    <x v="4"/>
    <x v="3"/>
    <x v="4"/>
  </r>
  <r>
    <x v="1"/>
    <x v="5"/>
    <x v="2"/>
    <n v="0"/>
    <n v="4"/>
    <n v="2"/>
    <x v="3"/>
    <x v="1"/>
    <x v="1"/>
    <x v="20"/>
  </r>
  <r>
    <x v="0"/>
    <x v="5"/>
    <x v="1"/>
    <n v="1"/>
    <n v="3"/>
    <n v="3"/>
    <x v="2"/>
    <x v="3"/>
    <x v="0"/>
    <x v="21"/>
  </r>
  <r>
    <x v="1"/>
    <x v="5"/>
    <x v="3"/>
    <n v="1"/>
    <n v="2"/>
    <n v="2"/>
    <x v="0"/>
    <x v="3"/>
    <x v="2"/>
    <x v="20"/>
  </r>
  <r>
    <x v="1"/>
    <x v="5"/>
    <x v="3"/>
    <n v="1"/>
    <n v="6"/>
    <n v="0"/>
    <x v="0"/>
    <x v="2"/>
    <x v="4"/>
    <x v="20"/>
  </r>
  <r>
    <x v="1"/>
    <x v="5"/>
    <x v="4"/>
    <n v="1"/>
    <n v="4"/>
    <n v="4"/>
    <x v="1"/>
    <x v="4"/>
    <x v="5"/>
    <x v="20"/>
  </r>
  <r>
    <x v="0"/>
    <x v="5"/>
    <x v="2"/>
    <n v="0"/>
    <n v="5"/>
    <n v="4"/>
    <x v="3"/>
    <x v="1"/>
    <x v="1"/>
    <x v="20"/>
  </r>
  <r>
    <x v="1"/>
    <x v="5"/>
    <x v="1"/>
    <n v="1"/>
    <n v="4"/>
    <n v="6"/>
    <x v="0"/>
    <x v="4"/>
    <x v="4"/>
    <x v="20"/>
  </r>
  <r>
    <x v="1"/>
    <x v="5"/>
    <x v="0"/>
    <n v="1"/>
    <n v="6"/>
    <n v="6"/>
    <x v="3"/>
    <x v="2"/>
    <x v="4"/>
    <x v="20"/>
  </r>
  <r>
    <x v="1"/>
    <x v="5"/>
    <x v="3"/>
    <n v="1"/>
    <n v="4"/>
    <n v="4"/>
    <x v="0"/>
    <x v="4"/>
    <x v="3"/>
    <x v="14"/>
  </r>
  <r>
    <x v="1"/>
    <x v="5"/>
    <x v="3"/>
    <n v="1"/>
    <n v="5"/>
    <n v="6"/>
    <x v="3"/>
    <x v="2"/>
    <x v="2"/>
    <x v="20"/>
  </r>
  <r>
    <x v="1"/>
    <x v="5"/>
    <x v="2"/>
    <n v="0"/>
    <n v="3"/>
    <n v="5"/>
    <x v="3"/>
    <x v="1"/>
    <x v="1"/>
    <x v="20"/>
  </r>
  <r>
    <x v="0"/>
    <x v="5"/>
    <x v="2"/>
    <n v="0"/>
    <n v="4"/>
    <n v="5"/>
    <x v="3"/>
    <x v="1"/>
    <x v="1"/>
    <x v="20"/>
  </r>
  <r>
    <x v="1"/>
    <x v="5"/>
    <x v="0"/>
    <n v="1"/>
    <n v="6"/>
    <n v="6"/>
    <x v="0"/>
    <x v="2"/>
    <x v="2"/>
    <x v="20"/>
  </r>
  <r>
    <x v="1"/>
    <x v="5"/>
    <x v="3"/>
    <n v="1"/>
    <n v="5"/>
    <n v="6"/>
    <x v="0"/>
    <x v="0"/>
    <x v="2"/>
    <x v="20"/>
  </r>
  <r>
    <x v="1"/>
    <x v="5"/>
    <x v="4"/>
    <n v="1"/>
    <n v="5"/>
    <n v="5"/>
    <x v="3"/>
    <x v="2"/>
    <x v="4"/>
    <x v="20"/>
  </r>
  <r>
    <x v="0"/>
    <x v="5"/>
    <x v="2"/>
    <n v="0"/>
    <n v="5"/>
    <n v="6"/>
    <x v="0"/>
    <x v="1"/>
    <x v="1"/>
    <x v="8"/>
  </r>
  <r>
    <x v="1"/>
    <x v="5"/>
    <x v="3"/>
    <n v="1"/>
    <n v="4"/>
    <n v="4"/>
    <x v="2"/>
    <x v="2"/>
    <x v="2"/>
    <x v="20"/>
  </r>
  <r>
    <x v="0"/>
    <x v="6"/>
    <x v="2"/>
    <n v="0"/>
    <n v="4"/>
    <n v="4"/>
    <x v="4"/>
    <x v="1"/>
    <x v="1"/>
    <x v="10"/>
  </r>
  <r>
    <x v="1"/>
    <x v="6"/>
    <x v="0"/>
    <n v="1"/>
    <n v="3"/>
    <n v="5"/>
    <x v="4"/>
    <x v="0"/>
    <x v="0"/>
    <x v="20"/>
  </r>
  <r>
    <x v="0"/>
    <x v="6"/>
    <x v="0"/>
    <n v="1"/>
    <n v="5"/>
    <n v="5"/>
    <x v="4"/>
    <x v="2"/>
    <x v="0"/>
    <x v="20"/>
  </r>
  <r>
    <x v="0"/>
    <x v="6"/>
    <x v="0"/>
    <n v="1"/>
    <n v="3"/>
    <n v="4"/>
    <x v="4"/>
    <x v="2"/>
    <x v="2"/>
    <x v="4"/>
  </r>
  <r>
    <x v="1"/>
    <x v="6"/>
    <x v="3"/>
    <n v="1"/>
    <n v="5"/>
    <n v="4"/>
    <x v="4"/>
    <x v="3"/>
    <x v="0"/>
    <x v="8"/>
  </r>
  <r>
    <x v="0"/>
    <x v="6"/>
    <x v="2"/>
    <n v="0"/>
    <n v="4"/>
    <n v="4"/>
    <x v="4"/>
    <x v="1"/>
    <x v="1"/>
    <x v="20"/>
  </r>
  <r>
    <x v="0"/>
    <x v="6"/>
    <x v="2"/>
    <n v="0"/>
    <n v="4"/>
    <n v="5"/>
    <x v="4"/>
    <x v="1"/>
    <x v="1"/>
    <x v="8"/>
  </r>
  <r>
    <x v="1"/>
    <x v="6"/>
    <x v="2"/>
    <n v="0"/>
    <n v="5"/>
    <n v="5"/>
    <x v="4"/>
    <x v="1"/>
    <x v="1"/>
    <x v="20"/>
  </r>
  <r>
    <x v="1"/>
    <x v="6"/>
    <x v="3"/>
    <n v="1"/>
    <n v="5"/>
    <n v="5"/>
    <x v="4"/>
    <x v="0"/>
    <x v="0"/>
    <x v="20"/>
  </r>
  <r>
    <x v="1"/>
    <x v="6"/>
    <x v="3"/>
    <n v="1"/>
    <n v="4"/>
    <n v="4"/>
    <x v="4"/>
    <x v="0"/>
    <x v="0"/>
    <x v="36"/>
  </r>
  <r>
    <x v="0"/>
    <x v="6"/>
    <x v="0"/>
    <n v="1"/>
    <n v="5"/>
    <n v="5"/>
    <x v="4"/>
    <x v="2"/>
    <x v="0"/>
    <x v="8"/>
  </r>
  <r>
    <x v="1"/>
    <x v="6"/>
    <x v="3"/>
    <n v="1"/>
    <n v="3"/>
    <n v="3"/>
    <x v="4"/>
    <x v="2"/>
    <x v="4"/>
    <x v="8"/>
  </r>
  <r>
    <x v="1"/>
    <x v="6"/>
    <x v="3"/>
    <n v="1"/>
    <n v="5"/>
    <n v="5"/>
    <x v="4"/>
    <x v="2"/>
    <x v="0"/>
    <x v="20"/>
  </r>
  <r>
    <x v="1"/>
    <x v="6"/>
    <x v="5"/>
    <n v="1"/>
    <n v="5"/>
    <n v="5"/>
    <x v="4"/>
    <x v="2"/>
    <x v="4"/>
    <x v="20"/>
  </r>
  <r>
    <x v="0"/>
    <x v="6"/>
    <x v="0"/>
    <n v="1"/>
    <n v="4"/>
    <n v="4"/>
    <x v="4"/>
    <x v="0"/>
    <x v="2"/>
    <x v="10"/>
  </r>
  <r>
    <x v="1"/>
    <x v="6"/>
    <x v="0"/>
    <n v="1"/>
    <n v="5"/>
    <n v="5"/>
    <x v="4"/>
    <x v="3"/>
    <x v="0"/>
    <x v="20"/>
  </r>
  <r>
    <x v="1"/>
    <x v="6"/>
    <x v="0"/>
    <n v="1"/>
    <n v="3"/>
    <n v="3"/>
    <x v="4"/>
    <x v="2"/>
    <x v="4"/>
    <x v="20"/>
  </r>
  <r>
    <x v="0"/>
    <x v="6"/>
    <x v="2"/>
    <n v="0"/>
    <n v="4"/>
    <n v="5"/>
    <x v="4"/>
    <x v="1"/>
    <x v="1"/>
    <x v="20"/>
  </r>
  <r>
    <x v="0"/>
    <x v="6"/>
    <x v="2"/>
    <n v="0"/>
    <n v="6"/>
    <n v="6"/>
    <x v="4"/>
    <x v="1"/>
    <x v="1"/>
    <x v="20"/>
  </r>
  <r>
    <x v="0"/>
    <x v="6"/>
    <x v="3"/>
    <n v="1"/>
    <n v="5"/>
    <n v="4"/>
    <x v="4"/>
    <x v="3"/>
    <x v="4"/>
    <x v="20"/>
  </r>
  <r>
    <x v="1"/>
    <x v="6"/>
    <x v="5"/>
    <n v="1"/>
    <n v="6"/>
    <n v="6"/>
    <x v="4"/>
    <x v="0"/>
    <x v="0"/>
    <x v="20"/>
  </r>
  <r>
    <x v="1"/>
    <x v="6"/>
    <x v="1"/>
    <n v="1"/>
    <n v="4"/>
    <n v="5"/>
    <x v="4"/>
    <x v="3"/>
    <x v="2"/>
    <x v="8"/>
  </r>
  <r>
    <x v="1"/>
    <x v="6"/>
    <x v="5"/>
    <n v="1"/>
    <n v="5"/>
    <n v="5"/>
    <x v="4"/>
    <x v="3"/>
    <x v="4"/>
    <x v="20"/>
  </r>
  <r>
    <x v="1"/>
    <x v="6"/>
    <x v="1"/>
    <n v="1"/>
    <n v="2"/>
    <n v="4"/>
    <x v="4"/>
    <x v="3"/>
    <x v="4"/>
    <x v="4"/>
  </r>
  <r>
    <x v="1"/>
    <x v="6"/>
    <x v="5"/>
    <n v="1"/>
    <n v="5"/>
    <n v="5"/>
    <x v="4"/>
    <x v="0"/>
    <x v="0"/>
    <x v="20"/>
  </r>
  <r>
    <x v="0"/>
    <x v="6"/>
    <x v="2"/>
    <n v="0"/>
    <n v="4"/>
    <n v="4"/>
    <x v="4"/>
    <x v="1"/>
    <x v="1"/>
    <x v="20"/>
  </r>
  <r>
    <x v="1"/>
    <x v="6"/>
    <x v="3"/>
    <n v="1"/>
    <n v="2"/>
    <n v="3"/>
    <x v="4"/>
    <x v="0"/>
    <x v="0"/>
    <x v="20"/>
  </r>
  <r>
    <x v="0"/>
    <x v="6"/>
    <x v="2"/>
    <n v="0"/>
    <n v="6"/>
    <n v="5"/>
    <x v="4"/>
    <x v="1"/>
    <x v="1"/>
    <x v="20"/>
  </r>
  <r>
    <x v="0"/>
    <x v="6"/>
    <x v="2"/>
    <n v="0"/>
    <n v="5"/>
    <n v="5"/>
    <x v="4"/>
    <x v="1"/>
    <x v="1"/>
    <x v="20"/>
  </r>
  <r>
    <x v="1"/>
    <x v="6"/>
    <x v="2"/>
    <n v="0"/>
    <n v="3"/>
    <n v="4"/>
    <x v="4"/>
    <x v="1"/>
    <x v="1"/>
    <x v="10"/>
  </r>
  <r>
    <x v="1"/>
    <x v="6"/>
    <x v="3"/>
    <n v="1"/>
    <n v="4"/>
    <n v="4"/>
    <x v="4"/>
    <x v="4"/>
    <x v="4"/>
    <x v="20"/>
  </r>
  <r>
    <x v="1"/>
    <x v="6"/>
    <x v="1"/>
    <n v="1"/>
    <n v="2"/>
    <n v="2"/>
    <x v="4"/>
    <x v="0"/>
    <x v="0"/>
    <x v="20"/>
  </r>
  <r>
    <x v="0"/>
    <x v="6"/>
    <x v="3"/>
    <n v="1"/>
    <n v="5"/>
    <n v="5"/>
    <x v="4"/>
    <x v="4"/>
    <x v="0"/>
    <x v="20"/>
  </r>
  <r>
    <x v="1"/>
    <x v="6"/>
    <x v="2"/>
    <n v="0"/>
    <n v="5"/>
    <n v="4"/>
    <x v="4"/>
    <x v="1"/>
    <x v="1"/>
    <x v="12"/>
  </r>
  <r>
    <x v="1"/>
    <x v="6"/>
    <x v="3"/>
    <n v="1"/>
    <n v="4"/>
    <n v="4"/>
    <x v="4"/>
    <x v="0"/>
    <x v="0"/>
    <x v="76"/>
  </r>
  <r>
    <x v="0"/>
    <x v="6"/>
    <x v="2"/>
    <n v="0"/>
    <n v="5"/>
    <n v="5"/>
    <x v="4"/>
    <x v="1"/>
    <x v="1"/>
    <x v="20"/>
  </r>
  <r>
    <x v="1"/>
    <x v="6"/>
    <x v="5"/>
    <n v="1"/>
    <n v="4"/>
    <n v="4"/>
    <x v="4"/>
    <x v="0"/>
    <x v="2"/>
    <x v="20"/>
  </r>
  <r>
    <x v="0"/>
    <x v="6"/>
    <x v="2"/>
    <n v="0"/>
    <n v="6"/>
    <n v="6"/>
    <x v="4"/>
    <x v="1"/>
    <x v="1"/>
    <x v="20"/>
  </r>
  <r>
    <x v="0"/>
    <x v="6"/>
    <x v="2"/>
    <n v="0"/>
    <n v="5"/>
    <n v="5"/>
    <x v="4"/>
    <x v="1"/>
    <x v="1"/>
    <x v="8"/>
  </r>
  <r>
    <x v="1"/>
    <x v="6"/>
    <x v="3"/>
    <n v="1"/>
    <n v="4"/>
    <n v="4"/>
    <x v="4"/>
    <x v="4"/>
    <x v="4"/>
    <x v="76"/>
  </r>
  <r>
    <x v="0"/>
    <x v="6"/>
    <x v="2"/>
    <n v="0"/>
    <n v="3"/>
    <n v="5"/>
    <x v="4"/>
    <x v="1"/>
    <x v="1"/>
    <x v="76"/>
  </r>
  <r>
    <x v="1"/>
    <x v="7"/>
    <x v="2"/>
    <n v="0"/>
    <n v="3"/>
    <n v="3"/>
    <x v="1"/>
    <x v="1"/>
    <x v="1"/>
    <x v="21"/>
  </r>
  <r>
    <x v="1"/>
    <x v="7"/>
    <x v="4"/>
    <n v="1"/>
    <n v="3"/>
    <n v="4"/>
    <x v="2"/>
    <x v="0"/>
    <x v="0"/>
    <x v="15"/>
  </r>
  <r>
    <x v="0"/>
    <x v="7"/>
    <x v="3"/>
    <n v="1"/>
    <n v="2"/>
    <n v="4"/>
    <x v="1"/>
    <x v="0"/>
    <x v="0"/>
    <x v="74"/>
  </r>
  <r>
    <x v="1"/>
    <x v="7"/>
    <x v="5"/>
    <n v="1"/>
    <n v="2"/>
    <n v="3"/>
    <x v="2"/>
    <x v="2"/>
    <x v="4"/>
    <x v="11"/>
  </r>
  <r>
    <x v="1"/>
    <x v="7"/>
    <x v="0"/>
    <n v="1"/>
    <n v="3"/>
    <n v="3"/>
    <x v="3"/>
    <x v="2"/>
    <x v="2"/>
    <x v="62"/>
  </r>
  <r>
    <x v="0"/>
    <x v="7"/>
    <x v="3"/>
    <n v="1"/>
    <n v="3"/>
    <n v="4"/>
    <x v="2"/>
    <x v="3"/>
    <x v="2"/>
    <x v="13"/>
  </r>
  <r>
    <x v="1"/>
    <x v="7"/>
    <x v="2"/>
    <n v="0"/>
    <n v="4"/>
    <n v="4"/>
    <x v="3"/>
    <x v="1"/>
    <x v="1"/>
    <x v="81"/>
  </r>
  <r>
    <x v="0"/>
    <x v="7"/>
    <x v="2"/>
    <n v="0"/>
    <n v="4"/>
    <n v="4"/>
    <x v="3"/>
    <x v="1"/>
    <x v="1"/>
    <x v="2"/>
  </r>
  <r>
    <x v="0"/>
    <x v="7"/>
    <x v="2"/>
    <n v="0"/>
    <n v="2"/>
    <n v="2"/>
    <x v="2"/>
    <x v="1"/>
    <x v="1"/>
    <x v="2"/>
  </r>
  <r>
    <x v="1"/>
    <x v="7"/>
    <x v="1"/>
    <n v="1"/>
    <n v="3"/>
    <n v="5"/>
    <x v="2"/>
    <x v="0"/>
    <x v="0"/>
    <x v="4"/>
  </r>
  <r>
    <x v="0"/>
    <x v="7"/>
    <x v="2"/>
    <n v="0"/>
    <n v="2"/>
    <n v="2"/>
    <x v="2"/>
    <x v="1"/>
    <x v="1"/>
    <x v="10"/>
  </r>
  <r>
    <x v="1"/>
    <x v="7"/>
    <x v="5"/>
    <n v="1"/>
    <n v="1"/>
    <n v="3"/>
    <x v="1"/>
    <x v="0"/>
    <x v="2"/>
    <x v="6"/>
  </r>
  <r>
    <x v="1"/>
    <x v="7"/>
    <x v="2"/>
    <n v="0"/>
    <n v="3"/>
    <n v="3"/>
    <x v="1"/>
    <x v="1"/>
    <x v="1"/>
    <x v="8"/>
  </r>
  <r>
    <x v="0"/>
    <x v="7"/>
    <x v="2"/>
    <n v="0"/>
    <n v="4"/>
    <n v="4"/>
    <x v="2"/>
    <x v="1"/>
    <x v="1"/>
    <x v="20"/>
  </r>
  <r>
    <x v="0"/>
    <x v="7"/>
    <x v="4"/>
    <n v="1"/>
    <n v="4"/>
    <n v="4"/>
    <x v="1"/>
    <x v="4"/>
    <x v="0"/>
    <x v="8"/>
  </r>
  <r>
    <x v="0"/>
    <x v="7"/>
    <x v="2"/>
    <n v="0"/>
    <n v="4"/>
    <n v="4"/>
    <x v="2"/>
    <x v="1"/>
    <x v="1"/>
    <x v="21"/>
  </r>
  <r>
    <x v="1"/>
    <x v="7"/>
    <x v="2"/>
    <n v="0"/>
    <n v="4"/>
    <n v="3"/>
    <x v="3"/>
    <x v="1"/>
    <x v="1"/>
    <x v="79"/>
  </r>
  <r>
    <x v="0"/>
    <x v="7"/>
    <x v="5"/>
    <n v="1"/>
    <n v="3"/>
    <n v="4"/>
    <x v="2"/>
    <x v="3"/>
    <x v="2"/>
    <x v="10"/>
  </r>
  <r>
    <x v="0"/>
    <x v="7"/>
    <x v="2"/>
    <n v="0"/>
    <n v="2"/>
    <n v="4"/>
    <x v="1"/>
    <x v="1"/>
    <x v="1"/>
    <x v="79"/>
  </r>
  <r>
    <x v="0"/>
    <x v="7"/>
    <x v="2"/>
    <n v="0"/>
    <n v="2"/>
    <n v="3"/>
    <x v="1"/>
    <x v="1"/>
    <x v="1"/>
    <x v="8"/>
  </r>
  <r>
    <x v="0"/>
    <x v="7"/>
    <x v="2"/>
    <n v="0"/>
    <n v="2"/>
    <n v="5"/>
    <x v="1"/>
    <x v="1"/>
    <x v="1"/>
    <x v="8"/>
  </r>
  <r>
    <x v="0"/>
    <x v="7"/>
    <x v="2"/>
    <n v="0"/>
    <n v="4"/>
    <n v="4"/>
    <x v="1"/>
    <x v="1"/>
    <x v="1"/>
    <x v="1"/>
  </r>
  <r>
    <x v="1"/>
    <x v="7"/>
    <x v="1"/>
    <n v="1"/>
    <n v="2"/>
    <n v="4"/>
    <x v="2"/>
    <x v="2"/>
    <x v="4"/>
    <x v="4"/>
  </r>
  <r>
    <x v="1"/>
    <x v="7"/>
    <x v="2"/>
    <n v="0"/>
    <n v="2"/>
    <n v="4"/>
    <x v="2"/>
    <x v="1"/>
    <x v="1"/>
    <x v="0"/>
  </r>
  <r>
    <x v="1"/>
    <x v="7"/>
    <x v="1"/>
    <n v="1"/>
    <n v="2"/>
    <n v="2"/>
    <x v="2"/>
    <x v="3"/>
    <x v="2"/>
    <x v="15"/>
  </r>
  <r>
    <x v="1"/>
    <x v="7"/>
    <x v="2"/>
    <n v="0"/>
    <n v="3"/>
    <n v="5"/>
    <x v="2"/>
    <x v="1"/>
    <x v="1"/>
    <x v="10"/>
  </r>
  <r>
    <x v="1"/>
    <x v="7"/>
    <x v="1"/>
    <n v="1"/>
    <n v="3"/>
    <n v="3"/>
    <x v="1"/>
    <x v="0"/>
    <x v="0"/>
    <x v="21"/>
  </r>
  <r>
    <x v="1"/>
    <x v="7"/>
    <x v="0"/>
    <n v="1"/>
    <n v="2"/>
    <n v="4"/>
    <x v="3"/>
    <x v="3"/>
    <x v="2"/>
    <x v="21"/>
  </r>
  <r>
    <x v="0"/>
    <x v="7"/>
    <x v="2"/>
    <n v="0"/>
    <n v="2"/>
    <n v="3"/>
    <x v="2"/>
    <x v="1"/>
    <x v="1"/>
    <x v="10"/>
  </r>
  <r>
    <x v="1"/>
    <x v="7"/>
    <x v="1"/>
    <n v="1"/>
    <n v="5"/>
    <n v="3"/>
    <x v="2"/>
    <x v="3"/>
    <x v="0"/>
    <x v="49"/>
  </r>
  <r>
    <x v="1"/>
    <x v="7"/>
    <x v="5"/>
    <n v="1"/>
    <n v="3"/>
    <n v="2"/>
    <x v="2"/>
    <x v="3"/>
    <x v="0"/>
    <x v="6"/>
  </r>
  <r>
    <x v="1"/>
    <x v="7"/>
    <x v="3"/>
    <n v="2"/>
    <n v="2"/>
    <n v="3"/>
    <x v="1"/>
    <x v="3"/>
    <x v="5"/>
    <x v="34"/>
  </r>
  <r>
    <x v="0"/>
    <x v="7"/>
    <x v="2"/>
    <n v="0"/>
    <n v="4"/>
    <n v="4"/>
    <x v="2"/>
    <x v="1"/>
    <x v="1"/>
    <x v="15"/>
  </r>
  <r>
    <x v="1"/>
    <x v="7"/>
    <x v="3"/>
    <n v="1"/>
    <n v="4"/>
    <n v="4"/>
    <x v="2"/>
    <x v="2"/>
    <x v="0"/>
    <x v="29"/>
  </r>
  <r>
    <x v="0"/>
    <x v="7"/>
    <x v="5"/>
    <n v="1"/>
    <n v="4"/>
    <n v="4"/>
    <x v="2"/>
    <x v="3"/>
    <x v="4"/>
    <x v="21"/>
  </r>
  <r>
    <x v="0"/>
    <x v="7"/>
    <x v="2"/>
    <n v="0"/>
    <n v="2"/>
    <n v="4"/>
    <x v="2"/>
    <x v="1"/>
    <x v="1"/>
    <x v="55"/>
  </r>
  <r>
    <x v="0"/>
    <x v="7"/>
    <x v="1"/>
    <n v="1"/>
    <n v="4"/>
    <n v="4"/>
    <x v="2"/>
    <x v="3"/>
    <x v="0"/>
    <x v="14"/>
  </r>
  <r>
    <x v="1"/>
    <x v="7"/>
    <x v="1"/>
    <n v="1"/>
    <n v="2"/>
    <n v="4"/>
    <x v="2"/>
    <x v="4"/>
    <x v="4"/>
    <x v="2"/>
  </r>
  <r>
    <x v="0"/>
    <x v="7"/>
    <x v="1"/>
    <n v="1"/>
    <n v="2"/>
    <n v="2"/>
    <x v="2"/>
    <x v="3"/>
    <x v="4"/>
    <x v="15"/>
  </r>
  <r>
    <x v="1"/>
    <x v="7"/>
    <x v="5"/>
    <n v="1"/>
    <n v="2"/>
    <n v="4"/>
    <x v="3"/>
    <x v="0"/>
    <x v="2"/>
    <x v="23"/>
  </r>
  <r>
    <x v="1"/>
    <x v="7"/>
    <x v="0"/>
    <n v="1"/>
    <n v="5"/>
    <n v="5"/>
    <x v="3"/>
    <x v="3"/>
    <x v="2"/>
    <x v="11"/>
  </r>
  <r>
    <x v="1"/>
    <x v="7"/>
    <x v="0"/>
    <n v="1"/>
    <n v="2"/>
    <n v="3"/>
    <x v="1"/>
    <x v="0"/>
    <x v="2"/>
    <x v="11"/>
  </r>
  <r>
    <x v="1"/>
    <x v="7"/>
    <x v="3"/>
    <n v="1"/>
    <n v="2"/>
    <n v="2"/>
    <x v="1"/>
    <x v="3"/>
    <x v="0"/>
    <x v="82"/>
  </r>
  <r>
    <x v="1"/>
    <x v="7"/>
    <x v="5"/>
    <n v="1"/>
    <n v="3"/>
    <n v="5"/>
    <x v="1"/>
    <x v="0"/>
    <x v="0"/>
    <x v="8"/>
  </r>
  <r>
    <x v="1"/>
    <x v="7"/>
    <x v="3"/>
    <n v="1"/>
    <n v="2"/>
    <n v="4"/>
    <x v="1"/>
    <x v="2"/>
    <x v="2"/>
    <x v="83"/>
  </r>
  <r>
    <x v="0"/>
    <x v="7"/>
    <x v="4"/>
    <n v="1"/>
    <n v="2"/>
    <n v="4"/>
    <x v="2"/>
    <x v="0"/>
    <x v="0"/>
    <x v="73"/>
  </r>
  <r>
    <x v="0"/>
    <x v="7"/>
    <x v="2"/>
    <n v="0"/>
    <n v="3"/>
    <n v="4"/>
    <x v="2"/>
    <x v="1"/>
    <x v="1"/>
    <x v="61"/>
  </r>
  <r>
    <x v="0"/>
    <x v="7"/>
    <x v="5"/>
    <n v="1"/>
    <n v="4"/>
    <n v="4"/>
    <x v="2"/>
    <x v="0"/>
    <x v="0"/>
    <x v="14"/>
  </r>
  <r>
    <x v="0"/>
    <x v="7"/>
    <x v="2"/>
    <n v="0"/>
    <n v="4"/>
    <n v="4"/>
    <x v="2"/>
    <x v="1"/>
    <x v="1"/>
    <x v="84"/>
  </r>
  <r>
    <x v="1"/>
    <x v="7"/>
    <x v="5"/>
    <n v="1"/>
    <n v="3"/>
    <n v="4"/>
    <x v="2"/>
    <x v="0"/>
    <x v="2"/>
    <x v="14"/>
  </r>
  <r>
    <x v="1"/>
    <x v="7"/>
    <x v="3"/>
    <n v="1"/>
    <n v="1"/>
    <n v="2"/>
    <x v="0"/>
    <x v="0"/>
    <x v="2"/>
    <x v="85"/>
  </r>
  <r>
    <x v="1"/>
    <x v="7"/>
    <x v="0"/>
    <n v="1"/>
    <n v="4"/>
    <n v="4"/>
    <x v="2"/>
    <x v="0"/>
    <x v="2"/>
    <x v="30"/>
  </r>
  <r>
    <x v="1"/>
    <x v="7"/>
    <x v="4"/>
    <n v="1"/>
    <n v="4"/>
    <n v="4"/>
    <x v="2"/>
    <x v="3"/>
    <x v="2"/>
    <x v="11"/>
  </r>
  <r>
    <x v="0"/>
    <x v="7"/>
    <x v="2"/>
    <n v="0"/>
    <n v="2"/>
    <n v="2"/>
    <x v="2"/>
    <x v="1"/>
    <x v="1"/>
    <x v="66"/>
  </r>
  <r>
    <x v="1"/>
    <x v="7"/>
    <x v="1"/>
    <n v="1"/>
    <n v="2"/>
    <n v="2"/>
    <x v="2"/>
    <x v="3"/>
    <x v="2"/>
    <x v="86"/>
  </r>
  <r>
    <x v="1"/>
    <x v="7"/>
    <x v="1"/>
    <n v="1"/>
    <n v="3"/>
    <n v="2"/>
    <x v="1"/>
    <x v="3"/>
    <x v="4"/>
    <x v="34"/>
  </r>
  <r>
    <x v="1"/>
    <x v="7"/>
    <x v="0"/>
    <n v="1"/>
    <n v="3"/>
    <n v="3"/>
    <x v="2"/>
    <x v="3"/>
    <x v="0"/>
    <x v="87"/>
  </r>
  <r>
    <x v="0"/>
    <x v="7"/>
    <x v="1"/>
    <n v="1"/>
    <n v="3"/>
    <n v="0"/>
    <x v="2"/>
    <x v="3"/>
    <x v="4"/>
    <x v="8"/>
  </r>
  <r>
    <x v="1"/>
    <x v="7"/>
    <x v="4"/>
    <n v="1"/>
    <n v="4"/>
    <n v="4"/>
    <x v="2"/>
    <x v="2"/>
    <x v="4"/>
    <x v="65"/>
  </r>
  <r>
    <x v="0"/>
    <x v="7"/>
    <x v="3"/>
    <n v="1"/>
    <n v="3"/>
    <n v="4"/>
    <x v="2"/>
    <x v="0"/>
    <x v="0"/>
    <x v="65"/>
  </r>
  <r>
    <x v="1"/>
    <x v="7"/>
    <x v="4"/>
    <n v="1"/>
    <n v="4"/>
    <n v="5"/>
    <x v="0"/>
    <x v="2"/>
    <x v="5"/>
    <x v="6"/>
  </r>
  <r>
    <x v="1"/>
    <x v="7"/>
    <x v="3"/>
    <n v="1"/>
    <n v="5"/>
    <n v="4"/>
    <x v="3"/>
    <x v="3"/>
    <x v="4"/>
    <x v="88"/>
  </r>
  <r>
    <x v="1"/>
    <x v="7"/>
    <x v="0"/>
    <n v="1"/>
    <n v="4"/>
    <n v="4"/>
    <x v="2"/>
    <x v="4"/>
    <x v="5"/>
    <x v="10"/>
  </r>
  <r>
    <x v="0"/>
    <x v="7"/>
    <x v="2"/>
    <n v="0"/>
    <n v="2"/>
    <n v="4"/>
    <x v="1"/>
    <x v="1"/>
    <x v="1"/>
    <x v="26"/>
  </r>
  <r>
    <x v="0"/>
    <x v="7"/>
    <x v="2"/>
    <n v="0"/>
    <n v="4"/>
    <n v="3"/>
    <x v="2"/>
    <x v="1"/>
    <x v="1"/>
    <x v="21"/>
  </r>
  <r>
    <x v="1"/>
    <x v="7"/>
    <x v="1"/>
    <n v="1"/>
    <n v="3"/>
    <n v="2"/>
    <x v="2"/>
    <x v="3"/>
    <x v="2"/>
    <x v="15"/>
  </r>
  <r>
    <x v="1"/>
    <x v="7"/>
    <x v="3"/>
    <n v="1"/>
    <n v="1"/>
    <n v="2"/>
    <x v="1"/>
    <x v="0"/>
    <x v="0"/>
    <x v="2"/>
  </r>
  <r>
    <x v="0"/>
    <x v="7"/>
    <x v="3"/>
    <n v="1"/>
    <n v="2"/>
    <n v="4"/>
    <x v="1"/>
    <x v="2"/>
    <x v="0"/>
    <x v="8"/>
  </r>
  <r>
    <x v="0"/>
    <x v="7"/>
    <x v="2"/>
    <n v="0"/>
    <n v="4"/>
    <n v="3"/>
    <x v="1"/>
    <x v="1"/>
    <x v="1"/>
    <x v="10"/>
  </r>
  <r>
    <x v="1"/>
    <x v="7"/>
    <x v="2"/>
    <n v="0"/>
    <n v="2"/>
    <n v="4"/>
    <x v="1"/>
    <x v="1"/>
    <x v="1"/>
    <x v="2"/>
  </r>
  <r>
    <x v="0"/>
    <x v="7"/>
    <x v="3"/>
    <n v="1"/>
    <n v="1"/>
    <n v="3"/>
    <x v="2"/>
    <x v="3"/>
    <x v="0"/>
    <x v="14"/>
  </r>
  <r>
    <x v="1"/>
    <x v="7"/>
    <x v="1"/>
    <n v="1"/>
    <n v="3"/>
    <n v="3"/>
    <x v="1"/>
    <x v="3"/>
    <x v="2"/>
    <x v="5"/>
  </r>
  <r>
    <x v="0"/>
    <x v="7"/>
    <x v="3"/>
    <n v="1"/>
    <n v="3"/>
    <n v="4"/>
    <x v="1"/>
    <x v="0"/>
    <x v="0"/>
    <x v="33"/>
  </r>
  <r>
    <x v="1"/>
    <x v="7"/>
    <x v="4"/>
    <n v="1"/>
    <n v="3"/>
    <n v="3"/>
    <x v="1"/>
    <x v="0"/>
    <x v="5"/>
    <x v="5"/>
  </r>
  <r>
    <x v="0"/>
    <x v="7"/>
    <x v="2"/>
    <n v="0"/>
    <n v="4"/>
    <n v="4"/>
    <x v="1"/>
    <x v="1"/>
    <x v="1"/>
    <x v="89"/>
  </r>
  <r>
    <x v="0"/>
    <x v="7"/>
    <x v="2"/>
    <n v="0"/>
    <n v="4"/>
    <n v="4"/>
    <x v="2"/>
    <x v="1"/>
    <x v="1"/>
    <x v="62"/>
  </r>
  <r>
    <x v="0"/>
    <x v="7"/>
    <x v="2"/>
    <n v="0"/>
    <n v="2"/>
    <n v="3"/>
    <x v="2"/>
    <x v="1"/>
    <x v="1"/>
    <x v="2"/>
  </r>
  <r>
    <x v="0"/>
    <x v="7"/>
    <x v="0"/>
    <n v="1"/>
    <n v="4"/>
    <n v="5"/>
    <x v="3"/>
    <x v="2"/>
    <x v="0"/>
    <x v="2"/>
  </r>
  <r>
    <x v="0"/>
    <x v="7"/>
    <x v="3"/>
    <n v="1"/>
    <n v="6"/>
    <n v="4"/>
    <x v="2"/>
    <x v="3"/>
    <x v="0"/>
    <x v="20"/>
  </r>
  <r>
    <x v="0"/>
    <x v="7"/>
    <x v="2"/>
    <n v="0"/>
    <n v="2"/>
    <n v="2"/>
    <x v="1"/>
    <x v="1"/>
    <x v="1"/>
    <x v="21"/>
  </r>
  <r>
    <x v="1"/>
    <x v="7"/>
    <x v="2"/>
    <n v="0"/>
    <n v="4"/>
    <n v="3"/>
    <x v="3"/>
    <x v="1"/>
    <x v="1"/>
    <x v="52"/>
  </r>
  <r>
    <x v="1"/>
    <x v="7"/>
    <x v="2"/>
    <n v="0"/>
    <n v="1"/>
    <n v="3"/>
    <x v="1"/>
    <x v="1"/>
    <x v="1"/>
    <x v="6"/>
  </r>
  <r>
    <x v="0"/>
    <x v="7"/>
    <x v="2"/>
    <n v="0"/>
    <n v="4"/>
    <n v="2"/>
    <x v="1"/>
    <x v="1"/>
    <x v="1"/>
    <x v="8"/>
  </r>
  <r>
    <x v="0"/>
    <x v="7"/>
    <x v="2"/>
    <n v="0"/>
    <n v="2"/>
    <n v="3"/>
    <x v="1"/>
    <x v="1"/>
    <x v="1"/>
    <x v="11"/>
  </r>
  <r>
    <x v="1"/>
    <x v="7"/>
    <x v="2"/>
    <n v="0"/>
    <n v="4"/>
    <n v="3"/>
    <x v="1"/>
    <x v="1"/>
    <x v="1"/>
    <x v="21"/>
  </r>
  <r>
    <x v="1"/>
    <x v="7"/>
    <x v="2"/>
    <n v="0"/>
    <n v="2"/>
    <n v="2"/>
    <x v="1"/>
    <x v="1"/>
    <x v="1"/>
    <x v="6"/>
  </r>
  <r>
    <x v="1"/>
    <x v="7"/>
    <x v="2"/>
    <n v="0"/>
    <n v="4"/>
    <n v="3"/>
    <x v="2"/>
    <x v="1"/>
    <x v="1"/>
    <x v="2"/>
  </r>
  <r>
    <x v="1"/>
    <x v="7"/>
    <x v="2"/>
    <n v="0"/>
    <n v="2"/>
    <n v="4"/>
    <x v="2"/>
    <x v="1"/>
    <x v="1"/>
    <x v="11"/>
  </r>
  <r>
    <x v="0"/>
    <x v="7"/>
    <x v="2"/>
    <n v="0"/>
    <n v="2"/>
    <n v="5"/>
    <x v="1"/>
    <x v="1"/>
    <x v="1"/>
    <x v="4"/>
  </r>
  <r>
    <x v="0"/>
    <x v="7"/>
    <x v="2"/>
    <n v="0"/>
    <n v="4"/>
    <n v="2"/>
    <x v="2"/>
    <x v="1"/>
    <x v="1"/>
    <x v="38"/>
  </r>
  <r>
    <x v="0"/>
    <x v="7"/>
    <x v="2"/>
    <n v="0"/>
    <n v="2"/>
    <n v="3"/>
    <x v="2"/>
    <x v="1"/>
    <x v="1"/>
    <x v="4"/>
  </r>
  <r>
    <x v="0"/>
    <x v="7"/>
    <x v="3"/>
    <n v="1"/>
    <n v="2"/>
    <n v="3"/>
    <x v="1"/>
    <x v="0"/>
    <x v="0"/>
    <x v="2"/>
  </r>
  <r>
    <x v="0"/>
    <x v="7"/>
    <x v="2"/>
    <n v="0"/>
    <n v="3"/>
    <n v="3"/>
    <x v="2"/>
    <x v="1"/>
    <x v="1"/>
    <x v="10"/>
  </r>
  <r>
    <x v="1"/>
    <x v="7"/>
    <x v="4"/>
    <n v="1"/>
    <n v="4"/>
    <n v="4"/>
    <x v="0"/>
    <x v="0"/>
    <x v="0"/>
    <x v="14"/>
  </r>
  <r>
    <x v="0"/>
    <x v="7"/>
    <x v="4"/>
    <n v="1"/>
    <n v="3"/>
    <n v="2"/>
    <x v="3"/>
    <x v="2"/>
    <x v="4"/>
    <x v="15"/>
  </r>
  <r>
    <x v="0"/>
    <x v="7"/>
    <x v="2"/>
    <n v="0"/>
    <n v="2"/>
    <n v="3"/>
    <x v="1"/>
    <x v="1"/>
    <x v="1"/>
    <x v="3"/>
  </r>
  <r>
    <x v="1"/>
    <x v="7"/>
    <x v="2"/>
    <n v="0"/>
    <n v="5"/>
    <n v="4"/>
    <x v="2"/>
    <x v="1"/>
    <x v="1"/>
    <x v="6"/>
  </r>
  <r>
    <x v="1"/>
    <x v="7"/>
    <x v="5"/>
    <n v="1"/>
    <n v="3"/>
    <n v="2"/>
    <x v="1"/>
    <x v="2"/>
    <x v="5"/>
    <x v="4"/>
  </r>
  <r>
    <x v="0"/>
    <x v="7"/>
    <x v="2"/>
    <n v="0"/>
    <n v="3"/>
    <n v="3"/>
    <x v="3"/>
    <x v="1"/>
    <x v="1"/>
    <x v="90"/>
  </r>
  <r>
    <x v="1"/>
    <x v="7"/>
    <x v="4"/>
    <n v="1"/>
    <n v="5"/>
    <n v="5"/>
    <x v="3"/>
    <x v="3"/>
    <x v="4"/>
    <x v="91"/>
  </r>
  <r>
    <x v="1"/>
    <x v="7"/>
    <x v="3"/>
    <n v="1"/>
    <n v="4"/>
    <n v="2"/>
    <x v="2"/>
    <x v="3"/>
    <x v="2"/>
    <x v="14"/>
  </r>
  <r>
    <x v="0"/>
    <x v="7"/>
    <x v="2"/>
    <n v="0"/>
    <n v="2"/>
    <n v="2"/>
    <x v="1"/>
    <x v="1"/>
    <x v="1"/>
    <x v="7"/>
  </r>
  <r>
    <x v="1"/>
    <x v="7"/>
    <x v="2"/>
    <n v="0"/>
    <n v="2"/>
    <n v="2"/>
    <x v="2"/>
    <x v="1"/>
    <x v="1"/>
    <x v="9"/>
  </r>
  <r>
    <x v="1"/>
    <x v="7"/>
    <x v="3"/>
    <n v="1"/>
    <n v="4"/>
    <n v="4"/>
    <x v="3"/>
    <x v="3"/>
    <x v="0"/>
    <x v="2"/>
  </r>
  <r>
    <x v="0"/>
    <x v="7"/>
    <x v="1"/>
    <n v="1"/>
    <n v="2"/>
    <n v="3"/>
    <x v="2"/>
    <x v="3"/>
    <x v="2"/>
    <x v="6"/>
  </r>
  <r>
    <x v="0"/>
    <x v="7"/>
    <x v="2"/>
    <n v="0"/>
    <n v="1"/>
    <n v="1"/>
    <x v="1"/>
    <x v="1"/>
    <x v="1"/>
    <x v="21"/>
  </r>
  <r>
    <x v="0"/>
    <x v="7"/>
    <x v="2"/>
    <n v="0"/>
    <n v="4"/>
    <n v="3"/>
    <x v="1"/>
    <x v="1"/>
    <x v="1"/>
    <x v="4"/>
  </r>
  <r>
    <x v="1"/>
    <x v="7"/>
    <x v="4"/>
    <n v="1"/>
    <n v="5"/>
    <n v="5"/>
    <x v="2"/>
    <x v="2"/>
    <x v="4"/>
    <x v="24"/>
  </r>
  <r>
    <x v="1"/>
    <x v="7"/>
    <x v="4"/>
    <n v="1"/>
    <n v="4"/>
    <n v="6"/>
    <x v="2"/>
    <x v="2"/>
    <x v="5"/>
    <x v="8"/>
  </r>
  <r>
    <x v="0"/>
    <x v="7"/>
    <x v="5"/>
    <n v="1"/>
    <n v="3"/>
    <n v="4"/>
    <x v="2"/>
    <x v="3"/>
    <x v="4"/>
    <x v="13"/>
  </r>
  <r>
    <x v="1"/>
    <x v="7"/>
    <x v="4"/>
    <n v="1"/>
    <n v="2"/>
    <n v="5"/>
    <x v="1"/>
    <x v="0"/>
    <x v="0"/>
    <x v="5"/>
  </r>
  <r>
    <x v="0"/>
    <x v="7"/>
    <x v="2"/>
    <n v="0"/>
    <n v="4"/>
    <n v="3"/>
    <x v="3"/>
    <x v="1"/>
    <x v="1"/>
    <x v="12"/>
  </r>
  <r>
    <x v="1"/>
    <x v="7"/>
    <x v="5"/>
    <n v="1"/>
    <n v="4"/>
    <n v="5"/>
    <x v="2"/>
    <x v="0"/>
    <x v="0"/>
    <x v="2"/>
  </r>
  <r>
    <x v="1"/>
    <x v="7"/>
    <x v="2"/>
    <n v="0"/>
    <n v="2"/>
    <n v="4"/>
    <x v="1"/>
    <x v="1"/>
    <x v="1"/>
    <x v="23"/>
  </r>
  <r>
    <x v="1"/>
    <x v="7"/>
    <x v="4"/>
    <n v="1"/>
    <n v="3"/>
    <n v="4"/>
    <x v="2"/>
    <x v="3"/>
    <x v="5"/>
    <x v="21"/>
  </r>
  <r>
    <x v="1"/>
    <x v="7"/>
    <x v="4"/>
    <n v="1"/>
    <n v="3"/>
    <n v="2"/>
    <x v="2"/>
    <x v="0"/>
    <x v="0"/>
    <x v="21"/>
  </r>
  <r>
    <x v="1"/>
    <x v="7"/>
    <x v="1"/>
    <n v="1"/>
    <n v="3"/>
    <n v="2"/>
    <x v="1"/>
    <x v="2"/>
    <x v="2"/>
    <x v="8"/>
  </r>
  <r>
    <x v="0"/>
    <x v="7"/>
    <x v="0"/>
    <n v="1"/>
    <n v="3"/>
    <n v="4"/>
    <x v="2"/>
    <x v="3"/>
    <x v="2"/>
    <x v="81"/>
  </r>
  <r>
    <x v="1"/>
    <x v="8"/>
    <x v="2"/>
    <n v="0"/>
    <n v="3"/>
    <n v="4"/>
    <x v="4"/>
    <x v="1"/>
    <x v="1"/>
    <x v="20"/>
  </r>
  <r>
    <x v="0"/>
    <x v="8"/>
    <x v="2"/>
    <n v="0"/>
    <n v="4"/>
    <n v="4"/>
    <x v="4"/>
    <x v="1"/>
    <x v="1"/>
    <x v="2"/>
  </r>
  <r>
    <x v="1"/>
    <x v="8"/>
    <x v="2"/>
    <n v="0"/>
    <n v="6"/>
    <n v="6"/>
    <x v="4"/>
    <x v="1"/>
    <x v="1"/>
    <x v="20"/>
  </r>
  <r>
    <x v="0"/>
    <x v="8"/>
    <x v="3"/>
    <n v="1"/>
    <n v="3"/>
    <n v="4"/>
    <x v="4"/>
    <x v="0"/>
    <x v="0"/>
    <x v="20"/>
  </r>
  <r>
    <x v="0"/>
    <x v="8"/>
    <x v="2"/>
    <n v="0"/>
    <n v="6"/>
    <n v="6"/>
    <x v="4"/>
    <x v="1"/>
    <x v="1"/>
    <x v="20"/>
  </r>
  <r>
    <x v="0"/>
    <x v="8"/>
    <x v="2"/>
    <n v="0"/>
    <n v="3"/>
    <n v="5"/>
    <x v="4"/>
    <x v="1"/>
    <x v="1"/>
    <x v="4"/>
  </r>
  <r>
    <x v="0"/>
    <x v="8"/>
    <x v="2"/>
    <n v="0"/>
    <n v="6"/>
    <n v="5"/>
    <x v="4"/>
    <x v="1"/>
    <x v="1"/>
    <x v="20"/>
  </r>
  <r>
    <x v="0"/>
    <x v="8"/>
    <x v="2"/>
    <n v="0"/>
    <n v="5"/>
    <n v="5"/>
    <x v="4"/>
    <x v="1"/>
    <x v="1"/>
    <x v="20"/>
  </r>
  <r>
    <x v="0"/>
    <x v="8"/>
    <x v="2"/>
    <n v="0"/>
    <n v="5"/>
    <n v="5"/>
    <x v="4"/>
    <x v="1"/>
    <x v="1"/>
    <x v="20"/>
  </r>
  <r>
    <x v="1"/>
    <x v="8"/>
    <x v="3"/>
    <n v="1"/>
    <n v="5"/>
    <n v="5"/>
    <x v="4"/>
    <x v="4"/>
    <x v="4"/>
    <x v="20"/>
  </r>
  <r>
    <x v="1"/>
    <x v="8"/>
    <x v="5"/>
    <n v="1"/>
    <n v="5"/>
    <n v="5"/>
    <x v="4"/>
    <x v="3"/>
    <x v="2"/>
    <x v="8"/>
  </r>
  <r>
    <x v="0"/>
    <x v="8"/>
    <x v="5"/>
    <n v="1"/>
    <n v="5"/>
    <n v="5"/>
    <x v="4"/>
    <x v="3"/>
    <x v="2"/>
    <x v="20"/>
  </r>
  <r>
    <x v="0"/>
    <x v="8"/>
    <x v="2"/>
    <n v="0"/>
    <n v="3"/>
    <n v="4"/>
    <x v="4"/>
    <x v="1"/>
    <x v="1"/>
    <x v="20"/>
  </r>
  <r>
    <x v="0"/>
    <x v="8"/>
    <x v="2"/>
    <n v="0"/>
    <n v="3"/>
    <n v="5"/>
    <x v="4"/>
    <x v="1"/>
    <x v="1"/>
    <x v="20"/>
  </r>
  <r>
    <x v="0"/>
    <x v="8"/>
    <x v="2"/>
    <n v="0"/>
    <n v="6"/>
    <n v="6"/>
    <x v="4"/>
    <x v="1"/>
    <x v="1"/>
    <x v="20"/>
  </r>
  <r>
    <x v="0"/>
    <x v="8"/>
    <x v="2"/>
    <n v="0"/>
    <n v="6"/>
    <n v="5"/>
    <x v="4"/>
    <x v="1"/>
    <x v="1"/>
    <x v="20"/>
  </r>
  <r>
    <x v="0"/>
    <x v="8"/>
    <x v="2"/>
    <n v="0"/>
    <n v="6"/>
    <n v="6"/>
    <x v="4"/>
    <x v="1"/>
    <x v="1"/>
    <x v="20"/>
  </r>
  <r>
    <x v="0"/>
    <x v="8"/>
    <x v="2"/>
    <n v="0"/>
    <n v="5"/>
    <n v="5"/>
    <x v="4"/>
    <x v="1"/>
    <x v="1"/>
    <x v="20"/>
  </r>
  <r>
    <x v="0"/>
    <x v="8"/>
    <x v="3"/>
    <n v="1"/>
    <n v="6"/>
    <n v="6"/>
    <x v="4"/>
    <x v="3"/>
    <x v="2"/>
    <x v="20"/>
  </r>
  <r>
    <x v="0"/>
    <x v="8"/>
    <x v="2"/>
    <n v="0"/>
    <n v="5"/>
    <n v="5"/>
    <x v="4"/>
    <x v="1"/>
    <x v="1"/>
    <x v="4"/>
  </r>
  <r>
    <x v="1"/>
    <x v="8"/>
    <x v="3"/>
    <n v="1"/>
    <n v="5"/>
    <n v="5"/>
    <x v="4"/>
    <x v="2"/>
    <x v="0"/>
    <x v="20"/>
  </r>
  <r>
    <x v="1"/>
    <x v="8"/>
    <x v="5"/>
    <n v="1"/>
    <n v="5"/>
    <n v="5"/>
    <x v="4"/>
    <x v="4"/>
    <x v="4"/>
    <x v="20"/>
  </r>
  <r>
    <x v="1"/>
    <x v="8"/>
    <x v="3"/>
    <n v="1"/>
    <n v="4"/>
    <n v="5"/>
    <x v="4"/>
    <x v="3"/>
    <x v="0"/>
    <x v="2"/>
  </r>
  <r>
    <x v="1"/>
    <x v="8"/>
    <x v="0"/>
    <n v="1"/>
    <n v="5"/>
    <n v="6"/>
    <x v="4"/>
    <x v="4"/>
    <x v="2"/>
    <x v="20"/>
  </r>
  <r>
    <x v="1"/>
    <x v="8"/>
    <x v="2"/>
    <n v="0"/>
    <n v="3"/>
    <n v="3"/>
    <x v="4"/>
    <x v="1"/>
    <x v="1"/>
    <x v="20"/>
  </r>
  <r>
    <x v="0"/>
    <x v="8"/>
    <x v="2"/>
    <n v="0"/>
    <n v="4"/>
    <n v="3"/>
    <x v="4"/>
    <x v="1"/>
    <x v="1"/>
    <x v="20"/>
  </r>
  <r>
    <x v="1"/>
    <x v="8"/>
    <x v="5"/>
    <n v="1"/>
    <n v="5"/>
    <n v="5"/>
    <x v="4"/>
    <x v="0"/>
    <x v="0"/>
    <x v="20"/>
  </r>
  <r>
    <x v="0"/>
    <x v="8"/>
    <x v="2"/>
    <n v="0"/>
    <n v="5"/>
    <n v="5"/>
    <x v="4"/>
    <x v="1"/>
    <x v="1"/>
    <x v="8"/>
  </r>
  <r>
    <x v="0"/>
    <x v="8"/>
    <x v="3"/>
    <n v="1"/>
    <n v="4"/>
    <n v="4"/>
    <x v="4"/>
    <x v="0"/>
    <x v="0"/>
    <x v="20"/>
  </r>
  <r>
    <x v="0"/>
    <x v="8"/>
    <x v="2"/>
    <n v="0"/>
    <n v="5"/>
    <n v="5"/>
    <x v="4"/>
    <x v="1"/>
    <x v="1"/>
    <x v="20"/>
  </r>
  <r>
    <x v="0"/>
    <x v="8"/>
    <x v="0"/>
    <n v="1"/>
    <n v="4"/>
    <n v="5"/>
    <x v="4"/>
    <x v="3"/>
    <x v="0"/>
    <x v="2"/>
  </r>
  <r>
    <x v="0"/>
    <x v="8"/>
    <x v="4"/>
    <n v="1"/>
    <n v="5"/>
    <n v="5"/>
    <x v="4"/>
    <x v="0"/>
    <x v="0"/>
    <x v="20"/>
  </r>
  <r>
    <x v="1"/>
    <x v="8"/>
    <x v="4"/>
    <n v="1"/>
    <n v="3"/>
    <n v="3"/>
    <x v="4"/>
    <x v="4"/>
    <x v="2"/>
    <x v="6"/>
  </r>
  <r>
    <x v="1"/>
    <x v="8"/>
    <x v="1"/>
    <n v="1"/>
    <n v="4"/>
    <n v="4"/>
    <x v="4"/>
    <x v="0"/>
    <x v="0"/>
    <x v="20"/>
  </r>
  <r>
    <x v="0"/>
    <x v="8"/>
    <x v="3"/>
    <n v="1"/>
    <n v="3"/>
    <n v="3"/>
    <x v="4"/>
    <x v="3"/>
    <x v="0"/>
    <x v="6"/>
  </r>
  <r>
    <x v="0"/>
    <x v="8"/>
    <x v="2"/>
    <n v="0"/>
    <n v="4"/>
    <n v="4"/>
    <x v="4"/>
    <x v="1"/>
    <x v="1"/>
    <x v="20"/>
  </r>
  <r>
    <x v="0"/>
    <x v="8"/>
    <x v="2"/>
    <n v="0"/>
    <n v="4"/>
    <n v="5"/>
    <x v="4"/>
    <x v="1"/>
    <x v="1"/>
    <x v="20"/>
  </r>
  <r>
    <x v="0"/>
    <x v="8"/>
    <x v="5"/>
    <n v="1"/>
    <n v="5"/>
    <n v="5"/>
    <x v="4"/>
    <x v="2"/>
    <x v="0"/>
    <x v="20"/>
  </r>
  <r>
    <x v="0"/>
    <x v="8"/>
    <x v="2"/>
    <n v="0"/>
    <n v="4"/>
    <n v="4"/>
    <x v="4"/>
    <x v="1"/>
    <x v="1"/>
    <x v="20"/>
  </r>
  <r>
    <x v="1"/>
    <x v="8"/>
    <x v="3"/>
    <n v="1"/>
    <n v="5"/>
    <n v="5"/>
    <x v="4"/>
    <x v="2"/>
    <x v="4"/>
    <x v="4"/>
  </r>
  <r>
    <x v="1"/>
    <x v="8"/>
    <x v="4"/>
    <n v="1"/>
    <n v="5"/>
    <n v="5"/>
    <x v="4"/>
    <x v="2"/>
    <x v="2"/>
    <x v="14"/>
  </r>
  <r>
    <x v="1"/>
    <x v="8"/>
    <x v="4"/>
    <n v="1"/>
    <n v="5"/>
    <n v="5"/>
    <x v="4"/>
    <x v="0"/>
    <x v="5"/>
    <x v="20"/>
  </r>
  <r>
    <x v="0"/>
    <x v="8"/>
    <x v="2"/>
    <n v="0"/>
    <n v="4"/>
    <n v="4"/>
    <x v="4"/>
    <x v="1"/>
    <x v="1"/>
    <x v="20"/>
  </r>
  <r>
    <x v="1"/>
    <x v="8"/>
    <x v="1"/>
    <n v="1"/>
    <n v="6"/>
    <n v="6"/>
    <x v="4"/>
    <x v="3"/>
    <x v="2"/>
    <x v="50"/>
  </r>
  <r>
    <x v="0"/>
    <x v="8"/>
    <x v="2"/>
    <n v="0"/>
    <n v="4"/>
    <n v="4"/>
    <x v="4"/>
    <x v="1"/>
    <x v="1"/>
    <x v="20"/>
  </r>
  <r>
    <x v="1"/>
    <x v="8"/>
    <x v="2"/>
    <n v="0"/>
    <n v="5"/>
    <n v="5"/>
    <x v="4"/>
    <x v="1"/>
    <x v="1"/>
    <x v="20"/>
  </r>
  <r>
    <x v="1"/>
    <x v="8"/>
    <x v="4"/>
    <n v="1"/>
    <n v="4"/>
    <n v="5"/>
    <x v="4"/>
    <x v="4"/>
    <x v="2"/>
    <x v="20"/>
  </r>
  <r>
    <x v="1"/>
    <x v="8"/>
    <x v="3"/>
    <n v="1"/>
    <n v="6"/>
    <n v="5"/>
    <x v="4"/>
    <x v="4"/>
    <x v="3"/>
    <x v="20"/>
  </r>
  <r>
    <x v="0"/>
    <x v="9"/>
    <x v="2"/>
    <n v="0"/>
    <n v="4"/>
    <n v="4"/>
    <x v="2"/>
    <x v="1"/>
    <x v="1"/>
    <x v="2"/>
  </r>
  <r>
    <x v="0"/>
    <x v="9"/>
    <x v="2"/>
    <n v="0"/>
    <n v="3"/>
    <n v="4"/>
    <x v="2"/>
    <x v="1"/>
    <x v="1"/>
    <x v="92"/>
  </r>
  <r>
    <x v="0"/>
    <x v="9"/>
    <x v="2"/>
    <n v="0"/>
    <n v="4"/>
    <n v="4"/>
    <x v="1"/>
    <x v="1"/>
    <x v="1"/>
    <x v="93"/>
  </r>
  <r>
    <x v="0"/>
    <x v="9"/>
    <x v="1"/>
    <n v="1"/>
    <n v="2"/>
    <n v="4"/>
    <x v="2"/>
    <x v="4"/>
    <x v="0"/>
    <x v="13"/>
  </r>
  <r>
    <x v="0"/>
    <x v="9"/>
    <x v="3"/>
    <n v="1"/>
    <n v="2"/>
    <n v="4"/>
    <x v="0"/>
    <x v="0"/>
    <x v="0"/>
    <x v="8"/>
  </r>
  <r>
    <x v="0"/>
    <x v="9"/>
    <x v="3"/>
    <n v="1"/>
    <n v="4"/>
    <n v="3"/>
    <x v="1"/>
    <x v="0"/>
    <x v="0"/>
    <x v="3"/>
  </r>
  <r>
    <x v="0"/>
    <x v="9"/>
    <x v="2"/>
    <n v="0"/>
    <n v="2"/>
    <n v="4"/>
    <x v="2"/>
    <x v="1"/>
    <x v="1"/>
    <x v="8"/>
  </r>
  <r>
    <x v="0"/>
    <x v="9"/>
    <x v="1"/>
    <n v="1"/>
    <n v="4"/>
    <n v="3"/>
    <x v="1"/>
    <x v="4"/>
    <x v="0"/>
    <x v="15"/>
  </r>
  <r>
    <x v="0"/>
    <x v="9"/>
    <x v="2"/>
    <n v="0"/>
    <n v="2"/>
    <n v="5"/>
    <x v="2"/>
    <x v="1"/>
    <x v="1"/>
    <x v="20"/>
  </r>
  <r>
    <x v="0"/>
    <x v="9"/>
    <x v="3"/>
    <n v="1"/>
    <n v="5"/>
    <n v="6"/>
    <x v="3"/>
    <x v="0"/>
    <x v="0"/>
    <x v="12"/>
  </r>
  <r>
    <x v="0"/>
    <x v="9"/>
    <x v="2"/>
    <n v="0"/>
    <n v="1"/>
    <n v="3"/>
    <x v="1"/>
    <x v="1"/>
    <x v="1"/>
    <x v="35"/>
  </r>
  <r>
    <x v="0"/>
    <x v="9"/>
    <x v="1"/>
    <n v="1"/>
    <n v="3"/>
    <n v="3"/>
    <x v="2"/>
    <x v="0"/>
    <x v="0"/>
    <x v="14"/>
  </r>
  <r>
    <x v="0"/>
    <x v="9"/>
    <x v="2"/>
    <n v="0"/>
    <n v="4"/>
    <n v="3"/>
    <x v="2"/>
    <x v="1"/>
    <x v="1"/>
    <x v="21"/>
  </r>
  <r>
    <x v="0"/>
    <x v="9"/>
    <x v="2"/>
    <n v="0"/>
    <n v="5"/>
    <n v="4"/>
    <x v="0"/>
    <x v="1"/>
    <x v="1"/>
    <x v="2"/>
  </r>
  <r>
    <x v="0"/>
    <x v="9"/>
    <x v="2"/>
    <n v="0"/>
    <n v="3"/>
    <n v="3"/>
    <x v="3"/>
    <x v="1"/>
    <x v="1"/>
    <x v="37"/>
  </r>
  <r>
    <x v="0"/>
    <x v="9"/>
    <x v="2"/>
    <n v="0"/>
    <n v="2"/>
    <n v="4"/>
    <x v="3"/>
    <x v="1"/>
    <x v="1"/>
    <x v="2"/>
  </r>
  <r>
    <x v="0"/>
    <x v="9"/>
    <x v="2"/>
    <n v="0"/>
    <n v="4"/>
    <n v="4"/>
    <x v="2"/>
    <x v="1"/>
    <x v="1"/>
    <x v="23"/>
  </r>
  <r>
    <x v="1"/>
    <x v="9"/>
    <x v="3"/>
    <n v="1"/>
    <n v="3"/>
    <n v="3"/>
    <x v="0"/>
    <x v="3"/>
    <x v="2"/>
    <x v="33"/>
  </r>
  <r>
    <x v="1"/>
    <x v="9"/>
    <x v="2"/>
    <n v="0"/>
    <n v="3"/>
    <n v="2"/>
    <x v="1"/>
    <x v="1"/>
    <x v="1"/>
    <x v="94"/>
  </r>
  <r>
    <x v="1"/>
    <x v="9"/>
    <x v="3"/>
    <n v="1"/>
    <n v="4"/>
    <n v="3"/>
    <x v="1"/>
    <x v="2"/>
    <x v="4"/>
    <x v="2"/>
  </r>
  <r>
    <x v="1"/>
    <x v="9"/>
    <x v="1"/>
    <n v="1"/>
    <n v="5"/>
    <n v="5"/>
    <x v="3"/>
    <x v="2"/>
    <x v="4"/>
    <x v="8"/>
  </r>
  <r>
    <x v="1"/>
    <x v="9"/>
    <x v="3"/>
    <n v="1"/>
    <n v="4"/>
    <n v="5"/>
    <x v="3"/>
    <x v="2"/>
    <x v="3"/>
    <x v="8"/>
  </r>
  <r>
    <x v="1"/>
    <x v="9"/>
    <x v="4"/>
    <n v="1"/>
    <n v="2"/>
    <n v="4"/>
    <x v="3"/>
    <x v="4"/>
    <x v="2"/>
    <x v="35"/>
  </r>
  <r>
    <x v="1"/>
    <x v="9"/>
    <x v="5"/>
    <n v="1"/>
    <n v="3"/>
    <n v="3"/>
    <x v="3"/>
    <x v="2"/>
    <x v="0"/>
    <x v="14"/>
  </r>
  <r>
    <x v="1"/>
    <x v="9"/>
    <x v="3"/>
    <n v="1"/>
    <n v="3"/>
    <n v="4"/>
    <x v="1"/>
    <x v="2"/>
    <x v="2"/>
    <x v="19"/>
  </r>
  <r>
    <x v="1"/>
    <x v="9"/>
    <x v="5"/>
    <n v="1"/>
    <n v="4"/>
    <n v="3"/>
    <x v="2"/>
    <x v="2"/>
    <x v="4"/>
    <x v="89"/>
  </r>
  <r>
    <x v="1"/>
    <x v="9"/>
    <x v="0"/>
    <n v="1"/>
    <n v="4"/>
    <n v="5"/>
    <x v="2"/>
    <x v="0"/>
    <x v="4"/>
    <x v="14"/>
  </r>
  <r>
    <x v="1"/>
    <x v="9"/>
    <x v="1"/>
    <n v="1"/>
    <n v="5"/>
    <n v="5"/>
    <x v="2"/>
    <x v="3"/>
    <x v="0"/>
    <x v="37"/>
  </r>
  <r>
    <x v="1"/>
    <x v="9"/>
    <x v="5"/>
    <n v="1"/>
    <n v="2"/>
    <n v="5"/>
    <x v="1"/>
    <x v="4"/>
    <x v="4"/>
    <x v="11"/>
  </r>
  <r>
    <x v="1"/>
    <x v="9"/>
    <x v="1"/>
    <n v="1"/>
    <n v="5"/>
    <n v="5"/>
    <x v="3"/>
    <x v="4"/>
    <x v="2"/>
    <x v="46"/>
  </r>
  <r>
    <x v="0"/>
    <x v="9"/>
    <x v="2"/>
    <n v="0"/>
    <n v="3"/>
    <n v="3"/>
    <x v="1"/>
    <x v="1"/>
    <x v="1"/>
    <x v="44"/>
  </r>
  <r>
    <x v="1"/>
    <x v="9"/>
    <x v="0"/>
    <n v="1"/>
    <n v="2"/>
    <n v="4"/>
    <x v="2"/>
    <x v="3"/>
    <x v="2"/>
    <x v="26"/>
  </r>
  <r>
    <x v="1"/>
    <x v="10"/>
    <x v="3"/>
    <n v="1"/>
    <n v="4"/>
    <n v="2"/>
    <x v="1"/>
    <x v="0"/>
    <x v="0"/>
    <x v="21"/>
  </r>
  <r>
    <x v="1"/>
    <x v="10"/>
    <x v="3"/>
    <n v="1"/>
    <n v="2"/>
    <n v="1"/>
    <x v="2"/>
    <x v="3"/>
    <x v="4"/>
    <x v="95"/>
  </r>
  <r>
    <x v="0"/>
    <x v="10"/>
    <x v="5"/>
    <n v="1"/>
    <n v="2"/>
    <n v="4"/>
    <x v="3"/>
    <x v="0"/>
    <x v="0"/>
    <x v="11"/>
  </r>
  <r>
    <x v="0"/>
    <x v="10"/>
    <x v="3"/>
    <n v="1"/>
    <n v="2"/>
    <n v="2"/>
    <x v="1"/>
    <x v="0"/>
    <x v="0"/>
    <x v="96"/>
  </r>
  <r>
    <x v="0"/>
    <x v="10"/>
    <x v="4"/>
    <n v="1"/>
    <n v="4"/>
    <n v="4"/>
    <x v="2"/>
    <x v="4"/>
    <x v="2"/>
    <x v="2"/>
  </r>
  <r>
    <x v="0"/>
    <x v="10"/>
    <x v="5"/>
    <n v="1"/>
    <n v="3"/>
    <n v="4"/>
    <x v="2"/>
    <x v="3"/>
    <x v="0"/>
    <x v="2"/>
  </r>
  <r>
    <x v="0"/>
    <x v="10"/>
    <x v="3"/>
    <n v="1"/>
    <n v="4"/>
    <n v="4"/>
    <x v="2"/>
    <x v="0"/>
    <x v="2"/>
    <x v="4"/>
  </r>
  <r>
    <x v="1"/>
    <x v="10"/>
    <x v="4"/>
    <n v="1"/>
    <n v="2"/>
    <n v="2"/>
    <x v="1"/>
    <x v="4"/>
    <x v="0"/>
    <x v="15"/>
  </r>
  <r>
    <x v="1"/>
    <x v="10"/>
    <x v="4"/>
    <n v="1"/>
    <n v="5"/>
    <n v="4"/>
    <x v="3"/>
    <x v="4"/>
    <x v="4"/>
    <x v="8"/>
  </r>
  <r>
    <x v="0"/>
    <x v="10"/>
    <x v="2"/>
    <n v="0"/>
    <n v="1"/>
    <n v="3"/>
    <x v="2"/>
    <x v="1"/>
    <x v="1"/>
    <x v="14"/>
  </r>
  <r>
    <x v="0"/>
    <x v="10"/>
    <x v="2"/>
    <n v="0"/>
    <n v="2"/>
    <n v="3"/>
    <x v="3"/>
    <x v="1"/>
    <x v="1"/>
    <x v="8"/>
  </r>
  <r>
    <x v="1"/>
    <x v="10"/>
    <x v="4"/>
    <n v="1"/>
    <n v="3"/>
    <n v="4"/>
    <x v="2"/>
    <x v="4"/>
    <x v="4"/>
    <x v="4"/>
  </r>
  <r>
    <x v="0"/>
    <x v="10"/>
    <x v="4"/>
    <n v="1"/>
    <n v="2"/>
    <n v="2"/>
    <x v="2"/>
    <x v="4"/>
    <x v="3"/>
    <x v="2"/>
  </r>
  <r>
    <x v="0"/>
    <x v="10"/>
    <x v="1"/>
    <n v="1"/>
    <n v="3"/>
    <n v="2"/>
    <x v="1"/>
    <x v="2"/>
    <x v="2"/>
    <x v="4"/>
  </r>
  <r>
    <x v="0"/>
    <x v="10"/>
    <x v="1"/>
    <n v="1"/>
    <n v="2"/>
    <n v="4"/>
    <x v="2"/>
    <x v="2"/>
    <x v="2"/>
    <x v="4"/>
  </r>
  <r>
    <x v="0"/>
    <x v="10"/>
    <x v="1"/>
    <n v="1"/>
    <n v="4"/>
    <n v="2"/>
    <x v="1"/>
    <x v="0"/>
    <x v="0"/>
    <x v="15"/>
  </r>
  <r>
    <x v="1"/>
    <x v="10"/>
    <x v="4"/>
    <n v="1"/>
    <n v="2"/>
    <n v="3"/>
    <x v="1"/>
    <x v="4"/>
    <x v="2"/>
    <x v="15"/>
  </r>
  <r>
    <x v="0"/>
    <x v="10"/>
    <x v="4"/>
    <n v="1"/>
    <n v="2"/>
    <n v="2"/>
    <x v="1"/>
    <x v="4"/>
    <x v="5"/>
    <x v="97"/>
  </r>
  <r>
    <x v="1"/>
    <x v="10"/>
    <x v="4"/>
    <n v="1"/>
    <n v="3"/>
    <n v="3"/>
    <x v="2"/>
    <x v="3"/>
    <x v="2"/>
    <x v="35"/>
  </r>
  <r>
    <x v="1"/>
    <x v="10"/>
    <x v="4"/>
    <n v="1"/>
    <n v="2"/>
    <n v="3"/>
    <x v="2"/>
    <x v="4"/>
    <x v="4"/>
    <x v="5"/>
  </r>
  <r>
    <x v="1"/>
    <x v="7"/>
    <x v="4"/>
    <n v="1"/>
    <n v="3"/>
    <n v="2"/>
    <x v="1"/>
    <x v="4"/>
    <x v="3"/>
    <x v="42"/>
  </r>
  <r>
    <x v="1"/>
    <x v="7"/>
    <x v="5"/>
    <n v="1"/>
    <n v="4"/>
    <n v="4"/>
    <x v="2"/>
    <x v="0"/>
    <x v="0"/>
    <x v="4"/>
  </r>
  <r>
    <x v="1"/>
    <x v="7"/>
    <x v="1"/>
    <n v="1"/>
    <n v="4"/>
    <n v="3"/>
    <x v="2"/>
    <x v="0"/>
    <x v="2"/>
    <x v="76"/>
  </r>
  <r>
    <x v="0"/>
    <x v="7"/>
    <x v="0"/>
    <n v="1"/>
    <n v="4"/>
    <n v="3"/>
    <x v="3"/>
    <x v="3"/>
    <x v="0"/>
    <x v="4"/>
  </r>
  <r>
    <x v="1"/>
    <x v="7"/>
    <x v="2"/>
    <n v="0"/>
    <n v="4"/>
    <n v="3"/>
    <x v="2"/>
    <x v="1"/>
    <x v="1"/>
    <x v="98"/>
  </r>
  <r>
    <x v="0"/>
    <x v="7"/>
    <x v="2"/>
    <n v="0"/>
    <n v="3"/>
    <n v="5"/>
    <x v="3"/>
    <x v="1"/>
    <x v="1"/>
    <x v="21"/>
  </r>
  <r>
    <x v="0"/>
    <x v="7"/>
    <x v="3"/>
    <n v="1"/>
    <n v="2"/>
    <n v="5"/>
    <x v="1"/>
    <x v="0"/>
    <x v="0"/>
    <x v="99"/>
  </r>
  <r>
    <x v="0"/>
    <x v="7"/>
    <x v="4"/>
    <n v="1"/>
    <n v="4"/>
    <n v="3"/>
    <x v="3"/>
    <x v="4"/>
    <x v="2"/>
    <x v="67"/>
  </r>
  <r>
    <x v="1"/>
    <x v="7"/>
    <x v="4"/>
    <n v="1"/>
    <n v="3"/>
    <n v="3"/>
    <x v="0"/>
    <x v="4"/>
    <x v="2"/>
    <x v="14"/>
  </r>
  <r>
    <x v="1"/>
    <x v="7"/>
    <x v="5"/>
    <n v="1"/>
    <n v="1"/>
    <n v="3"/>
    <x v="2"/>
    <x v="3"/>
    <x v="2"/>
    <x v="2"/>
  </r>
  <r>
    <x v="0"/>
    <x v="7"/>
    <x v="2"/>
    <n v="0"/>
    <n v="4"/>
    <n v="4"/>
    <x v="3"/>
    <x v="1"/>
    <x v="1"/>
    <x v="15"/>
  </r>
  <r>
    <x v="1"/>
    <x v="7"/>
    <x v="4"/>
    <n v="1"/>
    <n v="3"/>
    <n v="4"/>
    <x v="2"/>
    <x v="4"/>
    <x v="4"/>
    <x v="21"/>
  </r>
  <r>
    <x v="0"/>
    <x v="7"/>
    <x v="2"/>
    <n v="0"/>
    <n v="3"/>
    <n v="3"/>
    <x v="2"/>
    <x v="1"/>
    <x v="1"/>
    <x v="21"/>
  </r>
  <r>
    <x v="0"/>
    <x v="7"/>
    <x v="5"/>
    <n v="1"/>
    <n v="4"/>
    <n v="4"/>
    <x v="2"/>
    <x v="3"/>
    <x v="0"/>
    <x v="15"/>
  </r>
  <r>
    <x v="1"/>
    <x v="3"/>
    <x v="3"/>
    <n v="1"/>
    <n v="3"/>
    <n v="4"/>
    <x v="2"/>
    <x v="3"/>
    <x v="0"/>
    <x v="6"/>
  </r>
  <r>
    <x v="0"/>
    <x v="3"/>
    <x v="5"/>
    <n v="1"/>
    <n v="2"/>
    <n v="2"/>
    <x v="1"/>
    <x v="0"/>
    <x v="2"/>
    <x v="97"/>
  </r>
  <r>
    <x v="0"/>
    <x v="3"/>
    <x v="5"/>
    <n v="1"/>
    <n v="3"/>
    <n v="3"/>
    <x v="2"/>
    <x v="4"/>
    <x v="2"/>
    <x v="100"/>
  </r>
  <r>
    <x v="1"/>
    <x v="3"/>
    <x v="3"/>
    <n v="1"/>
    <n v="4"/>
    <n v="6"/>
    <x v="3"/>
    <x v="4"/>
    <x v="4"/>
    <x v="14"/>
  </r>
  <r>
    <x v="1"/>
    <x v="3"/>
    <x v="5"/>
    <n v="1"/>
    <n v="3"/>
    <n v="3"/>
    <x v="1"/>
    <x v="2"/>
    <x v="4"/>
    <x v="5"/>
  </r>
  <r>
    <x v="1"/>
    <x v="3"/>
    <x v="1"/>
    <n v="1"/>
    <n v="2"/>
    <n v="3"/>
    <x v="2"/>
    <x v="4"/>
    <x v="5"/>
    <x v="14"/>
  </r>
  <r>
    <x v="1"/>
    <x v="3"/>
    <x v="4"/>
    <n v="1"/>
    <n v="4"/>
    <n v="3"/>
    <x v="3"/>
    <x v="2"/>
    <x v="5"/>
    <x v="6"/>
  </r>
  <r>
    <x v="0"/>
    <x v="3"/>
    <x v="3"/>
    <n v="1"/>
    <n v="2"/>
    <n v="2"/>
    <x v="2"/>
    <x v="0"/>
    <x v="2"/>
    <x v="6"/>
  </r>
  <r>
    <x v="1"/>
    <x v="3"/>
    <x v="0"/>
    <n v="1"/>
    <n v="4"/>
    <n v="4"/>
    <x v="0"/>
    <x v="4"/>
    <x v="3"/>
    <x v="6"/>
  </r>
  <r>
    <x v="1"/>
    <x v="3"/>
    <x v="2"/>
    <n v="0"/>
    <n v="2"/>
    <n v="2"/>
    <x v="2"/>
    <x v="1"/>
    <x v="1"/>
    <x v="14"/>
  </r>
  <r>
    <x v="1"/>
    <x v="3"/>
    <x v="0"/>
    <n v="1"/>
    <n v="5"/>
    <n v="4"/>
    <x v="2"/>
    <x v="4"/>
    <x v="3"/>
    <x v="6"/>
  </r>
  <r>
    <x v="0"/>
    <x v="3"/>
    <x v="3"/>
    <n v="1"/>
    <n v="4"/>
    <n v="4"/>
    <x v="1"/>
    <x v="2"/>
    <x v="0"/>
    <x v="71"/>
  </r>
  <r>
    <x v="0"/>
    <x v="3"/>
    <x v="2"/>
    <n v="0"/>
    <n v="4"/>
    <n v="4"/>
    <x v="2"/>
    <x v="1"/>
    <x v="1"/>
    <x v="14"/>
  </r>
  <r>
    <x v="0"/>
    <x v="3"/>
    <x v="3"/>
    <n v="1"/>
    <n v="4"/>
    <n v="6"/>
    <x v="2"/>
    <x v="4"/>
    <x v="4"/>
    <x v="15"/>
  </r>
  <r>
    <x v="1"/>
    <x v="3"/>
    <x v="5"/>
    <n v="1"/>
    <n v="3"/>
    <n v="4"/>
    <x v="2"/>
    <x v="3"/>
    <x v="0"/>
    <x v="29"/>
  </r>
  <r>
    <x v="0"/>
    <x v="3"/>
    <x v="4"/>
    <n v="1"/>
    <n v="4"/>
    <n v="4"/>
    <x v="1"/>
    <x v="4"/>
    <x v="2"/>
    <x v="17"/>
  </r>
  <r>
    <x v="0"/>
    <x v="3"/>
    <x v="2"/>
    <n v="0"/>
    <n v="5"/>
    <n v="5"/>
    <x v="2"/>
    <x v="1"/>
    <x v="1"/>
    <x v="84"/>
  </r>
  <r>
    <x v="0"/>
    <x v="3"/>
    <x v="2"/>
    <n v="0"/>
    <n v="4"/>
    <n v="5"/>
    <x v="2"/>
    <x v="1"/>
    <x v="1"/>
    <x v="62"/>
  </r>
  <r>
    <x v="0"/>
    <x v="3"/>
    <x v="4"/>
    <n v="1"/>
    <n v="3"/>
    <n v="6"/>
    <x v="2"/>
    <x v="0"/>
    <x v="0"/>
    <x v="65"/>
  </r>
  <r>
    <x v="1"/>
    <x v="3"/>
    <x v="3"/>
    <n v="1"/>
    <n v="4"/>
    <n v="3"/>
    <x v="1"/>
    <x v="3"/>
    <x v="0"/>
    <x v="15"/>
  </r>
  <r>
    <x v="1"/>
    <x v="3"/>
    <x v="4"/>
    <n v="1"/>
    <n v="4"/>
    <n v="6"/>
    <x v="3"/>
    <x v="0"/>
    <x v="4"/>
    <x v="31"/>
  </r>
  <r>
    <x v="0"/>
    <x v="3"/>
    <x v="2"/>
    <n v="0"/>
    <n v="3"/>
    <n v="5"/>
    <x v="1"/>
    <x v="1"/>
    <x v="1"/>
    <x v="4"/>
  </r>
  <r>
    <x v="1"/>
    <x v="3"/>
    <x v="3"/>
    <n v="1"/>
    <n v="5"/>
    <n v="6"/>
    <x v="3"/>
    <x v="0"/>
    <x v="2"/>
    <x v="24"/>
  </r>
  <r>
    <x v="0"/>
    <x v="3"/>
    <x v="2"/>
    <n v="0"/>
    <n v="2"/>
    <n v="4"/>
    <x v="1"/>
    <x v="1"/>
    <x v="1"/>
    <x v="36"/>
  </r>
  <r>
    <x v="1"/>
    <x v="7"/>
    <x v="4"/>
    <n v="1"/>
    <n v="4"/>
    <n v="2"/>
    <x v="2"/>
    <x v="0"/>
    <x v="3"/>
    <x v="7"/>
  </r>
  <r>
    <x v="1"/>
    <x v="7"/>
    <x v="4"/>
    <n v="1"/>
    <n v="4"/>
    <n v="3"/>
    <x v="0"/>
    <x v="4"/>
    <x v="2"/>
    <x v="14"/>
  </r>
  <r>
    <x v="1"/>
    <x v="7"/>
    <x v="4"/>
    <n v="1"/>
    <n v="2"/>
    <n v="2"/>
    <x v="2"/>
    <x v="2"/>
    <x v="5"/>
    <x v="38"/>
  </r>
  <r>
    <x v="0"/>
    <x v="7"/>
    <x v="2"/>
    <n v="0"/>
    <n v="3"/>
    <n v="4"/>
    <x v="1"/>
    <x v="1"/>
    <x v="1"/>
    <x v="8"/>
  </r>
  <r>
    <x v="1"/>
    <x v="7"/>
    <x v="4"/>
    <n v="1"/>
    <n v="2"/>
    <n v="2"/>
    <x v="1"/>
    <x v="4"/>
    <x v="3"/>
    <x v="14"/>
  </r>
  <r>
    <x v="1"/>
    <x v="7"/>
    <x v="1"/>
    <n v="1"/>
    <n v="3"/>
    <n v="3"/>
    <x v="2"/>
    <x v="4"/>
    <x v="4"/>
    <x v="21"/>
  </r>
  <r>
    <x v="0"/>
    <x v="7"/>
    <x v="2"/>
    <n v="0"/>
    <n v="3"/>
    <n v="3"/>
    <x v="2"/>
    <x v="1"/>
    <x v="1"/>
    <x v="21"/>
  </r>
  <r>
    <x v="1"/>
    <x v="7"/>
    <x v="5"/>
    <n v="1"/>
    <n v="4"/>
    <n v="4"/>
    <x v="1"/>
    <x v="2"/>
    <x v="4"/>
    <x v="34"/>
  </r>
  <r>
    <x v="1"/>
    <x v="1"/>
    <x v="4"/>
    <n v="1"/>
    <n v="1"/>
    <n v="2"/>
    <x v="1"/>
    <x v="3"/>
    <x v="4"/>
    <x v="5"/>
  </r>
  <r>
    <x v="1"/>
    <x v="1"/>
    <x v="2"/>
    <n v="0"/>
    <n v="1"/>
    <n v="2"/>
    <x v="1"/>
    <x v="1"/>
    <x v="1"/>
    <x v="3"/>
  </r>
  <r>
    <x v="1"/>
    <x v="1"/>
    <x v="5"/>
    <n v="1"/>
    <n v="3"/>
    <n v="4"/>
    <x v="2"/>
    <x v="0"/>
    <x v="0"/>
    <x v="13"/>
  </r>
  <r>
    <x v="1"/>
    <x v="1"/>
    <x v="4"/>
    <n v="1"/>
    <n v="3"/>
    <n v="4"/>
    <x v="2"/>
    <x v="4"/>
    <x v="3"/>
    <x v="63"/>
  </r>
  <r>
    <x v="0"/>
    <x v="4"/>
    <x v="3"/>
    <n v="1"/>
    <n v="3"/>
    <n v="4"/>
    <x v="3"/>
    <x v="0"/>
    <x v="2"/>
    <x v="20"/>
  </r>
  <r>
    <x v="1"/>
    <x v="4"/>
    <x v="0"/>
    <n v="1"/>
    <n v="4"/>
    <n v="4"/>
    <x v="2"/>
    <x v="4"/>
    <x v="0"/>
    <x v="20"/>
  </r>
  <r>
    <x v="0"/>
    <x v="4"/>
    <x v="2"/>
    <n v="0"/>
    <n v="0"/>
    <n v="0"/>
    <x v="4"/>
    <x v="1"/>
    <x v="1"/>
    <x v="20"/>
  </r>
  <r>
    <x v="1"/>
    <x v="0"/>
    <x v="2"/>
    <n v="0"/>
    <n v="4"/>
    <n v="5"/>
    <x v="3"/>
    <x v="1"/>
    <x v="1"/>
    <x v="6"/>
  </r>
  <r>
    <x v="1"/>
    <x v="0"/>
    <x v="2"/>
    <n v="0"/>
    <n v="2"/>
    <n v="3"/>
    <x v="2"/>
    <x v="1"/>
    <x v="1"/>
    <x v="101"/>
  </r>
  <r>
    <x v="1"/>
    <x v="0"/>
    <x v="0"/>
    <n v="1"/>
    <n v="1"/>
    <n v="2"/>
    <x v="2"/>
    <x v="3"/>
    <x v="3"/>
    <x v="11"/>
  </r>
  <r>
    <x v="0"/>
    <x v="1"/>
    <x v="5"/>
    <n v="1"/>
    <n v="4"/>
    <n v="4"/>
    <x v="1"/>
    <x v="0"/>
    <x v="0"/>
    <x v="14"/>
  </r>
  <r>
    <x v="0"/>
    <x v="1"/>
    <x v="3"/>
    <n v="1"/>
    <n v="3"/>
    <n v="4"/>
    <x v="2"/>
    <x v="3"/>
    <x v="5"/>
    <x v="102"/>
  </r>
  <r>
    <x v="0"/>
    <x v="1"/>
    <x v="1"/>
    <n v="1"/>
    <n v="2"/>
    <n v="2"/>
    <x v="2"/>
    <x v="2"/>
    <x v="4"/>
    <x v="45"/>
  </r>
  <r>
    <x v="1"/>
    <x v="1"/>
    <x v="1"/>
    <n v="1"/>
    <n v="2"/>
    <n v="4"/>
    <x v="2"/>
    <x v="0"/>
    <x v="4"/>
    <x v="38"/>
  </r>
  <r>
    <x v="1"/>
    <x v="1"/>
    <x v="1"/>
    <n v="1"/>
    <n v="2"/>
    <n v="4"/>
    <x v="1"/>
    <x v="2"/>
    <x v="4"/>
    <x v="11"/>
  </r>
  <r>
    <x v="0"/>
    <x v="1"/>
    <x v="2"/>
    <n v="0"/>
    <n v="3"/>
    <n v="3"/>
    <x v="2"/>
    <x v="1"/>
    <x v="1"/>
    <x v="41"/>
  </r>
  <r>
    <x v="1"/>
    <x v="1"/>
    <x v="5"/>
    <n v="1"/>
    <n v="4"/>
    <n v="3"/>
    <x v="2"/>
    <x v="0"/>
    <x v="2"/>
    <x v="4"/>
  </r>
  <r>
    <x v="1"/>
    <x v="1"/>
    <x v="0"/>
    <n v="1"/>
    <n v="3"/>
    <n v="3"/>
    <x v="1"/>
    <x v="0"/>
    <x v="5"/>
    <x v="81"/>
  </r>
  <r>
    <x v="1"/>
    <x v="8"/>
    <x v="3"/>
    <n v="1"/>
    <n v="5"/>
    <n v="5"/>
    <x v="2"/>
    <x v="3"/>
    <x v="0"/>
    <x v="20"/>
  </r>
  <r>
    <x v="0"/>
    <x v="3"/>
    <x v="4"/>
    <n v="1"/>
    <n v="4"/>
    <n v="5"/>
    <x v="0"/>
    <x v="3"/>
    <x v="4"/>
    <x v="21"/>
  </r>
  <r>
    <x v="0"/>
    <x v="3"/>
    <x v="4"/>
    <n v="1"/>
    <n v="4"/>
    <n v="4"/>
    <x v="2"/>
    <x v="3"/>
    <x v="4"/>
    <x v="19"/>
  </r>
  <r>
    <x v="0"/>
    <x v="8"/>
    <x v="3"/>
    <n v="1"/>
    <n v="5"/>
    <n v="5"/>
    <x v="4"/>
    <x v="3"/>
    <x v="2"/>
    <x v="103"/>
  </r>
  <r>
    <x v="2"/>
    <x v="11"/>
    <x v="6"/>
    <m/>
    <m/>
    <m/>
    <x v="5"/>
    <x v="5"/>
    <x v="6"/>
    <x v="104"/>
  </r>
  <r>
    <x v="2"/>
    <x v="11"/>
    <x v="6"/>
    <m/>
    <m/>
    <m/>
    <x v="5"/>
    <x v="5"/>
    <x v="6"/>
    <x v="104"/>
  </r>
  <r>
    <x v="2"/>
    <x v="11"/>
    <x v="6"/>
    <m/>
    <m/>
    <m/>
    <x v="5"/>
    <x v="5"/>
    <x v="6"/>
    <x v="104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0">
  <r>
    <n v="0"/>
    <x v="0"/>
    <x v="0"/>
    <n v="0"/>
    <n v="0"/>
    <n v="0"/>
    <x v="0"/>
    <n v="0"/>
    <n v="0"/>
    <x v="0"/>
    <x v="0"/>
  </r>
  <r>
    <n v="0"/>
    <x v="1"/>
    <x v="0"/>
    <n v="0"/>
    <n v="1"/>
    <n v="3"/>
    <x v="1"/>
    <n v="0"/>
    <n v="0"/>
    <x v="1"/>
    <x v="1"/>
  </r>
  <r>
    <n v="0"/>
    <x v="2"/>
    <x v="0"/>
    <n v="0"/>
    <n v="1"/>
    <n v="3"/>
    <x v="1"/>
    <n v="0"/>
    <n v="0"/>
    <x v="2"/>
    <x v="2"/>
  </r>
  <r>
    <n v="0"/>
    <x v="3"/>
    <x v="0"/>
    <n v="0"/>
    <n v="1"/>
    <n v="1"/>
    <x v="1"/>
    <n v="0"/>
    <n v="0"/>
    <x v="3"/>
    <x v="2"/>
  </r>
  <r>
    <n v="0"/>
    <x v="4"/>
    <x v="0"/>
    <n v="0"/>
    <n v="1"/>
    <n v="3"/>
    <x v="2"/>
    <n v="0"/>
    <n v="0"/>
    <x v="4"/>
    <x v="2"/>
  </r>
  <r>
    <n v="0"/>
    <x v="3"/>
    <x v="0"/>
    <n v="0"/>
    <n v="2"/>
    <n v="3"/>
    <x v="1"/>
    <n v="0"/>
    <n v="0"/>
    <x v="5"/>
    <x v="3"/>
  </r>
  <r>
    <n v="0"/>
    <x v="3"/>
    <x v="0"/>
    <n v="0"/>
    <n v="2"/>
    <n v="3"/>
    <x v="1"/>
    <n v="0"/>
    <n v="0"/>
    <x v="6"/>
    <x v="3"/>
  </r>
  <r>
    <n v="0"/>
    <x v="5"/>
    <x v="0"/>
    <n v="0"/>
    <n v="2"/>
    <n v="4"/>
    <x v="1"/>
    <n v="0"/>
    <n v="0"/>
    <x v="6"/>
    <x v="3"/>
  </r>
  <r>
    <n v="0"/>
    <x v="6"/>
    <x v="0"/>
    <n v="0"/>
    <n v="2"/>
    <n v="2"/>
    <x v="1"/>
    <n v="0"/>
    <n v="0"/>
    <x v="7"/>
    <x v="3"/>
  </r>
  <r>
    <n v="0"/>
    <x v="7"/>
    <x v="0"/>
    <n v="0"/>
    <n v="2"/>
    <n v="3"/>
    <x v="1"/>
    <n v="0"/>
    <n v="0"/>
    <x v="4"/>
    <x v="2"/>
  </r>
  <r>
    <n v="0"/>
    <x v="5"/>
    <x v="0"/>
    <n v="0"/>
    <n v="2"/>
    <n v="3"/>
    <x v="1"/>
    <n v="0"/>
    <n v="0"/>
    <x v="4"/>
    <x v="2"/>
  </r>
  <r>
    <n v="0"/>
    <x v="5"/>
    <x v="0"/>
    <n v="0"/>
    <n v="2"/>
    <n v="3"/>
    <x v="1"/>
    <n v="0"/>
    <n v="0"/>
    <x v="4"/>
    <x v="2"/>
  </r>
  <r>
    <n v="0"/>
    <x v="3"/>
    <x v="0"/>
    <n v="0"/>
    <n v="2"/>
    <n v="2"/>
    <x v="1"/>
    <n v="0"/>
    <n v="0"/>
    <x v="3"/>
    <x v="2"/>
  </r>
  <r>
    <n v="0"/>
    <x v="7"/>
    <x v="0"/>
    <n v="0"/>
    <n v="2"/>
    <n v="2"/>
    <x v="1"/>
    <n v="0"/>
    <n v="0"/>
    <x v="8"/>
    <x v="2"/>
  </r>
  <r>
    <n v="0"/>
    <x v="3"/>
    <x v="0"/>
    <n v="0"/>
    <n v="2"/>
    <n v="5"/>
    <x v="1"/>
    <n v="0"/>
    <n v="0"/>
    <x v="9"/>
    <x v="0"/>
  </r>
  <r>
    <n v="0"/>
    <x v="5"/>
    <x v="0"/>
    <n v="0"/>
    <n v="2"/>
    <n v="4"/>
    <x v="1"/>
    <n v="0"/>
    <n v="0"/>
    <x v="10"/>
    <x v="0"/>
  </r>
  <r>
    <n v="0"/>
    <x v="3"/>
    <x v="0"/>
    <n v="0"/>
    <n v="2"/>
    <n v="4"/>
    <x v="1"/>
    <n v="0"/>
    <n v="0"/>
    <x v="11"/>
    <x v="0"/>
  </r>
  <r>
    <n v="0"/>
    <x v="3"/>
    <x v="0"/>
    <n v="0"/>
    <n v="2"/>
    <n v="2"/>
    <x v="1"/>
    <n v="0"/>
    <n v="0"/>
    <x v="12"/>
    <x v="0"/>
  </r>
  <r>
    <n v="0"/>
    <x v="3"/>
    <x v="0"/>
    <n v="0"/>
    <n v="2"/>
    <n v="3"/>
    <x v="1"/>
    <n v="0"/>
    <n v="0"/>
    <x v="13"/>
    <x v="0"/>
  </r>
  <r>
    <n v="0"/>
    <x v="3"/>
    <x v="0"/>
    <n v="0"/>
    <n v="2"/>
    <n v="5"/>
    <x v="1"/>
    <n v="0"/>
    <n v="0"/>
    <x v="13"/>
    <x v="0"/>
  </r>
  <r>
    <n v="0"/>
    <x v="3"/>
    <x v="0"/>
    <n v="0"/>
    <n v="2"/>
    <n v="4"/>
    <x v="1"/>
    <n v="0"/>
    <n v="0"/>
    <x v="14"/>
    <x v="0"/>
  </r>
  <r>
    <n v="0"/>
    <x v="1"/>
    <x v="0"/>
    <n v="0"/>
    <n v="2"/>
    <n v="3"/>
    <x v="2"/>
    <n v="0"/>
    <n v="0"/>
    <x v="7"/>
    <x v="3"/>
  </r>
  <r>
    <n v="0"/>
    <x v="6"/>
    <x v="0"/>
    <n v="0"/>
    <n v="2"/>
    <n v="3"/>
    <x v="2"/>
    <n v="0"/>
    <n v="0"/>
    <x v="15"/>
    <x v="2"/>
  </r>
  <r>
    <n v="0"/>
    <x v="6"/>
    <x v="0"/>
    <n v="0"/>
    <n v="2"/>
    <n v="4"/>
    <x v="2"/>
    <n v="0"/>
    <n v="0"/>
    <x v="16"/>
    <x v="2"/>
  </r>
  <r>
    <n v="0"/>
    <x v="5"/>
    <x v="0"/>
    <n v="0"/>
    <n v="2"/>
    <n v="2"/>
    <x v="2"/>
    <n v="0"/>
    <n v="0"/>
    <x v="17"/>
    <x v="2"/>
  </r>
  <r>
    <n v="0"/>
    <x v="6"/>
    <x v="0"/>
    <n v="0"/>
    <n v="2"/>
    <n v="2"/>
    <x v="2"/>
    <n v="0"/>
    <n v="0"/>
    <x v="18"/>
    <x v="2"/>
  </r>
  <r>
    <n v="0"/>
    <x v="3"/>
    <x v="0"/>
    <n v="0"/>
    <n v="2"/>
    <n v="2"/>
    <x v="2"/>
    <n v="0"/>
    <n v="0"/>
    <x v="18"/>
    <x v="2"/>
  </r>
  <r>
    <n v="0"/>
    <x v="3"/>
    <x v="0"/>
    <n v="0"/>
    <n v="2"/>
    <n v="3"/>
    <x v="2"/>
    <n v="0"/>
    <n v="0"/>
    <x v="18"/>
    <x v="2"/>
  </r>
  <r>
    <n v="0"/>
    <x v="3"/>
    <x v="0"/>
    <n v="0"/>
    <n v="2"/>
    <n v="2"/>
    <x v="2"/>
    <n v="0"/>
    <n v="0"/>
    <x v="19"/>
    <x v="0"/>
  </r>
  <r>
    <n v="0"/>
    <x v="3"/>
    <x v="0"/>
    <n v="0"/>
    <n v="2"/>
    <n v="3"/>
    <x v="2"/>
    <n v="0"/>
    <n v="0"/>
    <x v="9"/>
    <x v="0"/>
  </r>
  <r>
    <n v="0"/>
    <x v="3"/>
    <x v="0"/>
    <n v="0"/>
    <n v="2"/>
    <n v="4"/>
    <x v="2"/>
    <n v="0"/>
    <n v="0"/>
    <x v="20"/>
    <x v="0"/>
  </r>
  <r>
    <n v="0"/>
    <x v="2"/>
    <x v="0"/>
    <n v="0"/>
    <n v="2"/>
    <n v="4"/>
    <x v="2"/>
    <n v="0"/>
    <n v="0"/>
    <x v="13"/>
    <x v="0"/>
  </r>
  <r>
    <n v="0"/>
    <x v="7"/>
    <x v="0"/>
    <n v="0"/>
    <n v="2"/>
    <n v="4"/>
    <x v="2"/>
    <n v="0"/>
    <n v="0"/>
    <x v="21"/>
    <x v="0"/>
  </r>
  <r>
    <n v="0"/>
    <x v="3"/>
    <x v="0"/>
    <n v="0"/>
    <n v="2"/>
    <n v="2"/>
    <x v="2"/>
    <n v="0"/>
    <n v="0"/>
    <x v="22"/>
    <x v="0"/>
  </r>
  <r>
    <n v="0"/>
    <x v="3"/>
    <x v="0"/>
    <n v="0"/>
    <n v="2"/>
    <n v="3"/>
    <x v="2"/>
    <n v="0"/>
    <n v="0"/>
    <x v="22"/>
    <x v="0"/>
  </r>
  <r>
    <n v="0"/>
    <x v="2"/>
    <x v="0"/>
    <n v="0"/>
    <n v="2"/>
    <n v="5"/>
    <x v="2"/>
    <n v="0"/>
    <n v="0"/>
    <x v="0"/>
    <x v="0"/>
  </r>
  <r>
    <n v="0"/>
    <x v="6"/>
    <x v="0"/>
    <n v="0"/>
    <n v="2"/>
    <n v="3"/>
    <x v="3"/>
    <n v="0"/>
    <n v="0"/>
    <x v="6"/>
    <x v="3"/>
  </r>
  <r>
    <n v="0"/>
    <x v="1"/>
    <x v="0"/>
    <n v="0"/>
    <n v="2"/>
    <n v="2"/>
    <x v="3"/>
    <n v="0"/>
    <n v="0"/>
    <x v="7"/>
    <x v="3"/>
  </r>
  <r>
    <n v="0"/>
    <x v="1"/>
    <x v="0"/>
    <n v="0"/>
    <n v="2"/>
    <n v="4"/>
    <x v="3"/>
    <n v="0"/>
    <n v="0"/>
    <x v="3"/>
    <x v="2"/>
  </r>
  <r>
    <n v="0"/>
    <x v="5"/>
    <x v="0"/>
    <n v="0"/>
    <n v="2"/>
    <n v="4"/>
    <x v="3"/>
    <n v="0"/>
    <n v="0"/>
    <x v="3"/>
    <x v="2"/>
  </r>
  <r>
    <n v="0"/>
    <x v="5"/>
    <x v="0"/>
    <n v="0"/>
    <n v="2"/>
    <n v="3"/>
    <x v="3"/>
    <n v="0"/>
    <n v="0"/>
    <x v="18"/>
    <x v="2"/>
  </r>
  <r>
    <n v="0"/>
    <x v="2"/>
    <x v="0"/>
    <n v="0"/>
    <n v="2"/>
    <n v="4"/>
    <x v="3"/>
    <n v="0"/>
    <n v="0"/>
    <x v="18"/>
    <x v="2"/>
  </r>
  <r>
    <n v="0"/>
    <x v="6"/>
    <x v="0"/>
    <n v="0"/>
    <n v="2"/>
    <n v="3"/>
    <x v="3"/>
    <n v="0"/>
    <n v="0"/>
    <x v="12"/>
    <x v="0"/>
  </r>
  <r>
    <n v="0"/>
    <x v="4"/>
    <x v="0"/>
    <n v="0"/>
    <n v="2"/>
    <n v="3"/>
    <x v="3"/>
    <n v="0"/>
    <n v="0"/>
    <x v="13"/>
    <x v="0"/>
  </r>
  <r>
    <n v="0"/>
    <x v="1"/>
    <x v="0"/>
    <n v="0"/>
    <n v="2"/>
    <n v="3"/>
    <x v="3"/>
    <n v="0"/>
    <n v="0"/>
    <x v="22"/>
    <x v="0"/>
  </r>
  <r>
    <n v="0"/>
    <x v="1"/>
    <x v="0"/>
    <n v="0"/>
    <n v="2"/>
    <n v="3"/>
    <x v="3"/>
    <n v="0"/>
    <n v="0"/>
    <x v="23"/>
    <x v="0"/>
  </r>
  <r>
    <n v="0"/>
    <x v="8"/>
    <x v="0"/>
    <n v="0"/>
    <n v="3"/>
    <n v="5"/>
    <x v="0"/>
    <n v="0"/>
    <n v="0"/>
    <x v="9"/>
    <x v="0"/>
  </r>
  <r>
    <n v="0"/>
    <x v="9"/>
    <x v="0"/>
    <n v="0"/>
    <n v="3"/>
    <n v="5"/>
    <x v="0"/>
    <n v="0"/>
    <n v="0"/>
    <x v="24"/>
    <x v="0"/>
  </r>
  <r>
    <n v="0"/>
    <x v="8"/>
    <x v="0"/>
    <n v="0"/>
    <n v="3"/>
    <n v="4"/>
    <x v="0"/>
    <n v="0"/>
    <n v="0"/>
    <x v="0"/>
    <x v="0"/>
  </r>
  <r>
    <n v="0"/>
    <x v="8"/>
    <x v="0"/>
    <n v="0"/>
    <n v="3"/>
    <n v="5"/>
    <x v="0"/>
    <n v="0"/>
    <n v="0"/>
    <x v="0"/>
    <x v="0"/>
  </r>
  <r>
    <n v="0"/>
    <x v="5"/>
    <x v="0"/>
    <n v="0"/>
    <n v="3"/>
    <n v="3"/>
    <x v="1"/>
    <n v="0"/>
    <n v="0"/>
    <x v="7"/>
    <x v="3"/>
  </r>
  <r>
    <n v="0"/>
    <x v="6"/>
    <x v="0"/>
    <n v="0"/>
    <n v="3"/>
    <n v="2"/>
    <x v="1"/>
    <n v="0"/>
    <n v="0"/>
    <x v="15"/>
    <x v="2"/>
  </r>
  <r>
    <n v="0"/>
    <x v="1"/>
    <x v="0"/>
    <n v="0"/>
    <n v="3"/>
    <n v="2"/>
    <x v="1"/>
    <n v="0"/>
    <n v="0"/>
    <x v="25"/>
    <x v="2"/>
  </r>
  <r>
    <n v="0"/>
    <x v="1"/>
    <x v="0"/>
    <n v="0"/>
    <n v="3"/>
    <n v="3"/>
    <x v="1"/>
    <n v="0"/>
    <n v="0"/>
    <x v="18"/>
    <x v="2"/>
  </r>
  <r>
    <n v="0"/>
    <x v="1"/>
    <x v="0"/>
    <n v="0"/>
    <n v="3"/>
    <n v="4"/>
    <x v="1"/>
    <n v="0"/>
    <n v="0"/>
    <x v="18"/>
    <x v="2"/>
  </r>
  <r>
    <n v="0"/>
    <x v="5"/>
    <x v="0"/>
    <n v="0"/>
    <n v="3"/>
    <n v="5"/>
    <x v="1"/>
    <n v="0"/>
    <n v="0"/>
    <x v="9"/>
    <x v="0"/>
  </r>
  <r>
    <n v="0"/>
    <x v="3"/>
    <x v="0"/>
    <n v="0"/>
    <n v="3"/>
    <n v="4"/>
    <x v="1"/>
    <n v="0"/>
    <n v="0"/>
    <x v="13"/>
    <x v="0"/>
  </r>
  <r>
    <n v="0"/>
    <x v="2"/>
    <x v="0"/>
    <n v="0"/>
    <n v="3"/>
    <n v="3"/>
    <x v="1"/>
    <n v="0"/>
    <n v="0"/>
    <x v="26"/>
    <x v="0"/>
  </r>
  <r>
    <n v="0"/>
    <x v="7"/>
    <x v="0"/>
    <n v="0"/>
    <n v="3"/>
    <n v="5"/>
    <x v="1"/>
    <n v="0"/>
    <n v="0"/>
    <x v="27"/>
    <x v="0"/>
  </r>
  <r>
    <n v="0"/>
    <x v="3"/>
    <x v="0"/>
    <n v="0"/>
    <n v="3"/>
    <n v="4"/>
    <x v="2"/>
    <n v="0"/>
    <n v="0"/>
    <x v="28"/>
    <x v="3"/>
  </r>
  <r>
    <n v="0"/>
    <x v="1"/>
    <x v="0"/>
    <n v="0"/>
    <n v="3"/>
    <n v="2"/>
    <x v="2"/>
    <n v="0"/>
    <n v="0"/>
    <x v="7"/>
    <x v="3"/>
  </r>
  <r>
    <n v="0"/>
    <x v="6"/>
    <x v="0"/>
    <n v="0"/>
    <n v="3"/>
    <n v="2"/>
    <x v="2"/>
    <n v="0"/>
    <n v="0"/>
    <x v="29"/>
    <x v="3"/>
  </r>
  <r>
    <n v="0"/>
    <x v="6"/>
    <x v="0"/>
    <n v="0"/>
    <n v="3"/>
    <n v="5"/>
    <x v="2"/>
    <n v="0"/>
    <n v="0"/>
    <x v="30"/>
    <x v="3"/>
  </r>
  <r>
    <n v="0"/>
    <x v="3"/>
    <x v="0"/>
    <n v="0"/>
    <n v="3"/>
    <n v="3"/>
    <x v="2"/>
    <n v="0"/>
    <n v="0"/>
    <x v="3"/>
    <x v="2"/>
  </r>
  <r>
    <n v="0"/>
    <x v="3"/>
    <x v="0"/>
    <n v="0"/>
    <n v="3"/>
    <n v="3"/>
    <x v="2"/>
    <n v="0"/>
    <n v="0"/>
    <x v="3"/>
    <x v="2"/>
  </r>
  <r>
    <n v="0"/>
    <x v="5"/>
    <x v="0"/>
    <n v="0"/>
    <n v="3"/>
    <n v="4"/>
    <x v="2"/>
    <n v="0"/>
    <n v="0"/>
    <x v="3"/>
    <x v="2"/>
  </r>
  <r>
    <n v="0"/>
    <x v="5"/>
    <x v="0"/>
    <n v="0"/>
    <n v="3"/>
    <n v="5"/>
    <x v="2"/>
    <n v="0"/>
    <n v="0"/>
    <x v="18"/>
    <x v="2"/>
  </r>
  <r>
    <n v="0"/>
    <x v="2"/>
    <x v="0"/>
    <n v="0"/>
    <n v="3"/>
    <n v="4"/>
    <x v="2"/>
    <n v="0"/>
    <n v="0"/>
    <x v="31"/>
    <x v="0"/>
  </r>
  <r>
    <n v="0"/>
    <x v="7"/>
    <x v="0"/>
    <n v="0"/>
    <n v="3"/>
    <n v="1"/>
    <x v="2"/>
    <n v="0"/>
    <n v="0"/>
    <x v="9"/>
    <x v="0"/>
  </r>
  <r>
    <n v="0"/>
    <x v="6"/>
    <x v="0"/>
    <n v="0"/>
    <n v="3"/>
    <n v="3"/>
    <x v="2"/>
    <n v="0"/>
    <n v="0"/>
    <x v="9"/>
    <x v="0"/>
  </r>
  <r>
    <n v="0"/>
    <x v="6"/>
    <x v="0"/>
    <n v="0"/>
    <n v="3"/>
    <n v="4"/>
    <x v="2"/>
    <n v="0"/>
    <n v="0"/>
    <x v="9"/>
    <x v="0"/>
  </r>
  <r>
    <n v="0"/>
    <x v="5"/>
    <x v="0"/>
    <n v="0"/>
    <n v="3"/>
    <n v="4"/>
    <x v="2"/>
    <n v="0"/>
    <n v="0"/>
    <x v="9"/>
    <x v="0"/>
  </r>
  <r>
    <n v="0"/>
    <x v="5"/>
    <x v="0"/>
    <n v="0"/>
    <n v="3"/>
    <n v="5"/>
    <x v="2"/>
    <n v="0"/>
    <n v="0"/>
    <x v="9"/>
    <x v="0"/>
  </r>
  <r>
    <n v="0"/>
    <x v="6"/>
    <x v="0"/>
    <n v="0"/>
    <n v="3"/>
    <n v="4"/>
    <x v="2"/>
    <n v="0"/>
    <n v="0"/>
    <x v="10"/>
    <x v="0"/>
  </r>
  <r>
    <n v="0"/>
    <x v="6"/>
    <x v="0"/>
    <n v="0"/>
    <n v="3"/>
    <n v="4"/>
    <x v="2"/>
    <n v="0"/>
    <n v="0"/>
    <x v="32"/>
    <x v="0"/>
  </r>
  <r>
    <n v="0"/>
    <x v="7"/>
    <x v="0"/>
    <n v="0"/>
    <n v="3"/>
    <n v="3"/>
    <x v="2"/>
    <n v="0"/>
    <n v="0"/>
    <x v="27"/>
    <x v="0"/>
  </r>
  <r>
    <n v="0"/>
    <x v="3"/>
    <x v="0"/>
    <n v="0"/>
    <n v="3"/>
    <n v="3"/>
    <x v="2"/>
    <n v="0"/>
    <n v="0"/>
    <x v="22"/>
    <x v="0"/>
  </r>
  <r>
    <n v="0"/>
    <x v="2"/>
    <x v="0"/>
    <n v="0"/>
    <n v="3"/>
    <n v="3"/>
    <x v="3"/>
    <n v="0"/>
    <n v="0"/>
    <x v="33"/>
    <x v="2"/>
  </r>
  <r>
    <n v="0"/>
    <x v="6"/>
    <x v="0"/>
    <n v="0"/>
    <n v="3"/>
    <n v="4"/>
    <x v="3"/>
    <n v="0"/>
    <n v="0"/>
    <x v="3"/>
    <x v="2"/>
  </r>
  <r>
    <n v="0"/>
    <x v="3"/>
    <x v="0"/>
    <n v="0"/>
    <n v="3"/>
    <n v="5"/>
    <x v="3"/>
    <n v="0"/>
    <n v="0"/>
    <x v="3"/>
    <x v="2"/>
  </r>
  <r>
    <n v="0"/>
    <x v="3"/>
    <x v="0"/>
    <n v="0"/>
    <n v="3"/>
    <n v="3"/>
    <x v="3"/>
    <n v="0"/>
    <n v="0"/>
    <x v="34"/>
    <x v="2"/>
  </r>
  <r>
    <n v="0"/>
    <x v="8"/>
    <x v="0"/>
    <n v="0"/>
    <n v="4"/>
    <n v="4"/>
    <x v="0"/>
    <n v="0"/>
    <n v="0"/>
    <x v="18"/>
    <x v="2"/>
  </r>
  <r>
    <n v="0"/>
    <x v="9"/>
    <x v="0"/>
    <n v="0"/>
    <n v="4"/>
    <n v="5"/>
    <x v="0"/>
    <n v="0"/>
    <n v="0"/>
    <x v="13"/>
    <x v="0"/>
  </r>
  <r>
    <n v="0"/>
    <x v="9"/>
    <x v="0"/>
    <n v="0"/>
    <n v="4"/>
    <n v="4"/>
    <x v="0"/>
    <n v="0"/>
    <n v="0"/>
    <x v="22"/>
    <x v="0"/>
  </r>
  <r>
    <n v="0"/>
    <x v="8"/>
    <x v="0"/>
    <n v="0"/>
    <n v="4"/>
    <n v="3"/>
    <x v="0"/>
    <n v="0"/>
    <n v="0"/>
    <x v="0"/>
    <x v="0"/>
  </r>
  <r>
    <n v="0"/>
    <x v="9"/>
    <x v="0"/>
    <n v="0"/>
    <n v="4"/>
    <n v="4"/>
    <x v="0"/>
    <n v="0"/>
    <n v="0"/>
    <x v="0"/>
    <x v="0"/>
  </r>
  <r>
    <n v="0"/>
    <x v="9"/>
    <x v="0"/>
    <n v="0"/>
    <n v="4"/>
    <n v="4"/>
    <x v="0"/>
    <n v="0"/>
    <n v="0"/>
    <x v="0"/>
    <x v="0"/>
  </r>
  <r>
    <n v="0"/>
    <x v="8"/>
    <x v="0"/>
    <n v="0"/>
    <n v="4"/>
    <n v="4"/>
    <x v="0"/>
    <n v="0"/>
    <n v="0"/>
    <x v="0"/>
    <x v="0"/>
  </r>
  <r>
    <n v="0"/>
    <x v="8"/>
    <x v="0"/>
    <n v="0"/>
    <n v="4"/>
    <n v="4"/>
    <x v="0"/>
    <n v="0"/>
    <n v="0"/>
    <x v="0"/>
    <x v="0"/>
  </r>
  <r>
    <n v="0"/>
    <x v="8"/>
    <x v="0"/>
    <n v="0"/>
    <n v="4"/>
    <n v="4"/>
    <x v="0"/>
    <n v="0"/>
    <n v="0"/>
    <x v="0"/>
    <x v="0"/>
  </r>
  <r>
    <n v="0"/>
    <x v="8"/>
    <x v="0"/>
    <n v="0"/>
    <n v="4"/>
    <n v="4"/>
    <x v="0"/>
    <n v="0"/>
    <n v="0"/>
    <x v="0"/>
    <x v="0"/>
  </r>
  <r>
    <n v="0"/>
    <x v="9"/>
    <x v="0"/>
    <n v="0"/>
    <n v="4"/>
    <n v="5"/>
    <x v="0"/>
    <n v="0"/>
    <n v="0"/>
    <x v="0"/>
    <x v="0"/>
  </r>
  <r>
    <n v="0"/>
    <x v="8"/>
    <x v="0"/>
    <n v="0"/>
    <n v="4"/>
    <n v="5"/>
    <x v="0"/>
    <n v="0"/>
    <n v="0"/>
    <x v="0"/>
    <x v="0"/>
  </r>
  <r>
    <n v="0"/>
    <x v="5"/>
    <x v="0"/>
    <n v="0"/>
    <n v="4"/>
    <n v="4"/>
    <x v="1"/>
    <n v="0"/>
    <n v="0"/>
    <x v="33"/>
    <x v="2"/>
  </r>
  <r>
    <n v="0"/>
    <x v="1"/>
    <x v="0"/>
    <n v="0"/>
    <n v="4"/>
    <n v="4"/>
    <x v="1"/>
    <n v="0"/>
    <n v="0"/>
    <x v="4"/>
    <x v="2"/>
  </r>
  <r>
    <n v="0"/>
    <x v="5"/>
    <x v="0"/>
    <n v="0"/>
    <n v="4"/>
    <n v="4"/>
    <x v="1"/>
    <n v="0"/>
    <n v="0"/>
    <x v="4"/>
    <x v="2"/>
  </r>
  <r>
    <n v="0"/>
    <x v="3"/>
    <x v="0"/>
    <n v="0"/>
    <n v="4"/>
    <n v="4"/>
    <x v="1"/>
    <n v="0"/>
    <n v="0"/>
    <x v="35"/>
    <x v="0"/>
  </r>
  <r>
    <n v="0"/>
    <x v="1"/>
    <x v="0"/>
    <n v="0"/>
    <n v="4"/>
    <n v="2"/>
    <x v="1"/>
    <n v="0"/>
    <n v="0"/>
    <x v="9"/>
    <x v="0"/>
  </r>
  <r>
    <n v="0"/>
    <x v="3"/>
    <x v="0"/>
    <n v="0"/>
    <n v="4"/>
    <n v="3"/>
    <x v="1"/>
    <n v="0"/>
    <n v="0"/>
    <x v="9"/>
    <x v="0"/>
  </r>
  <r>
    <n v="0"/>
    <x v="3"/>
    <x v="0"/>
    <n v="0"/>
    <n v="4"/>
    <n v="2"/>
    <x v="1"/>
    <n v="0"/>
    <n v="0"/>
    <x v="13"/>
    <x v="0"/>
  </r>
  <r>
    <n v="0"/>
    <x v="3"/>
    <x v="0"/>
    <n v="0"/>
    <n v="4"/>
    <n v="3"/>
    <x v="1"/>
    <n v="0"/>
    <n v="0"/>
    <x v="22"/>
    <x v="0"/>
  </r>
  <r>
    <n v="0"/>
    <x v="2"/>
    <x v="0"/>
    <n v="0"/>
    <n v="4"/>
    <n v="4"/>
    <x v="1"/>
    <n v="0"/>
    <n v="0"/>
    <x v="36"/>
    <x v="0"/>
  </r>
  <r>
    <n v="0"/>
    <x v="3"/>
    <x v="0"/>
    <n v="0"/>
    <n v="4"/>
    <n v="4"/>
    <x v="1"/>
    <n v="0"/>
    <n v="0"/>
    <x v="37"/>
    <x v="0"/>
  </r>
  <r>
    <n v="0"/>
    <x v="1"/>
    <x v="0"/>
    <n v="0"/>
    <n v="4"/>
    <n v="2"/>
    <x v="1"/>
    <n v="0"/>
    <n v="0"/>
    <x v="23"/>
    <x v="0"/>
  </r>
  <r>
    <n v="0"/>
    <x v="1"/>
    <x v="0"/>
    <n v="0"/>
    <n v="4"/>
    <n v="4"/>
    <x v="2"/>
    <n v="0"/>
    <n v="0"/>
    <x v="5"/>
    <x v="3"/>
  </r>
  <r>
    <n v="0"/>
    <x v="7"/>
    <x v="0"/>
    <n v="0"/>
    <n v="4"/>
    <n v="4"/>
    <x v="2"/>
    <n v="0"/>
    <n v="0"/>
    <x v="30"/>
    <x v="3"/>
  </r>
  <r>
    <n v="0"/>
    <x v="3"/>
    <x v="0"/>
    <n v="0"/>
    <n v="4"/>
    <n v="4"/>
    <x v="2"/>
    <n v="0"/>
    <n v="0"/>
    <x v="15"/>
    <x v="2"/>
  </r>
  <r>
    <n v="0"/>
    <x v="2"/>
    <x v="0"/>
    <n v="0"/>
    <n v="4"/>
    <n v="4"/>
    <x v="2"/>
    <n v="0"/>
    <n v="0"/>
    <x v="25"/>
    <x v="2"/>
  </r>
  <r>
    <n v="0"/>
    <x v="5"/>
    <x v="0"/>
    <n v="0"/>
    <n v="4"/>
    <n v="3"/>
    <x v="2"/>
    <n v="0"/>
    <n v="0"/>
    <x v="4"/>
    <x v="2"/>
  </r>
  <r>
    <n v="0"/>
    <x v="5"/>
    <x v="0"/>
    <n v="0"/>
    <n v="4"/>
    <n v="3"/>
    <x v="2"/>
    <n v="0"/>
    <n v="0"/>
    <x v="4"/>
    <x v="2"/>
  </r>
  <r>
    <n v="0"/>
    <x v="5"/>
    <x v="0"/>
    <n v="0"/>
    <n v="4"/>
    <n v="4"/>
    <x v="2"/>
    <n v="0"/>
    <n v="0"/>
    <x v="4"/>
    <x v="2"/>
  </r>
  <r>
    <n v="0"/>
    <x v="3"/>
    <x v="0"/>
    <n v="0"/>
    <n v="4"/>
    <n v="4"/>
    <x v="2"/>
    <n v="0"/>
    <n v="0"/>
    <x v="38"/>
    <x v="2"/>
  </r>
  <r>
    <n v="0"/>
    <x v="3"/>
    <x v="0"/>
    <n v="0"/>
    <n v="4"/>
    <n v="4"/>
    <x v="2"/>
    <n v="0"/>
    <n v="0"/>
    <x v="39"/>
    <x v="2"/>
  </r>
  <r>
    <n v="0"/>
    <x v="5"/>
    <x v="0"/>
    <n v="0"/>
    <n v="4"/>
    <n v="5"/>
    <x v="2"/>
    <n v="0"/>
    <n v="0"/>
    <x v="39"/>
    <x v="2"/>
  </r>
  <r>
    <n v="0"/>
    <x v="3"/>
    <x v="0"/>
    <n v="0"/>
    <n v="4"/>
    <n v="3"/>
    <x v="2"/>
    <n v="0"/>
    <n v="0"/>
    <x v="3"/>
    <x v="2"/>
  </r>
  <r>
    <n v="0"/>
    <x v="2"/>
    <x v="0"/>
    <n v="0"/>
    <n v="4"/>
    <n v="3"/>
    <x v="2"/>
    <n v="0"/>
    <n v="0"/>
    <x v="3"/>
    <x v="2"/>
  </r>
  <r>
    <n v="0"/>
    <x v="5"/>
    <x v="0"/>
    <n v="0"/>
    <n v="4"/>
    <n v="4"/>
    <x v="2"/>
    <n v="0"/>
    <n v="0"/>
    <x v="3"/>
    <x v="2"/>
  </r>
  <r>
    <n v="0"/>
    <x v="3"/>
    <x v="0"/>
    <n v="0"/>
    <n v="4"/>
    <n v="4"/>
    <x v="2"/>
    <n v="0"/>
    <n v="0"/>
    <x v="3"/>
    <x v="2"/>
  </r>
  <r>
    <n v="0"/>
    <x v="5"/>
    <x v="0"/>
    <n v="0"/>
    <n v="4"/>
    <n v="5"/>
    <x v="2"/>
    <n v="0"/>
    <n v="0"/>
    <x v="40"/>
    <x v="2"/>
  </r>
  <r>
    <n v="0"/>
    <x v="2"/>
    <x v="0"/>
    <n v="0"/>
    <n v="4"/>
    <n v="4"/>
    <x v="2"/>
    <n v="0"/>
    <n v="0"/>
    <x v="18"/>
    <x v="2"/>
  </r>
  <r>
    <n v="0"/>
    <x v="5"/>
    <x v="0"/>
    <n v="0"/>
    <n v="4"/>
    <n v="4"/>
    <x v="2"/>
    <n v="0"/>
    <n v="0"/>
    <x v="9"/>
    <x v="0"/>
  </r>
  <r>
    <n v="0"/>
    <x v="3"/>
    <x v="0"/>
    <n v="0"/>
    <n v="4"/>
    <n v="2"/>
    <x v="2"/>
    <n v="0"/>
    <n v="0"/>
    <x v="41"/>
    <x v="0"/>
  </r>
  <r>
    <n v="0"/>
    <x v="5"/>
    <x v="0"/>
    <n v="0"/>
    <n v="4"/>
    <n v="4"/>
    <x v="2"/>
    <n v="0"/>
    <n v="0"/>
    <x v="41"/>
    <x v="0"/>
  </r>
  <r>
    <n v="0"/>
    <x v="5"/>
    <x v="0"/>
    <n v="0"/>
    <n v="4"/>
    <n v="4"/>
    <x v="2"/>
    <n v="0"/>
    <n v="0"/>
    <x v="14"/>
    <x v="0"/>
  </r>
  <r>
    <n v="0"/>
    <x v="0"/>
    <x v="0"/>
    <n v="0"/>
    <n v="4"/>
    <n v="4"/>
    <x v="2"/>
    <n v="0"/>
    <n v="0"/>
    <x v="0"/>
    <x v="0"/>
  </r>
  <r>
    <n v="0"/>
    <x v="3"/>
    <x v="0"/>
    <n v="0"/>
    <n v="4"/>
    <n v="4"/>
    <x v="2"/>
    <n v="0"/>
    <n v="0"/>
    <x v="0"/>
    <x v="0"/>
  </r>
  <r>
    <n v="0"/>
    <x v="0"/>
    <x v="0"/>
    <n v="0"/>
    <n v="4"/>
    <n v="5"/>
    <x v="2"/>
    <n v="0"/>
    <n v="0"/>
    <x v="0"/>
    <x v="0"/>
  </r>
  <r>
    <n v="0"/>
    <x v="0"/>
    <x v="0"/>
    <n v="0"/>
    <n v="4"/>
    <n v="5"/>
    <x v="2"/>
    <n v="0"/>
    <n v="0"/>
    <x v="0"/>
    <x v="0"/>
  </r>
  <r>
    <n v="0"/>
    <x v="3"/>
    <x v="0"/>
    <n v="0"/>
    <n v="4"/>
    <n v="4"/>
    <x v="3"/>
    <n v="0"/>
    <n v="0"/>
    <x v="15"/>
    <x v="2"/>
  </r>
  <r>
    <n v="0"/>
    <x v="3"/>
    <x v="0"/>
    <n v="0"/>
    <n v="4"/>
    <n v="4"/>
    <x v="3"/>
    <n v="0"/>
    <n v="0"/>
    <x v="18"/>
    <x v="2"/>
  </r>
  <r>
    <n v="0"/>
    <x v="6"/>
    <x v="0"/>
    <n v="0"/>
    <n v="4"/>
    <n v="6"/>
    <x v="3"/>
    <n v="0"/>
    <n v="0"/>
    <x v="9"/>
    <x v="0"/>
  </r>
  <r>
    <n v="0"/>
    <x v="5"/>
    <x v="0"/>
    <n v="0"/>
    <n v="4"/>
    <n v="5"/>
    <x v="3"/>
    <n v="0"/>
    <n v="0"/>
    <x v="10"/>
    <x v="0"/>
  </r>
  <r>
    <n v="0"/>
    <x v="6"/>
    <x v="0"/>
    <n v="0"/>
    <n v="4"/>
    <n v="6"/>
    <x v="3"/>
    <n v="0"/>
    <n v="0"/>
    <x v="10"/>
    <x v="0"/>
  </r>
  <r>
    <n v="0"/>
    <x v="5"/>
    <x v="0"/>
    <n v="0"/>
    <n v="4"/>
    <n v="5"/>
    <x v="3"/>
    <n v="0"/>
    <n v="0"/>
    <x v="32"/>
    <x v="0"/>
  </r>
  <r>
    <n v="0"/>
    <x v="1"/>
    <x v="0"/>
    <n v="0"/>
    <n v="4"/>
    <n v="0"/>
    <x v="3"/>
    <n v="0"/>
    <n v="0"/>
    <x v="13"/>
    <x v="0"/>
  </r>
  <r>
    <n v="0"/>
    <x v="6"/>
    <x v="0"/>
    <n v="0"/>
    <n v="4"/>
    <n v="4"/>
    <x v="3"/>
    <n v="0"/>
    <n v="0"/>
    <x v="13"/>
    <x v="0"/>
  </r>
  <r>
    <n v="0"/>
    <x v="5"/>
    <x v="0"/>
    <n v="0"/>
    <n v="4"/>
    <n v="4"/>
    <x v="3"/>
    <n v="0"/>
    <n v="0"/>
    <x v="24"/>
    <x v="0"/>
  </r>
  <r>
    <n v="0"/>
    <x v="3"/>
    <x v="0"/>
    <n v="0"/>
    <n v="4"/>
    <n v="3"/>
    <x v="3"/>
    <n v="0"/>
    <n v="0"/>
    <x v="42"/>
    <x v="0"/>
  </r>
  <r>
    <n v="0"/>
    <x v="0"/>
    <x v="0"/>
    <n v="0"/>
    <n v="4"/>
    <n v="3"/>
    <x v="3"/>
    <n v="0"/>
    <n v="0"/>
    <x v="0"/>
    <x v="0"/>
  </r>
  <r>
    <n v="0"/>
    <x v="10"/>
    <x v="0"/>
    <n v="0"/>
    <n v="4"/>
    <n v="5"/>
    <x v="3"/>
    <n v="0"/>
    <n v="0"/>
    <x v="0"/>
    <x v="0"/>
  </r>
  <r>
    <n v="0"/>
    <x v="5"/>
    <x v="0"/>
    <n v="0"/>
    <n v="4"/>
    <n v="4"/>
    <x v="4"/>
    <n v="0"/>
    <n v="0"/>
    <x v="43"/>
    <x v="2"/>
  </r>
  <r>
    <n v="0"/>
    <x v="0"/>
    <x v="0"/>
    <n v="0"/>
    <n v="4"/>
    <n v="4"/>
    <x v="4"/>
    <n v="0"/>
    <n v="0"/>
    <x v="13"/>
    <x v="0"/>
  </r>
  <r>
    <n v="0"/>
    <x v="8"/>
    <x v="0"/>
    <n v="0"/>
    <n v="5"/>
    <n v="5"/>
    <x v="0"/>
    <n v="0"/>
    <n v="0"/>
    <x v="9"/>
    <x v="0"/>
  </r>
  <r>
    <n v="0"/>
    <x v="9"/>
    <x v="0"/>
    <n v="0"/>
    <n v="5"/>
    <n v="5"/>
    <x v="0"/>
    <n v="0"/>
    <n v="0"/>
    <x v="13"/>
    <x v="0"/>
  </r>
  <r>
    <n v="0"/>
    <x v="8"/>
    <x v="0"/>
    <n v="0"/>
    <n v="5"/>
    <n v="5"/>
    <x v="0"/>
    <n v="0"/>
    <n v="0"/>
    <x v="13"/>
    <x v="0"/>
  </r>
  <r>
    <n v="0"/>
    <x v="9"/>
    <x v="0"/>
    <n v="0"/>
    <n v="5"/>
    <n v="5"/>
    <x v="0"/>
    <n v="0"/>
    <n v="0"/>
    <x v="0"/>
    <x v="0"/>
  </r>
  <r>
    <n v="0"/>
    <x v="9"/>
    <x v="0"/>
    <n v="0"/>
    <n v="5"/>
    <n v="5"/>
    <x v="0"/>
    <n v="0"/>
    <n v="0"/>
    <x v="0"/>
    <x v="0"/>
  </r>
  <r>
    <n v="0"/>
    <x v="8"/>
    <x v="0"/>
    <n v="0"/>
    <n v="5"/>
    <n v="5"/>
    <x v="0"/>
    <n v="0"/>
    <n v="0"/>
    <x v="0"/>
    <x v="0"/>
  </r>
  <r>
    <n v="0"/>
    <x v="8"/>
    <x v="0"/>
    <n v="0"/>
    <n v="5"/>
    <n v="5"/>
    <x v="0"/>
    <n v="0"/>
    <n v="0"/>
    <x v="0"/>
    <x v="0"/>
  </r>
  <r>
    <n v="0"/>
    <x v="8"/>
    <x v="0"/>
    <n v="0"/>
    <n v="5"/>
    <n v="5"/>
    <x v="0"/>
    <n v="0"/>
    <n v="0"/>
    <x v="0"/>
    <x v="0"/>
  </r>
  <r>
    <n v="0"/>
    <x v="8"/>
    <x v="0"/>
    <n v="0"/>
    <n v="5"/>
    <n v="5"/>
    <x v="0"/>
    <n v="0"/>
    <n v="0"/>
    <x v="0"/>
    <x v="0"/>
  </r>
  <r>
    <n v="0"/>
    <x v="5"/>
    <x v="0"/>
    <n v="0"/>
    <n v="5"/>
    <n v="4"/>
    <x v="1"/>
    <n v="0"/>
    <n v="0"/>
    <x v="9"/>
    <x v="0"/>
  </r>
  <r>
    <n v="0"/>
    <x v="1"/>
    <x v="0"/>
    <n v="0"/>
    <n v="5"/>
    <n v="3"/>
    <x v="2"/>
    <n v="0"/>
    <n v="0"/>
    <x v="6"/>
    <x v="3"/>
  </r>
  <r>
    <n v="0"/>
    <x v="6"/>
    <x v="0"/>
    <n v="0"/>
    <n v="5"/>
    <n v="5"/>
    <x v="2"/>
    <n v="0"/>
    <n v="0"/>
    <x v="4"/>
    <x v="2"/>
  </r>
  <r>
    <n v="0"/>
    <x v="5"/>
    <x v="0"/>
    <n v="0"/>
    <n v="5"/>
    <n v="5"/>
    <x v="2"/>
    <n v="0"/>
    <n v="0"/>
    <x v="38"/>
    <x v="2"/>
  </r>
  <r>
    <n v="0"/>
    <x v="1"/>
    <x v="0"/>
    <n v="0"/>
    <n v="5"/>
    <n v="5"/>
    <x v="2"/>
    <n v="0"/>
    <n v="0"/>
    <x v="44"/>
    <x v="2"/>
  </r>
  <r>
    <n v="0"/>
    <x v="5"/>
    <x v="0"/>
    <n v="0"/>
    <n v="5"/>
    <n v="4"/>
    <x v="2"/>
    <n v="0"/>
    <n v="0"/>
    <x v="11"/>
    <x v="0"/>
  </r>
  <r>
    <n v="0"/>
    <x v="5"/>
    <x v="0"/>
    <n v="0"/>
    <n v="5"/>
    <n v="4"/>
    <x v="2"/>
    <n v="0"/>
    <n v="0"/>
    <x v="13"/>
    <x v="0"/>
  </r>
  <r>
    <n v="0"/>
    <x v="5"/>
    <x v="0"/>
    <n v="0"/>
    <n v="5"/>
    <n v="4"/>
    <x v="3"/>
    <n v="0"/>
    <n v="0"/>
    <x v="18"/>
    <x v="2"/>
  </r>
  <r>
    <n v="0"/>
    <x v="1"/>
    <x v="0"/>
    <n v="0"/>
    <n v="5"/>
    <n v="6"/>
    <x v="3"/>
    <n v="0"/>
    <n v="0"/>
    <x v="13"/>
    <x v="0"/>
  </r>
  <r>
    <n v="0"/>
    <x v="10"/>
    <x v="0"/>
    <n v="0"/>
    <n v="5"/>
    <n v="4"/>
    <x v="3"/>
    <n v="0"/>
    <n v="0"/>
    <x v="0"/>
    <x v="0"/>
  </r>
  <r>
    <n v="0"/>
    <x v="2"/>
    <x v="0"/>
    <n v="0"/>
    <n v="5"/>
    <n v="4"/>
    <x v="4"/>
    <n v="0"/>
    <n v="0"/>
    <x v="18"/>
    <x v="2"/>
  </r>
  <r>
    <n v="0"/>
    <x v="10"/>
    <x v="0"/>
    <n v="0"/>
    <n v="5"/>
    <n v="6"/>
    <x v="4"/>
    <n v="0"/>
    <n v="0"/>
    <x v="13"/>
    <x v="0"/>
  </r>
  <r>
    <n v="0"/>
    <x v="9"/>
    <x v="0"/>
    <n v="0"/>
    <n v="6"/>
    <n v="5"/>
    <x v="0"/>
    <n v="0"/>
    <n v="0"/>
    <x v="0"/>
    <x v="0"/>
  </r>
  <r>
    <n v="0"/>
    <x v="8"/>
    <x v="0"/>
    <n v="0"/>
    <n v="6"/>
    <n v="5"/>
    <x v="0"/>
    <n v="0"/>
    <n v="0"/>
    <x v="0"/>
    <x v="0"/>
  </r>
  <r>
    <n v="0"/>
    <x v="8"/>
    <x v="0"/>
    <n v="0"/>
    <n v="6"/>
    <n v="5"/>
    <x v="0"/>
    <n v="0"/>
    <n v="0"/>
    <x v="0"/>
    <x v="0"/>
  </r>
  <r>
    <n v="0"/>
    <x v="9"/>
    <x v="0"/>
    <n v="0"/>
    <n v="6"/>
    <n v="6"/>
    <x v="0"/>
    <n v="0"/>
    <n v="0"/>
    <x v="0"/>
    <x v="0"/>
  </r>
  <r>
    <n v="0"/>
    <x v="9"/>
    <x v="0"/>
    <n v="0"/>
    <n v="6"/>
    <n v="6"/>
    <x v="0"/>
    <n v="0"/>
    <n v="0"/>
    <x v="0"/>
    <x v="0"/>
  </r>
  <r>
    <n v="0"/>
    <x v="8"/>
    <x v="0"/>
    <n v="0"/>
    <n v="6"/>
    <n v="6"/>
    <x v="0"/>
    <n v="0"/>
    <n v="0"/>
    <x v="0"/>
    <x v="0"/>
  </r>
  <r>
    <n v="0"/>
    <x v="8"/>
    <x v="0"/>
    <n v="0"/>
    <n v="6"/>
    <n v="6"/>
    <x v="0"/>
    <n v="0"/>
    <n v="0"/>
    <x v="0"/>
    <x v="0"/>
  </r>
  <r>
    <n v="0"/>
    <x v="8"/>
    <x v="0"/>
    <n v="0"/>
    <n v="6"/>
    <n v="6"/>
    <x v="0"/>
    <n v="0"/>
    <n v="0"/>
    <x v="0"/>
    <x v="0"/>
  </r>
  <r>
    <n v="0"/>
    <x v="7"/>
    <x v="0"/>
    <n v="0"/>
    <n v="6"/>
    <n v="6"/>
    <x v="1"/>
    <n v="0"/>
    <n v="0"/>
    <x v="20"/>
    <x v="0"/>
  </r>
  <r>
    <n v="0"/>
    <x v="1"/>
    <x v="0"/>
    <n v="0"/>
    <n v="6"/>
    <n v="6"/>
    <x v="3"/>
    <n v="0"/>
    <n v="0"/>
    <x v="22"/>
    <x v="0"/>
  </r>
  <r>
    <n v="0"/>
    <x v="5"/>
    <x v="0"/>
    <n v="0"/>
    <n v="6"/>
    <n v="6"/>
    <x v="4"/>
    <n v="0"/>
    <n v="0"/>
    <x v="13"/>
    <x v="0"/>
  </r>
  <r>
    <n v="0"/>
    <x v="7"/>
    <x v="1"/>
    <n v="1"/>
    <n v="2"/>
    <n v="2"/>
    <x v="1"/>
    <n v="1"/>
    <n v="1"/>
    <x v="30"/>
    <x v="3"/>
  </r>
  <r>
    <n v="0"/>
    <x v="4"/>
    <x v="1"/>
    <n v="1"/>
    <n v="2"/>
    <n v="2"/>
    <x v="1"/>
    <n v="4"/>
    <n v="4"/>
    <x v="45"/>
    <x v="2"/>
  </r>
  <r>
    <n v="0"/>
    <x v="7"/>
    <x v="1"/>
    <n v="1"/>
    <n v="2"/>
    <n v="4"/>
    <x v="1"/>
    <n v="3"/>
    <n v="2"/>
    <x v="18"/>
    <x v="2"/>
  </r>
  <r>
    <n v="0"/>
    <x v="7"/>
    <x v="1"/>
    <n v="1"/>
    <n v="2"/>
    <n v="4"/>
    <x v="1"/>
    <n v="3"/>
    <n v="3"/>
    <x v="18"/>
    <x v="2"/>
  </r>
  <r>
    <n v="0"/>
    <x v="3"/>
    <x v="1"/>
    <n v="1"/>
    <n v="2"/>
    <n v="4"/>
    <x v="2"/>
    <n v="1"/>
    <n v="1"/>
    <x v="46"/>
    <x v="3"/>
  </r>
  <r>
    <n v="0"/>
    <x v="4"/>
    <x v="1"/>
    <n v="1"/>
    <n v="2"/>
    <n v="2"/>
    <x v="2"/>
    <n v="4"/>
    <n v="5"/>
    <x v="18"/>
    <x v="2"/>
  </r>
  <r>
    <n v="0"/>
    <x v="7"/>
    <x v="1"/>
    <n v="1"/>
    <n v="3"/>
    <n v="2"/>
    <x v="2"/>
    <n v="3"/>
    <n v="3"/>
    <x v="7"/>
    <x v="3"/>
  </r>
  <r>
    <n v="0"/>
    <x v="5"/>
    <x v="1"/>
    <n v="1"/>
    <n v="3"/>
    <n v="3"/>
    <x v="2"/>
    <n v="2"/>
    <n v="3"/>
    <x v="4"/>
    <x v="2"/>
  </r>
  <r>
    <n v="0"/>
    <x v="7"/>
    <x v="1"/>
    <n v="1"/>
    <n v="3"/>
    <n v="4"/>
    <x v="2"/>
    <n v="4"/>
    <n v="3"/>
    <x v="47"/>
    <x v="2"/>
  </r>
  <r>
    <n v="0"/>
    <x v="1"/>
    <x v="1"/>
    <n v="1"/>
    <n v="3"/>
    <n v="4"/>
    <x v="2"/>
    <n v="2"/>
    <n v="3"/>
    <x v="18"/>
    <x v="2"/>
  </r>
  <r>
    <n v="0"/>
    <x v="5"/>
    <x v="1"/>
    <n v="1"/>
    <n v="3"/>
    <n v="6"/>
    <x v="2"/>
    <n v="1"/>
    <n v="1"/>
    <x v="48"/>
    <x v="0"/>
  </r>
  <r>
    <n v="0"/>
    <x v="3"/>
    <x v="1"/>
    <n v="1"/>
    <n v="3"/>
    <n v="2"/>
    <x v="3"/>
    <n v="3"/>
    <n v="3"/>
    <x v="15"/>
    <x v="2"/>
  </r>
  <r>
    <n v="0"/>
    <x v="5"/>
    <x v="1"/>
    <n v="1"/>
    <n v="4"/>
    <n v="4"/>
    <x v="1"/>
    <n v="4"/>
    <n v="2"/>
    <x v="49"/>
    <x v="2"/>
  </r>
  <r>
    <n v="0"/>
    <x v="3"/>
    <x v="1"/>
    <n v="1"/>
    <n v="4"/>
    <n v="4"/>
    <x v="1"/>
    <n v="4"/>
    <n v="1"/>
    <x v="13"/>
    <x v="0"/>
  </r>
  <r>
    <n v="0"/>
    <x v="5"/>
    <x v="1"/>
    <n v="1"/>
    <n v="4"/>
    <n v="3"/>
    <x v="2"/>
    <n v="2"/>
    <n v="2"/>
    <x v="30"/>
    <x v="3"/>
  </r>
  <r>
    <n v="0"/>
    <x v="7"/>
    <x v="1"/>
    <n v="1"/>
    <n v="4"/>
    <n v="2"/>
    <x v="2"/>
    <n v="1"/>
    <n v="3"/>
    <x v="50"/>
    <x v="2"/>
  </r>
  <r>
    <n v="0"/>
    <x v="5"/>
    <x v="1"/>
    <n v="1"/>
    <n v="4"/>
    <n v="4"/>
    <x v="2"/>
    <n v="2"/>
    <n v="3"/>
    <x v="40"/>
    <x v="2"/>
  </r>
  <r>
    <n v="0"/>
    <x v="4"/>
    <x v="1"/>
    <n v="1"/>
    <n v="4"/>
    <n v="4"/>
    <x v="2"/>
    <n v="4"/>
    <n v="2"/>
    <x v="18"/>
    <x v="2"/>
  </r>
  <r>
    <n v="0"/>
    <x v="3"/>
    <x v="1"/>
    <n v="1"/>
    <n v="4"/>
    <n v="3"/>
    <x v="3"/>
    <n v="4"/>
    <n v="2"/>
    <x v="51"/>
    <x v="0"/>
  </r>
  <r>
    <n v="0"/>
    <x v="5"/>
    <x v="1"/>
    <n v="1"/>
    <n v="4"/>
    <n v="5"/>
    <x v="4"/>
    <n v="2"/>
    <n v="3"/>
    <x v="3"/>
    <x v="2"/>
  </r>
  <r>
    <n v="0"/>
    <x v="8"/>
    <x v="1"/>
    <n v="1"/>
    <n v="5"/>
    <n v="5"/>
    <x v="0"/>
    <n v="1"/>
    <n v="1"/>
    <x v="0"/>
    <x v="0"/>
  </r>
  <r>
    <n v="0"/>
    <x v="7"/>
    <x v="1"/>
    <n v="1"/>
    <n v="5"/>
    <n v="4"/>
    <x v="3"/>
    <n v="3"/>
    <n v="2"/>
    <x v="7"/>
    <x v="3"/>
  </r>
  <r>
    <n v="0"/>
    <x v="6"/>
    <x v="2"/>
    <n v="1"/>
    <n v="1"/>
    <n v="3"/>
    <x v="1"/>
    <n v="1"/>
    <n v="1"/>
    <x v="15"/>
    <x v="2"/>
  </r>
  <r>
    <n v="0"/>
    <x v="7"/>
    <x v="2"/>
    <n v="1"/>
    <n v="2"/>
    <n v="4"/>
    <x v="1"/>
    <n v="1"/>
    <n v="1"/>
    <x v="52"/>
    <x v="2"/>
  </r>
  <r>
    <n v="0"/>
    <x v="5"/>
    <x v="2"/>
    <n v="1"/>
    <n v="2"/>
    <n v="2"/>
    <x v="1"/>
    <n v="1"/>
    <n v="2"/>
    <x v="39"/>
    <x v="2"/>
  </r>
  <r>
    <n v="0"/>
    <x v="6"/>
    <x v="2"/>
    <n v="1"/>
    <n v="2"/>
    <n v="3"/>
    <x v="2"/>
    <n v="1"/>
    <n v="1"/>
    <x v="15"/>
    <x v="2"/>
  </r>
  <r>
    <n v="0"/>
    <x v="7"/>
    <x v="2"/>
    <n v="1"/>
    <n v="2"/>
    <n v="3"/>
    <x v="2"/>
    <n v="1"/>
    <n v="1"/>
    <x v="41"/>
    <x v="0"/>
  </r>
  <r>
    <n v="0"/>
    <x v="1"/>
    <x v="2"/>
    <n v="1"/>
    <n v="2"/>
    <n v="2"/>
    <x v="2"/>
    <n v="1"/>
    <n v="1"/>
    <x v="53"/>
    <x v="0"/>
  </r>
  <r>
    <n v="0"/>
    <x v="7"/>
    <x v="2"/>
    <n v="1"/>
    <n v="2"/>
    <n v="2"/>
    <x v="2"/>
    <n v="1"/>
    <n v="2"/>
    <x v="54"/>
    <x v="0"/>
  </r>
  <r>
    <n v="0"/>
    <x v="9"/>
    <x v="2"/>
    <n v="1"/>
    <n v="3"/>
    <n v="4"/>
    <x v="0"/>
    <n v="3"/>
    <n v="2"/>
    <x v="9"/>
    <x v="0"/>
  </r>
  <r>
    <n v="0"/>
    <x v="1"/>
    <x v="2"/>
    <n v="1"/>
    <n v="3"/>
    <n v="3"/>
    <x v="1"/>
    <n v="1"/>
    <n v="1"/>
    <x v="7"/>
    <x v="3"/>
  </r>
  <r>
    <n v="0"/>
    <x v="5"/>
    <x v="2"/>
    <n v="1"/>
    <n v="3"/>
    <n v="3"/>
    <x v="1"/>
    <n v="2"/>
    <n v="2"/>
    <x v="30"/>
    <x v="3"/>
  </r>
  <r>
    <n v="0"/>
    <x v="1"/>
    <x v="2"/>
    <n v="1"/>
    <n v="3"/>
    <n v="2"/>
    <x v="1"/>
    <n v="2"/>
    <n v="2"/>
    <x v="15"/>
    <x v="2"/>
  </r>
  <r>
    <n v="0"/>
    <x v="5"/>
    <x v="2"/>
    <n v="1"/>
    <n v="3"/>
    <n v="4"/>
    <x v="1"/>
    <n v="2"/>
    <n v="1"/>
    <x v="9"/>
    <x v="0"/>
  </r>
  <r>
    <n v="0"/>
    <x v="1"/>
    <x v="2"/>
    <n v="1"/>
    <n v="3"/>
    <n v="5"/>
    <x v="2"/>
    <n v="1"/>
    <n v="1"/>
    <x v="6"/>
    <x v="3"/>
  </r>
  <r>
    <n v="0"/>
    <x v="1"/>
    <x v="2"/>
    <n v="1"/>
    <n v="3"/>
    <n v="3"/>
    <x v="2"/>
    <n v="1"/>
    <n v="2"/>
    <x v="7"/>
    <x v="3"/>
  </r>
  <r>
    <n v="0"/>
    <x v="7"/>
    <x v="2"/>
    <n v="1"/>
    <n v="3"/>
    <n v="3"/>
    <x v="2"/>
    <n v="2"/>
    <n v="2"/>
    <x v="30"/>
    <x v="3"/>
  </r>
  <r>
    <n v="0"/>
    <x v="3"/>
    <x v="2"/>
    <n v="1"/>
    <n v="3"/>
    <n v="4"/>
    <x v="2"/>
    <n v="2"/>
    <n v="2"/>
    <x v="55"/>
    <x v="2"/>
  </r>
  <r>
    <n v="0"/>
    <x v="7"/>
    <x v="2"/>
    <n v="1"/>
    <n v="3"/>
    <n v="2"/>
    <x v="2"/>
    <n v="1"/>
    <n v="2"/>
    <x v="13"/>
    <x v="0"/>
  </r>
  <r>
    <n v="0"/>
    <x v="0"/>
    <x v="2"/>
    <n v="1"/>
    <n v="3"/>
    <n v="5"/>
    <x v="4"/>
    <n v="4"/>
    <n v="3"/>
    <x v="18"/>
    <x v="2"/>
  </r>
  <r>
    <n v="0"/>
    <x v="8"/>
    <x v="2"/>
    <n v="1"/>
    <n v="4"/>
    <n v="5"/>
    <x v="0"/>
    <n v="2"/>
    <n v="1"/>
    <x v="18"/>
    <x v="2"/>
  </r>
  <r>
    <n v="0"/>
    <x v="9"/>
    <x v="2"/>
    <n v="1"/>
    <n v="4"/>
    <n v="4"/>
    <x v="0"/>
    <n v="1"/>
    <n v="2"/>
    <x v="22"/>
    <x v="0"/>
  </r>
  <r>
    <n v="0"/>
    <x v="6"/>
    <x v="2"/>
    <n v="1"/>
    <n v="4"/>
    <n v="5"/>
    <x v="1"/>
    <n v="3"/>
    <n v="1"/>
    <x v="6"/>
    <x v="3"/>
  </r>
  <r>
    <n v="0"/>
    <x v="7"/>
    <x v="2"/>
    <n v="1"/>
    <n v="4"/>
    <n v="4"/>
    <x v="1"/>
    <n v="1"/>
    <n v="1"/>
    <x v="56"/>
    <x v="3"/>
  </r>
  <r>
    <n v="0"/>
    <x v="6"/>
    <x v="2"/>
    <n v="1"/>
    <n v="4"/>
    <n v="2"/>
    <x v="1"/>
    <n v="1"/>
    <n v="1"/>
    <x v="30"/>
    <x v="3"/>
  </r>
  <r>
    <n v="0"/>
    <x v="1"/>
    <x v="2"/>
    <n v="1"/>
    <n v="4"/>
    <n v="4"/>
    <x v="2"/>
    <n v="1"/>
    <n v="1"/>
    <x v="30"/>
    <x v="3"/>
  </r>
  <r>
    <n v="0"/>
    <x v="5"/>
    <x v="2"/>
    <n v="1"/>
    <n v="4"/>
    <n v="4"/>
    <x v="3"/>
    <n v="2"/>
    <n v="1"/>
    <x v="4"/>
    <x v="2"/>
  </r>
  <r>
    <n v="0"/>
    <x v="3"/>
    <x v="2"/>
    <n v="1"/>
    <n v="4"/>
    <n v="5"/>
    <x v="3"/>
    <n v="3"/>
    <n v="1"/>
    <x v="18"/>
    <x v="2"/>
  </r>
  <r>
    <n v="0"/>
    <x v="3"/>
    <x v="2"/>
    <n v="1"/>
    <n v="4"/>
    <n v="3"/>
    <x v="3"/>
    <n v="2"/>
    <n v="1"/>
    <x v="9"/>
    <x v="0"/>
  </r>
  <r>
    <n v="0"/>
    <x v="0"/>
    <x v="2"/>
    <n v="1"/>
    <n v="4"/>
    <n v="4"/>
    <x v="3"/>
    <n v="1"/>
    <n v="1"/>
    <x v="57"/>
    <x v="0"/>
  </r>
  <r>
    <n v="0"/>
    <x v="1"/>
    <x v="2"/>
    <n v="1"/>
    <n v="4"/>
    <n v="4"/>
    <x v="4"/>
    <n v="2"/>
    <n v="2"/>
    <x v="22"/>
    <x v="0"/>
  </r>
  <r>
    <n v="0"/>
    <x v="9"/>
    <x v="2"/>
    <n v="1"/>
    <n v="5"/>
    <n v="5"/>
    <x v="0"/>
    <n v="3"/>
    <n v="1"/>
    <x v="13"/>
    <x v="0"/>
  </r>
  <r>
    <n v="0"/>
    <x v="9"/>
    <x v="2"/>
    <n v="1"/>
    <n v="5"/>
    <n v="5"/>
    <x v="0"/>
    <n v="3"/>
    <n v="1"/>
    <x v="0"/>
    <x v="0"/>
  </r>
  <r>
    <n v="0"/>
    <x v="1"/>
    <x v="2"/>
    <n v="1"/>
    <n v="5"/>
    <n v="4"/>
    <x v="4"/>
    <n v="1"/>
    <n v="1"/>
    <x v="17"/>
    <x v="2"/>
  </r>
  <r>
    <n v="0"/>
    <x v="7"/>
    <x v="2"/>
    <n v="1"/>
    <n v="5"/>
    <n v="5"/>
    <x v="4"/>
    <n v="2"/>
    <n v="2"/>
    <x v="58"/>
    <x v="0"/>
  </r>
  <r>
    <n v="0"/>
    <x v="5"/>
    <x v="3"/>
    <n v="1"/>
    <n v="2"/>
    <n v="5"/>
    <x v="1"/>
    <n v="1"/>
    <n v="2"/>
    <x v="6"/>
    <x v="3"/>
  </r>
  <r>
    <n v="0"/>
    <x v="7"/>
    <x v="3"/>
    <n v="1"/>
    <n v="2"/>
    <n v="4"/>
    <x v="1"/>
    <n v="2"/>
    <n v="1"/>
    <x v="7"/>
    <x v="3"/>
  </r>
  <r>
    <n v="0"/>
    <x v="7"/>
    <x v="3"/>
    <n v="1"/>
    <n v="2"/>
    <n v="4"/>
    <x v="1"/>
    <n v="2"/>
    <n v="2"/>
    <x v="4"/>
    <x v="2"/>
  </r>
  <r>
    <n v="0"/>
    <x v="7"/>
    <x v="3"/>
    <n v="1"/>
    <n v="2"/>
    <n v="2"/>
    <x v="2"/>
    <n v="3"/>
    <n v="3"/>
    <x v="59"/>
    <x v="3"/>
  </r>
  <r>
    <n v="0"/>
    <x v="3"/>
    <x v="3"/>
    <n v="1"/>
    <n v="2"/>
    <n v="3"/>
    <x v="2"/>
    <n v="2"/>
    <n v="2"/>
    <x v="30"/>
    <x v="3"/>
  </r>
  <r>
    <n v="0"/>
    <x v="3"/>
    <x v="3"/>
    <n v="1"/>
    <n v="2"/>
    <n v="2"/>
    <x v="2"/>
    <n v="2"/>
    <n v="3"/>
    <x v="15"/>
    <x v="2"/>
  </r>
  <r>
    <n v="0"/>
    <x v="4"/>
    <x v="3"/>
    <n v="1"/>
    <n v="2"/>
    <n v="4"/>
    <x v="2"/>
    <n v="3"/>
    <n v="2"/>
    <x v="9"/>
    <x v="0"/>
  </r>
  <r>
    <n v="0"/>
    <x v="2"/>
    <x v="3"/>
    <n v="1"/>
    <n v="2"/>
    <n v="4"/>
    <x v="2"/>
    <n v="4"/>
    <n v="1"/>
    <x v="32"/>
    <x v="0"/>
  </r>
  <r>
    <n v="0"/>
    <x v="7"/>
    <x v="3"/>
    <n v="1"/>
    <n v="2"/>
    <n v="2"/>
    <x v="2"/>
    <n v="3"/>
    <n v="3"/>
    <x v="13"/>
    <x v="0"/>
  </r>
  <r>
    <n v="0"/>
    <x v="7"/>
    <x v="3"/>
    <n v="1"/>
    <n v="2"/>
    <n v="5"/>
    <x v="2"/>
    <n v="2"/>
    <n v="3"/>
    <x v="13"/>
    <x v="0"/>
  </r>
  <r>
    <n v="0"/>
    <x v="6"/>
    <x v="3"/>
    <n v="1"/>
    <n v="2"/>
    <n v="2"/>
    <x v="3"/>
    <n v="2"/>
    <n v="3"/>
    <x v="4"/>
    <x v="2"/>
  </r>
  <r>
    <n v="0"/>
    <x v="6"/>
    <x v="3"/>
    <n v="1"/>
    <n v="3"/>
    <n v="3"/>
    <x v="1"/>
    <n v="1"/>
    <n v="1"/>
    <x v="28"/>
    <x v="3"/>
  </r>
  <r>
    <n v="0"/>
    <x v="6"/>
    <x v="3"/>
    <n v="1"/>
    <n v="3"/>
    <n v="4"/>
    <x v="1"/>
    <n v="3"/>
    <n v="2"/>
    <x v="7"/>
    <x v="3"/>
  </r>
  <r>
    <n v="0"/>
    <x v="7"/>
    <x v="3"/>
    <n v="1"/>
    <n v="3"/>
    <n v="2"/>
    <x v="1"/>
    <n v="2"/>
    <n v="2"/>
    <x v="52"/>
    <x v="2"/>
  </r>
  <r>
    <n v="0"/>
    <x v="7"/>
    <x v="3"/>
    <n v="1"/>
    <n v="3"/>
    <n v="1"/>
    <x v="1"/>
    <n v="1"/>
    <n v="2"/>
    <x v="60"/>
    <x v="2"/>
  </r>
  <r>
    <n v="0"/>
    <x v="7"/>
    <x v="3"/>
    <n v="1"/>
    <n v="3"/>
    <n v="3"/>
    <x v="1"/>
    <n v="2"/>
    <n v="2"/>
    <x v="4"/>
    <x v="2"/>
  </r>
  <r>
    <n v="0"/>
    <x v="4"/>
    <x v="3"/>
    <n v="1"/>
    <n v="3"/>
    <n v="2"/>
    <x v="1"/>
    <n v="3"/>
    <n v="2"/>
    <x v="9"/>
    <x v="0"/>
  </r>
  <r>
    <n v="0"/>
    <x v="6"/>
    <x v="3"/>
    <n v="1"/>
    <n v="3"/>
    <n v="3"/>
    <x v="2"/>
    <n v="2"/>
    <n v="2"/>
    <x v="25"/>
    <x v="2"/>
  </r>
  <r>
    <n v="0"/>
    <x v="5"/>
    <x v="3"/>
    <n v="1"/>
    <n v="3"/>
    <n v="3"/>
    <x v="2"/>
    <n v="1"/>
    <n v="1"/>
    <x v="61"/>
    <x v="2"/>
  </r>
  <r>
    <n v="0"/>
    <x v="2"/>
    <x v="3"/>
    <n v="1"/>
    <n v="3"/>
    <n v="3"/>
    <x v="2"/>
    <n v="1"/>
    <n v="1"/>
    <x v="4"/>
    <x v="2"/>
  </r>
  <r>
    <n v="0"/>
    <x v="7"/>
    <x v="3"/>
    <n v="1"/>
    <n v="3"/>
    <n v="3"/>
    <x v="2"/>
    <n v="2"/>
    <n v="4"/>
    <x v="62"/>
    <x v="2"/>
  </r>
  <r>
    <n v="0"/>
    <x v="10"/>
    <x v="3"/>
    <n v="1"/>
    <n v="3"/>
    <n v="3"/>
    <x v="2"/>
    <n v="2"/>
    <n v="1"/>
    <x v="3"/>
    <x v="2"/>
  </r>
  <r>
    <n v="0"/>
    <x v="7"/>
    <x v="3"/>
    <n v="1"/>
    <n v="3"/>
    <n v="3"/>
    <x v="2"/>
    <n v="3"/>
    <n v="3"/>
    <x v="18"/>
    <x v="2"/>
  </r>
  <r>
    <n v="0"/>
    <x v="7"/>
    <x v="3"/>
    <n v="1"/>
    <n v="3"/>
    <n v="2"/>
    <x v="2"/>
    <n v="3"/>
    <n v="1"/>
    <x v="10"/>
    <x v="0"/>
  </r>
  <r>
    <n v="0"/>
    <x v="7"/>
    <x v="3"/>
    <n v="1"/>
    <n v="3"/>
    <n v="3"/>
    <x v="2"/>
    <n v="4"/>
    <n v="3"/>
    <x v="12"/>
    <x v="0"/>
  </r>
  <r>
    <n v="0"/>
    <x v="3"/>
    <x v="3"/>
    <n v="1"/>
    <n v="3"/>
    <n v="0"/>
    <x v="2"/>
    <n v="2"/>
    <n v="3"/>
    <x v="13"/>
    <x v="0"/>
  </r>
  <r>
    <n v="0"/>
    <x v="0"/>
    <x v="3"/>
    <n v="1"/>
    <n v="3"/>
    <n v="3"/>
    <x v="2"/>
    <n v="3"/>
    <n v="2"/>
    <x v="0"/>
    <x v="0"/>
  </r>
  <r>
    <n v="0"/>
    <x v="0"/>
    <x v="3"/>
    <n v="1"/>
    <n v="3"/>
    <n v="5"/>
    <x v="3"/>
    <n v="1"/>
    <n v="1"/>
    <x v="0"/>
    <x v="0"/>
  </r>
  <r>
    <n v="0"/>
    <x v="5"/>
    <x v="3"/>
    <n v="1"/>
    <n v="4"/>
    <n v="3"/>
    <x v="1"/>
    <n v="1"/>
    <n v="2"/>
    <x v="28"/>
    <x v="3"/>
  </r>
  <r>
    <n v="0"/>
    <x v="5"/>
    <x v="3"/>
    <n v="1"/>
    <n v="4"/>
    <n v="2"/>
    <x v="1"/>
    <n v="1"/>
    <n v="2"/>
    <x v="33"/>
    <x v="2"/>
  </r>
  <r>
    <n v="0"/>
    <x v="7"/>
    <x v="3"/>
    <n v="1"/>
    <n v="4"/>
    <n v="3"/>
    <x v="1"/>
    <n v="1"/>
    <n v="1"/>
    <x v="33"/>
    <x v="2"/>
  </r>
  <r>
    <n v="0"/>
    <x v="4"/>
    <x v="3"/>
    <n v="1"/>
    <n v="4"/>
    <n v="2"/>
    <x v="1"/>
    <n v="1"/>
    <n v="1"/>
    <x v="15"/>
    <x v="2"/>
  </r>
  <r>
    <n v="0"/>
    <x v="2"/>
    <x v="3"/>
    <n v="1"/>
    <n v="4"/>
    <n v="3"/>
    <x v="1"/>
    <n v="4"/>
    <n v="1"/>
    <x v="15"/>
    <x v="2"/>
  </r>
  <r>
    <n v="0"/>
    <x v="3"/>
    <x v="3"/>
    <n v="1"/>
    <n v="4"/>
    <n v="4"/>
    <x v="2"/>
    <n v="2"/>
    <n v="1"/>
    <x v="4"/>
    <x v="2"/>
  </r>
  <r>
    <n v="0"/>
    <x v="5"/>
    <x v="3"/>
    <n v="1"/>
    <n v="4"/>
    <n v="4"/>
    <x v="2"/>
    <n v="4"/>
    <n v="3"/>
    <x v="4"/>
    <x v="2"/>
  </r>
  <r>
    <n v="0"/>
    <x v="6"/>
    <x v="3"/>
    <n v="1"/>
    <n v="4"/>
    <n v="5"/>
    <x v="2"/>
    <n v="3"/>
    <n v="2"/>
    <x v="4"/>
    <x v="2"/>
  </r>
  <r>
    <n v="0"/>
    <x v="7"/>
    <x v="3"/>
    <n v="1"/>
    <n v="4"/>
    <n v="4"/>
    <x v="2"/>
    <n v="2"/>
    <n v="2"/>
    <x v="3"/>
    <x v="2"/>
  </r>
  <r>
    <n v="0"/>
    <x v="1"/>
    <x v="3"/>
    <n v="1"/>
    <n v="4"/>
    <n v="4"/>
    <x v="2"/>
    <n v="2"/>
    <n v="2"/>
    <x v="63"/>
    <x v="2"/>
  </r>
  <r>
    <n v="0"/>
    <x v="6"/>
    <x v="3"/>
    <n v="1"/>
    <n v="4"/>
    <n v="4"/>
    <x v="2"/>
    <n v="2"/>
    <n v="1"/>
    <x v="18"/>
    <x v="2"/>
  </r>
  <r>
    <n v="0"/>
    <x v="6"/>
    <x v="3"/>
    <n v="1"/>
    <n v="4"/>
    <n v="4"/>
    <x v="2"/>
    <n v="1"/>
    <n v="3"/>
    <x v="0"/>
    <x v="0"/>
  </r>
  <r>
    <n v="0"/>
    <x v="5"/>
    <x v="3"/>
    <n v="1"/>
    <n v="4"/>
    <n v="5"/>
    <x v="3"/>
    <n v="1"/>
    <n v="2"/>
    <x v="16"/>
    <x v="2"/>
  </r>
  <r>
    <n v="0"/>
    <x v="0"/>
    <x v="3"/>
    <n v="1"/>
    <n v="4"/>
    <n v="4"/>
    <x v="3"/>
    <n v="3"/>
    <n v="1"/>
    <x v="9"/>
    <x v="0"/>
  </r>
  <r>
    <n v="0"/>
    <x v="7"/>
    <x v="3"/>
    <n v="1"/>
    <n v="4"/>
    <n v="4"/>
    <x v="3"/>
    <n v="2"/>
    <n v="2"/>
    <x v="64"/>
    <x v="0"/>
  </r>
  <r>
    <n v="0"/>
    <x v="0"/>
    <x v="3"/>
    <n v="1"/>
    <n v="4"/>
    <n v="4"/>
    <x v="4"/>
    <n v="2"/>
    <n v="3"/>
    <x v="0"/>
    <x v="0"/>
  </r>
  <r>
    <n v="0"/>
    <x v="7"/>
    <x v="3"/>
    <n v="1"/>
    <n v="5"/>
    <n v="4"/>
    <x v="1"/>
    <n v="1"/>
    <n v="1"/>
    <x v="4"/>
    <x v="2"/>
  </r>
  <r>
    <n v="0"/>
    <x v="5"/>
    <x v="3"/>
    <n v="1"/>
    <n v="5"/>
    <n v="4"/>
    <x v="3"/>
    <n v="2"/>
    <n v="1"/>
    <x v="3"/>
    <x v="2"/>
  </r>
  <r>
    <n v="0"/>
    <x v="5"/>
    <x v="3"/>
    <n v="1"/>
    <n v="5"/>
    <n v="4"/>
    <x v="3"/>
    <n v="2"/>
    <n v="1"/>
    <x v="42"/>
    <x v="0"/>
  </r>
  <r>
    <n v="0"/>
    <x v="7"/>
    <x v="4"/>
    <n v="1"/>
    <n v="1"/>
    <n v="2"/>
    <x v="1"/>
    <n v="1"/>
    <n v="1"/>
    <x v="4"/>
    <x v="2"/>
  </r>
  <r>
    <n v="0"/>
    <x v="1"/>
    <x v="4"/>
    <n v="1"/>
    <n v="1"/>
    <n v="3"/>
    <x v="1"/>
    <n v="1"/>
    <n v="3"/>
    <x v="4"/>
    <x v="2"/>
  </r>
  <r>
    <n v="0"/>
    <x v="1"/>
    <x v="4"/>
    <n v="1"/>
    <n v="2"/>
    <n v="5"/>
    <x v="1"/>
    <n v="1"/>
    <n v="1"/>
    <x v="6"/>
    <x v="3"/>
  </r>
  <r>
    <n v="0"/>
    <x v="5"/>
    <x v="4"/>
    <n v="1"/>
    <n v="2"/>
    <n v="2"/>
    <x v="1"/>
    <n v="1"/>
    <n v="2"/>
    <x v="45"/>
    <x v="2"/>
  </r>
  <r>
    <n v="0"/>
    <x v="6"/>
    <x v="4"/>
    <n v="1"/>
    <n v="2"/>
    <n v="2"/>
    <x v="1"/>
    <n v="2"/>
    <n v="2"/>
    <x v="4"/>
    <x v="2"/>
  </r>
  <r>
    <n v="0"/>
    <x v="1"/>
    <x v="4"/>
    <n v="1"/>
    <n v="2"/>
    <n v="2"/>
    <x v="1"/>
    <n v="1"/>
    <n v="3"/>
    <x v="3"/>
    <x v="2"/>
  </r>
  <r>
    <n v="0"/>
    <x v="1"/>
    <x v="4"/>
    <n v="1"/>
    <n v="2"/>
    <n v="2"/>
    <x v="1"/>
    <n v="1"/>
    <n v="1"/>
    <x v="18"/>
    <x v="2"/>
  </r>
  <r>
    <n v="0"/>
    <x v="7"/>
    <x v="4"/>
    <n v="1"/>
    <n v="2"/>
    <n v="2"/>
    <x v="1"/>
    <n v="1"/>
    <n v="2"/>
    <x v="12"/>
    <x v="0"/>
  </r>
  <r>
    <n v="0"/>
    <x v="4"/>
    <x v="4"/>
    <n v="1"/>
    <n v="2"/>
    <n v="4"/>
    <x v="3"/>
    <n v="1"/>
    <n v="1"/>
    <x v="6"/>
    <x v="3"/>
  </r>
  <r>
    <n v="0"/>
    <x v="7"/>
    <x v="4"/>
    <n v="1"/>
    <n v="2"/>
    <n v="3"/>
    <x v="3"/>
    <n v="4"/>
    <n v="2"/>
    <x v="62"/>
    <x v="2"/>
  </r>
  <r>
    <n v="0"/>
    <x v="6"/>
    <x v="4"/>
    <n v="1"/>
    <n v="3"/>
    <n v="3"/>
    <x v="1"/>
    <n v="3"/>
    <n v="3"/>
    <x v="30"/>
    <x v="3"/>
  </r>
  <r>
    <n v="0"/>
    <x v="7"/>
    <x v="4"/>
    <n v="1"/>
    <n v="3"/>
    <n v="4"/>
    <x v="1"/>
    <n v="1"/>
    <n v="1"/>
    <x v="4"/>
    <x v="2"/>
  </r>
  <r>
    <n v="0"/>
    <x v="6"/>
    <x v="4"/>
    <n v="1"/>
    <n v="3"/>
    <n v="3"/>
    <x v="2"/>
    <n v="2"/>
    <n v="3"/>
    <x v="6"/>
    <x v="3"/>
  </r>
  <r>
    <n v="0"/>
    <x v="5"/>
    <x v="4"/>
    <n v="1"/>
    <n v="3"/>
    <n v="3"/>
    <x v="2"/>
    <n v="4"/>
    <n v="2"/>
    <x v="65"/>
    <x v="3"/>
  </r>
  <r>
    <n v="0"/>
    <x v="1"/>
    <x v="4"/>
    <n v="1"/>
    <n v="3"/>
    <n v="4"/>
    <x v="2"/>
    <n v="2"/>
    <n v="1"/>
    <x v="66"/>
    <x v="2"/>
  </r>
  <r>
    <n v="0"/>
    <x v="4"/>
    <x v="4"/>
    <n v="1"/>
    <n v="3"/>
    <n v="4"/>
    <x v="2"/>
    <n v="2"/>
    <n v="1"/>
    <x v="18"/>
    <x v="2"/>
  </r>
  <r>
    <n v="0"/>
    <x v="3"/>
    <x v="4"/>
    <n v="1"/>
    <n v="3"/>
    <n v="4"/>
    <x v="2"/>
    <n v="2"/>
    <n v="3"/>
    <x v="32"/>
    <x v="0"/>
  </r>
  <r>
    <n v="0"/>
    <x v="1"/>
    <x v="4"/>
    <n v="1"/>
    <n v="3"/>
    <n v="3"/>
    <x v="2"/>
    <n v="1"/>
    <n v="2"/>
    <x v="22"/>
    <x v="0"/>
  </r>
  <r>
    <n v="0"/>
    <x v="3"/>
    <x v="4"/>
    <n v="1"/>
    <n v="3"/>
    <n v="4"/>
    <x v="2"/>
    <n v="2"/>
    <n v="2"/>
    <x v="22"/>
    <x v="0"/>
  </r>
  <r>
    <n v="0"/>
    <x v="7"/>
    <x v="4"/>
    <n v="1"/>
    <n v="4"/>
    <n v="4"/>
    <x v="1"/>
    <n v="1"/>
    <n v="1"/>
    <x v="4"/>
    <x v="2"/>
  </r>
  <r>
    <n v="0"/>
    <x v="5"/>
    <x v="4"/>
    <n v="1"/>
    <n v="4"/>
    <n v="4"/>
    <x v="2"/>
    <n v="2"/>
    <n v="2"/>
    <x v="6"/>
    <x v="3"/>
  </r>
  <r>
    <n v="0"/>
    <x v="3"/>
    <x v="4"/>
    <n v="1"/>
    <n v="4"/>
    <n v="4"/>
    <x v="2"/>
    <n v="2"/>
    <n v="1"/>
    <x v="15"/>
    <x v="2"/>
  </r>
  <r>
    <n v="0"/>
    <x v="3"/>
    <x v="4"/>
    <n v="1"/>
    <n v="4"/>
    <n v="4"/>
    <x v="2"/>
    <n v="1"/>
    <n v="1"/>
    <x v="4"/>
    <x v="2"/>
  </r>
  <r>
    <n v="0"/>
    <x v="3"/>
    <x v="4"/>
    <n v="1"/>
    <n v="4"/>
    <n v="4"/>
    <x v="2"/>
    <n v="2"/>
    <n v="3"/>
    <x v="3"/>
    <x v="2"/>
  </r>
  <r>
    <n v="0"/>
    <x v="1"/>
    <x v="4"/>
    <n v="1"/>
    <n v="4"/>
    <n v="5"/>
    <x v="2"/>
    <n v="1"/>
    <n v="1"/>
    <x v="3"/>
    <x v="2"/>
  </r>
  <r>
    <n v="0"/>
    <x v="7"/>
    <x v="4"/>
    <n v="1"/>
    <n v="4"/>
    <n v="4"/>
    <x v="2"/>
    <n v="1"/>
    <n v="1"/>
    <x v="67"/>
    <x v="0"/>
  </r>
  <r>
    <n v="0"/>
    <x v="1"/>
    <x v="4"/>
    <n v="1"/>
    <n v="4"/>
    <n v="4"/>
    <x v="2"/>
    <n v="2"/>
    <n v="1"/>
    <x v="0"/>
    <x v="0"/>
  </r>
  <r>
    <n v="0"/>
    <x v="0"/>
    <x v="4"/>
    <n v="1"/>
    <n v="4"/>
    <n v="4"/>
    <x v="3"/>
    <n v="2"/>
    <n v="3"/>
    <x v="9"/>
    <x v="0"/>
  </r>
  <r>
    <n v="0"/>
    <x v="7"/>
    <x v="4"/>
    <n v="1"/>
    <n v="4"/>
    <n v="5"/>
    <x v="3"/>
    <n v="2"/>
    <n v="2"/>
    <x v="13"/>
    <x v="0"/>
  </r>
  <r>
    <n v="0"/>
    <x v="8"/>
    <x v="4"/>
    <n v="1"/>
    <n v="5"/>
    <n v="5"/>
    <x v="0"/>
    <n v="2"/>
    <n v="2"/>
    <x v="0"/>
    <x v="0"/>
  </r>
  <r>
    <n v="0"/>
    <x v="8"/>
    <x v="4"/>
    <n v="1"/>
    <n v="5"/>
    <n v="5"/>
    <x v="0"/>
    <n v="3"/>
    <n v="1"/>
    <x v="0"/>
    <x v="0"/>
  </r>
  <r>
    <n v="0"/>
    <x v="7"/>
    <x v="4"/>
    <n v="1"/>
    <n v="5"/>
    <n v="4"/>
    <x v="2"/>
    <n v="2"/>
    <n v="2"/>
    <x v="3"/>
    <x v="2"/>
  </r>
  <r>
    <n v="0"/>
    <x v="7"/>
    <x v="4"/>
    <n v="1"/>
    <n v="5"/>
    <n v="4"/>
    <x v="3"/>
    <n v="4"/>
    <n v="2"/>
    <x v="18"/>
    <x v="2"/>
  </r>
  <r>
    <n v="0"/>
    <x v="7"/>
    <x v="4"/>
    <n v="1"/>
    <n v="5"/>
    <n v="5"/>
    <x v="3"/>
    <n v="1"/>
    <n v="1"/>
    <x v="68"/>
    <x v="0"/>
  </r>
  <r>
    <n v="0"/>
    <x v="1"/>
    <x v="4"/>
    <n v="1"/>
    <n v="5"/>
    <n v="5"/>
    <x v="3"/>
    <n v="2"/>
    <n v="2"/>
    <x v="22"/>
    <x v="0"/>
  </r>
  <r>
    <n v="0"/>
    <x v="1"/>
    <x v="5"/>
    <n v="1"/>
    <n v="1"/>
    <n v="2"/>
    <x v="1"/>
    <n v="1"/>
    <n v="1"/>
    <x v="69"/>
    <x v="0"/>
  </r>
  <r>
    <n v="0"/>
    <x v="1"/>
    <x v="5"/>
    <n v="1"/>
    <n v="1"/>
    <n v="4"/>
    <x v="1"/>
    <n v="1"/>
    <n v="1"/>
    <x v="42"/>
    <x v="0"/>
  </r>
  <r>
    <n v="0"/>
    <x v="3"/>
    <x v="5"/>
    <n v="1"/>
    <n v="1"/>
    <n v="3"/>
    <x v="2"/>
    <n v="2"/>
    <n v="1"/>
    <x v="4"/>
    <x v="2"/>
  </r>
  <r>
    <n v="0"/>
    <x v="3"/>
    <x v="5"/>
    <n v="1"/>
    <n v="2"/>
    <n v="4"/>
    <x v="1"/>
    <n v="1"/>
    <n v="1"/>
    <x v="70"/>
    <x v="3"/>
  </r>
  <r>
    <n v="0"/>
    <x v="7"/>
    <x v="5"/>
    <n v="1"/>
    <n v="2"/>
    <n v="4"/>
    <x v="1"/>
    <n v="4"/>
    <n v="1"/>
    <x v="25"/>
    <x v="2"/>
  </r>
  <r>
    <n v="0"/>
    <x v="6"/>
    <x v="5"/>
    <n v="1"/>
    <n v="2"/>
    <n v="1"/>
    <x v="1"/>
    <n v="1"/>
    <n v="1"/>
    <x v="4"/>
    <x v="2"/>
  </r>
  <r>
    <n v="0"/>
    <x v="7"/>
    <x v="5"/>
    <n v="1"/>
    <n v="2"/>
    <n v="2"/>
    <x v="1"/>
    <n v="1"/>
    <n v="1"/>
    <x v="4"/>
    <x v="2"/>
  </r>
  <r>
    <n v="0"/>
    <x v="5"/>
    <x v="5"/>
    <n v="1"/>
    <n v="2"/>
    <n v="2"/>
    <x v="1"/>
    <n v="1"/>
    <n v="2"/>
    <x v="3"/>
    <x v="2"/>
  </r>
  <r>
    <n v="0"/>
    <x v="4"/>
    <x v="5"/>
    <n v="1"/>
    <n v="2"/>
    <n v="2"/>
    <x v="1"/>
    <n v="1"/>
    <n v="1"/>
    <x v="71"/>
    <x v="2"/>
  </r>
  <r>
    <n v="0"/>
    <x v="1"/>
    <x v="5"/>
    <n v="1"/>
    <n v="2"/>
    <n v="2"/>
    <x v="1"/>
    <n v="1"/>
    <n v="1"/>
    <x v="18"/>
    <x v="2"/>
  </r>
  <r>
    <n v="0"/>
    <x v="3"/>
    <x v="5"/>
    <n v="1"/>
    <n v="2"/>
    <n v="3"/>
    <x v="1"/>
    <n v="1"/>
    <n v="1"/>
    <x v="18"/>
    <x v="2"/>
  </r>
  <r>
    <n v="0"/>
    <x v="3"/>
    <x v="5"/>
    <n v="1"/>
    <n v="2"/>
    <n v="5"/>
    <x v="1"/>
    <n v="1"/>
    <n v="1"/>
    <x v="72"/>
    <x v="0"/>
  </r>
  <r>
    <n v="0"/>
    <x v="3"/>
    <x v="5"/>
    <n v="1"/>
    <n v="2"/>
    <n v="4"/>
    <x v="1"/>
    <n v="3"/>
    <n v="1"/>
    <x v="13"/>
    <x v="0"/>
  </r>
  <r>
    <n v="0"/>
    <x v="1"/>
    <x v="5"/>
    <n v="1"/>
    <n v="2"/>
    <n v="3"/>
    <x v="2"/>
    <n v="4"/>
    <n v="2"/>
    <x v="7"/>
    <x v="3"/>
  </r>
  <r>
    <n v="0"/>
    <x v="5"/>
    <x v="5"/>
    <n v="1"/>
    <n v="2"/>
    <n v="2"/>
    <x v="2"/>
    <n v="1"/>
    <n v="2"/>
    <x v="30"/>
    <x v="3"/>
  </r>
  <r>
    <n v="0"/>
    <x v="1"/>
    <x v="5"/>
    <n v="1"/>
    <n v="2"/>
    <n v="3"/>
    <x v="2"/>
    <n v="2"/>
    <n v="1"/>
    <x v="18"/>
    <x v="2"/>
  </r>
  <r>
    <n v="0"/>
    <x v="7"/>
    <x v="5"/>
    <n v="1"/>
    <n v="2"/>
    <n v="2"/>
    <x v="2"/>
    <n v="1"/>
    <n v="1"/>
    <x v="9"/>
    <x v="0"/>
  </r>
  <r>
    <n v="0"/>
    <x v="7"/>
    <x v="5"/>
    <n v="1"/>
    <n v="2"/>
    <n v="4"/>
    <x v="2"/>
    <n v="2"/>
    <n v="1"/>
    <x v="12"/>
    <x v="0"/>
  </r>
  <r>
    <n v="0"/>
    <x v="6"/>
    <x v="5"/>
    <n v="1"/>
    <n v="2"/>
    <n v="4"/>
    <x v="2"/>
    <n v="1"/>
    <n v="1"/>
    <x v="13"/>
    <x v="0"/>
  </r>
  <r>
    <n v="0"/>
    <x v="7"/>
    <x v="5"/>
    <n v="1"/>
    <n v="2"/>
    <n v="3"/>
    <x v="3"/>
    <n v="1"/>
    <n v="1"/>
    <x v="3"/>
    <x v="2"/>
  </r>
  <r>
    <n v="0"/>
    <x v="2"/>
    <x v="5"/>
    <n v="1"/>
    <n v="2"/>
    <n v="4"/>
    <x v="4"/>
    <n v="1"/>
    <n v="1"/>
    <x v="13"/>
    <x v="0"/>
  </r>
  <r>
    <n v="0"/>
    <x v="8"/>
    <x v="5"/>
    <n v="1"/>
    <n v="3"/>
    <n v="3"/>
    <x v="0"/>
    <n v="2"/>
    <n v="1"/>
    <x v="30"/>
    <x v="3"/>
  </r>
  <r>
    <n v="0"/>
    <x v="8"/>
    <x v="5"/>
    <n v="1"/>
    <n v="3"/>
    <n v="4"/>
    <x v="0"/>
    <n v="1"/>
    <n v="1"/>
    <x v="0"/>
    <x v="0"/>
  </r>
  <r>
    <n v="0"/>
    <x v="1"/>
    <x v="5"/>
    <n v="1"/>
    <n v="3"/>
    <n v="3"/>
    <x v="1"/>
    <n v="3"/>
    <n v="1"/>
    <x v="6"/>
    <x v="3"/>
  </r>
  <r>
    <n v="0"/>
    <x v="3"/>
    <x v="5"/>
    <n v="1"/>
    <n v="3"/>
    <n v="4"/>
    <x v="1"/>
    <n v="1"/>
    <n v="1"/>
    <x v="44"/>
    <x v="2"/>
  </r>
  <r>
    <n v="0"/>
    <x v="7"/>
    <x v="5"/>
    <n v="1"/>
    <n v="3"/>
    <n v="2"/>
    <x v="1"/>
    <n v="1"/>
    <n v="1"/>
    <x v="10"/>
    <x v="0"/>
  </r>
  <r>
    <n v="0"/>
    <x v="1"/>
    <x v="5"/>
    <n v="1"/>
    <n v="3"/>
    <n v="2"/>
    <x v="2"/>
    <n v="3"/>
    <n v="1"/>
    <x v="5"/>
    <x v="3"/>
  </r>
  <r>
    <n v="0"/>
    <x v="7"/>
    <x v="5"/>
    <n v="1"/>
    <n v="3"/>
    <n v="4"/>
    <x v="2"/>
    <n v="2"/>
    <n v="4"/>
    <x v="73"/>
    <x v="3"/>
  </r>
  <r>
    <n v="0"/>
    <x v="1"/>
    <x v="5"/>
    <n v="1"/>
    <n v="3"/>
    <n v="2"/>
    <x v="2"/>
    <n v="1"/>
    <n v="1"/>
    <x v="6"/>
    <x v="3"/>
  </r>
  <r>
    <n v="0"/>
    <x v="5"/>
    <x v="5"/>
    <n v="1"/>
    <n v="3"/>
    <n v="3"/>
    <x v="2"/>
    <n v="2"/>
    <n v="2"/>
    <x v="15"/>
    <x v="2"/>
  </r>
  <r>
    <n v="0"/>
    <x v="5"/>
    <x v="5"/>
    <n v="1"/>
    <n v="3"/>
    <n v="2"/>
    <x v="2"/>
    <n v="4"/>
    <n v="1"/>
    <x v="25"/>
    <x v="2"/>
  </r>
  <r>
    <n v="0"/>
    <x v="7"/>
    <x v="5"/>
    <n v="1"/>
    <n v="3"/>
    <n v="2"/>
    <x v="2"/>
    <n v="1"/>
    <n v="2"/>
    <x v="3"/>
    <x v="2"/>
  </r>
  <r>
    <n v="0"/>
    <x v="1"/>
    <x v="5"/>
    <n v="1"/>
    <n v="3"/>
    <n v="3"/>
    <x v="2"/>
    <n v="1"/>
    <n v="2"/>
    <x v="18"/>
    <x v="2"/>
  </r>
  <r>
    <n v="0"/>
    <x v="6"/>
    <x v="5"/>
    <n v="1"/>
    <n v="3"/>
    <n v="3"/>
    <x v="2"/>
    <n v="1"/>
    <n v="2"/>
    <x v="18"/>
    <x v="2"/>
  </r>
  <r>
    <n v="0"/>
    <x v="3"/>
    <x v="5"/>
    <n v="1"/>
    <n v="3"/>
    <n v="4"/>
    <x v="2"/>
    <n v="2"/>
    <n v="2"/>
    <x v="32"/>
    <x v="0"/>
  </r>
  <r>
    <n v="0"/>
    <x v="5"/>
    <x v="5"/>
    <n v="1"/>
    <n v="3"/>
    <n v="4"/>
    <x v="2"/>
    <n v="1"/>
    <n v="1"/>
    <x v="13"/>
    <x v="0"/>
  </r>
  <r>
    <n v="0"/>
    <x v="3"/>
    <x v="5"/>
    <n v="1"/>
    <n v="3"/>
    <n v="4"/>
    <x v="2"/>
    <n v="1"/>
    <n v="1"/>
    <x v="48"/>
    <x v="0"/>
  </r>
  <r>
    <n v="0"/>
    <x v="0"/>
    <x v="5"/>
    <n v="1"/>
    <n v="3"/>
    <n v="4"/>
    <x v="3"/>
    <n v="1"/>
    <n v="2"/>
    <x v="0"/>
    <x v="0"/>
  </r>
  <r>
    <n v="0"/>
    <x v="0"/>
    <x v="5"/>
    <n v="1"/>
    <n v="3"/>
    <n v="5"/>
    <x v="4"/>
    <n v="2"/>
    <n v="2"/>
    <x v="0"/>
    <x v="0"/>
  </r>
  <r>
    <n v="0"/>
    <x v="8"/>
    <x v="5"/>
    <n v="1"/>
    <n v="4"/>
    <n v="4"/>
    <x v="0"/>
    <n v="1"/>
    <n v="1"/>
    <x v="0"/>
    <x v="0"/>
  </r>
  <r>
    <n v="0"/>
    <x v="2"/>
    <x v="5"/>
    <n v="1"/>
    <n v="4"/>
    <n v="3"/>
    <x v="1"/>
    <n v="1"/>
    <n v="1"/>
    <x v="5"/>
    <x v="3"/>
  </r>
  <r>
    <n v="0"/>
    <x v="5"/>
    <x v="5"/>
    <n v="1"/>
    <n v="4"/>
    <n v="4"/>
    <x v="1"/>
    <n v="3"/>
    <n v="1"/>
    <x v="74"/>
    <x v="3"/>
  </r>
  <r>
    <n v="0"/>
    <x v="1"/>
    <x v="5"/>
    <n v="1"/>
    <n v="4"/>
    <n v="2"/>
    <x v="1"/>
    <n v="2"/>
    <n v="2"/>
    <x v="12"/>
    <x v="0"/>
  </r>
  <r>
    <n v="0"/>
    <x v="1"/>
    <x v="5"/>
    <n v="1"/>
    <n v="4"/>
    <n v="4"/>
    <x v="2"/>
    <n v="1"/>
    <n v="1"/>
    <x v="15"/>
    <x v="2"/>
  </r>
  <r>
    <n v="0"/>
    <x v="7"/>
    <x v="5"/>
    <n v="1"/>
    <n v="4"/>
    <n v="4"/>
    <x v="2"/>
    <n v="1"/>
    <n v="1"/>
    <x v="15"/>
    <x v="2"/>
  </r>
  <r>
    <n v="0"/>
    <x v="5"/>
    <x v="5"/>
    <n v="1"/>
    <n v="4"/>
    <n v="6"/>
    <x v="2"/>
    <n v="4"/>
    <n v="3"/>
    <x v="15"/>
    <x v="2"/>
  </r>
  <r>
    <n v="0"/>
    <x v="5"/>
    <x v="5"/>
    <n v="1"/>
    <n v="4"/>
    <n v="2"/>
    <x v="2"/>
    <n v="2"/>
    <n v="4"/>
    <x v="18"/>
    <x v="2"/>
  </r>
  <r>
    <n v="0"/>
    <x v="4"/>
    <x v="5"/>
    <n v="1"/>
    <n v="4"/>
    <n v="4"/>
    <x v="2"/>
    <n v="1"/>
    <n v="2"/>
    <x v="9"/>
    <x v="0"/>
  </r>
  <r>
    <n v="0"/>
    <x v="1"/>
    <x v="5"/>
    <n v="1"/>
    <n v="4"/>
    <n v="4"/>
    <x v="2"/>
    <n v="4"/>
    <n v="2"/>
    <x v="9"/>
    <x v="0"/>
  </r>
  <r>
    <n v="0"/>
    <x v="7"/>
    <x v="5"/>
    <n v="1"/>
    <n v="4"/>
    <n v="4"/>
    <x v="2"/>
    <n v="4"/>
    <n v="1"/>
    <x v="32"/>
    <x v="0"/>
  </r>
  <r>
    <n v="0"/>
    <x v="6"/>
    <x v="5"/>
    <n v="1"/>
    <n v="4"/>
    <n v="4"/>
    <x v="2"/>
    <n v="1"/>
    <n v="2"/>
    <x v="12"/>
    <x v="0"/>
  </r>
  <r>
    <n v="0"/>
    <x v="6"/>
    <x v="5"/>
    <n v="1"/>
    <n v="4"/>
    <n v="4"/>
    <x v="2"/>
    <n v="2"/>
    <n v="1"/>
    <x v="13"/>
    <x v="0"/>
  </r>
  <r>
    <n v="0"/>
    <x v="5"/>
    <x v="5"/>
    <n v="1"/>
    <n v="4"/>
    <n v="6"/>
    <x v="2"/>
    <n v="1"/>
    <n v="1"/>
    <x v="13"/>
    <x v="0"/>
  </r>
  <r>
    <n v="0"/>
    <x v="7"/>
    <x v="5"/>
    <n v="1"/>
    <n v="4"/>
    <n v="4"/>
    <x v="2"/>
    <n v="1"/>
    <n v="1"/>
    <x v="26"/>
    <x v="0"/>
  </r>
  <r>
    <n v="0"/>
    <x v="5"/>
    <x v="5"/>
    <n v="1"/>
    <n v="4"/>
    <n v="4"/>
    <x v="2"/>
    <n v="1"/>
    <n v="1"/>
    <x v="22"/>
    <x v="0"/>
  </r>
  <r>
    <n v="0"/>
    <x v="6"/>
    <x v="5"/>
    <n v="1"/>
    <n v="4"/>
    <n v="4"/>
    <x v="3"/>
    <n v="1"/>
    <n v="2"/>
    <x v="50"/>
    <x v="2"/>
  </r>
  <r>
    <n v="0"/>
    <x v="7"/>
    <x v="5"/>
    <n v="1"/>
    <n v="4"/>
    <n v="5"/>
    <x v="3"/>
    <n v="1"/>
    <n v="1"/>
    <x v="3"/>
    <x v="2"/>
  </r>
  <r>
    <n v="0"/>
    <x v="5"/>
    <x v="5"/>
    <n v="1"/>
    <n v="4"/>
    <n v="5"/>
    <x v="3"/>
    <n v="2"/>
    <n v="1"/>
    <x v="75"/>
    <x v="0"/>
  </r>
  <r>
    <n v="0"/>
    <x v="5"/>
    <x v="5"/>
    <n v="1"/>
    <n v="4"/>
    <n v="5"/>
    <x v="3"/>
    <n v="1"/>
    <n v="1"/>
    <x v="76"/>
    <x v="0"/>
  </r>
  <r>
    <n v="0"/>
    <x v="0"/>
    <x v="5"/>
    <n v="1"/>
    <n v="4"/>
    <n v="5"/>
    <x v="4"/>
    <n v="1"/>
    <n v="2"/>
    <x v="9"/>
    <x v="0"/>
  </r>
  <r>
    <n v="0"/>
    <x v="10"/>
    <x v="5"/>
    <n v="1"/>
    <n v="4"/>
    <n v="4"/>
    <x v="4"/>
    <n v="1"/>
    <n v="2"/>
    <x v="0"/>
    <x v="0"/>
  </r>
  <r>
    <n v="0"/>
    <x v="8"/>
    <x v="5"/>
    <n v="1"/>
    <n v="5"/>
    <n v="5"/>
    <x v="0"/>
    <n v="2"/>
    <n v="2"/>
    <x v="77"/>
    <x v="4"/>
  </r>
  <r>
    <n v="0"/>
    <x v="9"/>
    <x v="5"/>
    <n v="1"/>
    <n v="5"/>
    <n v="4"/>
    <x v="0"/>
    <n v="2"/>
    <n v="3"/>
    <x v="0"/>
    <x v="0"/>
  </r>
  <r>
    <n v="0"/>
    <x v="9"/>
    <x v="5"/>
    <n v="1"/>
    <n v="5"/>
    <n v="5"/>
    <x v="0"/>
    <n v="4"/>
    <n v="1"/>
    <x v="0"/>
    <x v="0"/>
  </r>
  <r>
    <n v="0"/>
    <x v="7"/>
    <x v="5"/>
    <n v="1"/>
    <n v="5"/>
    <n v="6"/>
    <x v="1"/>
    <n v="1"/>
    <n v="2"/>
    <x v="32"/>
    <x v="0"/>
  </r>
  <r>
    <n v="0"/>
    <x v="7"/>
    <x v="5"/>
    <n v="1"/>
    <n v="5"/>
    <n v="3"/>
    <x v="1"/>
    <n v="1"/>
    <n v="2"/>
    <x v="13"/>
    <x v="0"/>
  </r>
  <r>
    <n v="0"/>
    <x v="1"/>
    <x v="5"/>
    <n v="1"/>
    <n v="5"/>
    <n v="2"/>
    <x v="1"/>
    <n v="1"/>
    <n v="1"/>
    <x v="22"/>
    <x v="0"/>
  </r>
  <r>
    <n v="0"/>
    <x v="5"/>
    <x v="5"/>
    <n v="1"/>
    <n v="5"/>
    <n v="4"/>
    <x v="3"/>
    <n v="1"/>
    <n v="1"/>
    <x v="3"/>
    <x v="2"/>
  </r>
  <r>
    <n v="0"/>
    <x v="2"/>
    <x v="5"/>
    <n v="1"/>
    <n v="5"/>
    <n v="6"/>
    <x v="3"/>
    <n v="1"/>
    <n v="1"/>
    <x v="42"/>
    <x v="0"/>
  </r>
  <r>
    <n v="0"/>
    <x v="7"/>
    <x v="5"/>
    <n v="1"/>
    <n v="5"/>
    <n v="6"/>
    <x v="3"/>
    <n v="2"/>
    <n v="1"/>
    <x v="78"/>
    <x v="0"/>
  </r>
  <r>
    <n v="0"/>
    <x v="1"/>
    <x v="5"/>
    <n v="1"/>
    <n v="5"/>
    <n v="5"/>
    <x v="4"/>
    <n v="3"/>
    <n v="1"/>
    <x v="13"/>
    <x v="0"/>
  </r>
  <r>
    <n v="0"/>
    <x v="0"/>
    <x v="5"/>
    <n v="1"/>
    <n v="5"/>
    <n v="6"/>
    <x v="4"/>
    <n v="3"/>
    <n v="2"/>
    <x v="0"/>
    <x v="0"/>
  </r>
  <r>
    <n v="0"/>
    <x v="8"/>
    <x v="5"/>
    <n v="1"/>
    <n v="6"/>
    <n v="6"/>
    <x v="0"/>
    <n v="2"/>
    <n v="2"/>
    <x v="0"/>
    <x v="0"/>
  </r>
  <r>
    <n v="0"/>
    <x v="3"/>
    <x v="5"/>
    <n v="1"/>
    <n v="6"/>
    <n v="4"/>
    <x v="2"/>
    <n v="2"/>
    <n v="1"/>
    <x v="0"/>
    <x v="0"/>
  </r>
  <r>
    <n v="0"/>
    <x v="0"/>
    <x v="5"/>
    <n v="1"/>
    <n v="6"/>
    <n v="6"/>
    <x v="4"/>
    <n v="1"/>
    <n v="1"/>
    <x v="0"/>
    <x v="0"/>
  </r>
  <r>
    <n v="1"/>
    <x v="7"/>
    <x v="0"/>
    <n v="0"/>
    <n v="1"/>
    <n v="2"/>
    <x v="1"/>
    <n v="0"/>
    <n v="0"/>
    <x v="5"/>
    <x v="3"/>
  </r>
  <r>
    <n v="1"/>
    <x v="1"/>
    <x v="0"/>
    <n v="0"/>
    <n v="1"/>
    <n v="2"/>
    <x v="1"/>
    <n v="0"/>
    <n v="0"/>
    <x v="30"/>
    <x v="3"/>
  </r>
  <r>
    <n v="1"/>
    <x v="3"/>
    <x v="0"/>
    <n v="0"/>
    <n v="1"/>
    <n v="3"/>
    <x v="1"/>
    <n v="0"/>
    <n v="0"/>
    <x v="30"/>
    <x v="3"/>
  </r>
  <r>
    <n v="1"/>
    <x v="6"/>
    <x v="0"/>
    <n v="0"/>
    <n v="1"/>
    <n v="3"/>
    <x v="2"/>
    <n v="0"/>
    <n v="0"/>
    <x v="6"/>
    <x v="3"/>
  </r>
  <r>
    <n v="1"/>
    <x v="3"/>
    <x v="0"/>
    <n v="0"/>
    <n v="2"/>
    <n v="2"/>
    <x v="1"/>
    <n v="0"/>
    <n v="0"/>
    <x v="30"/>
    <x v="3"/>
  </r>
  <r>
    <n v="1"/>
    <x v="3"/>
    <x v="0"/>
    <n v="0"/>
    <n v="2"/>
    <n v="4"/>
    <x v="1"/>
    <n v="0"/>
    <n v="0"/>
    <x v="25"/>
    <x v="2"/>
  </r>
  <r>
    <n v="1"/>
    <x v="6"/>
    <x v="0"/>
    <n v="0"/>
    <n v="2"/>
    <n v="4"/>
    <x v="1"/>
    <n v="0"/>
    <n v="0"/>
    <x v="4"/>
    <x v="2"/>
  </r>
  <r>
    <n v="1"/>
    <x v="3"/>
    <x v="0"/>
    <n v="0"/>
    <n v="2"/>
    <n v="4"/>
    <x v="1"/>
    <n v="0"/>
    <n v="0"/>
    <x v="18"/>
    <x v="2"/>
  </r>
  <r>
    <n v="1"/>
    <x v="6"/>
    <x v="0"/>
    <n v="0"/>
    <n v="2"/>
    <n v="2"/>
    <x v="1"/>
    <n v="0"/>
    <n v="0"/>
    <x v="79"/>
    <x v="0"/>
  </r>
  <r>
    <n v="1"/>
    <x v="3"/>
    <x v="0"/>
    <n v="0"/>
    <n v="2"/>
    <n v="4"/>
    <x v="2"/>
    <n v="0"/>
    <n v="0"/>
    <x v="6"/>
    <x v="3"/>
  </r>
  <r>
    <n v="1"/>
    <x v="1"/>
    <x v="0"/>
    <n v="0"/>
    <n v="2"/>
    <n v="3"/>
    <x v="2"/>
    <n v="0"/>
    <n v="0"/>
    <x v="80"/>
    <x v="2"/>
  </r>
  <r>
    <n v="1"/>
    <x v="5"/>
    <x v="0"/>
    <n v="0"/>
    <n v="2"/>
    <n v="2"/>
    <x v="2"/>
    <n v="0"/>
    <n v="0"/>
    <x v="4"/>
    <x v="2"/>
  </r>
  <r>
    <n v="1"/>
    <x v="3"/>
    <x v="0"/>
    <n v="0"/>
    <n v="2"/>
    <n v="2"/>
    <x v="2"/>
    <n v="0"/>
    <n v="0"/>
    <x v="50"/>
    <x v="2"/>
  </r>
  <r>
    <n v="1"/>
    <x v="3"/>
    <x v="0"/>
    <n v="0"/>
    <n v="2"/>
    <n v="4"/>
    <x v="2"/>
    <n v="0"/>
    <n v="0"/>
    <x v="17"/>
    <x v="2"/>
  </r>
  <r>
    <n v="1"/>
    <x v="6"/>
    <x v="0"/>
    <n v="0"/>
    <n v="2"/>
    <n v="4"/>
    <x v="2"/>
    <n v="0"/>
    <n v="0"/>
    <x v="13"/>
    <x v="0"/>
  </r>
  <r>
    <n v="1"/>
    <x v="1"/>
    <x v="0"/>
    <n v="0"/>
    <n v="2"/>
    <n v="2"/>
    <x v="3"/>
    <n v="0"/>
    <n v="0"/>
    <x v="13"/>
    <x v="0"/>
  </r>
  <r>
    <n v="1"/>
    <x v="7"/>
    <x v="0"/>
    <n v="0"/>
    <n v="2"/>
    <n v="4"/>
    <x v="4"/>
    <n v="0"/>
    <n v="0"/>
    <x v="42"/>
    <x v="0"/>
  </r>
  <r>
    <n v="1"/>
    <x v="9"/>
    <x v="0"/>
    <n v="0"/>
    <n v="3"/>
    <n v="4"/>
    <x v="0"/>
    <n v="0"/>
    <n v="0"/>
    <x v="22"/>
    <x v="0"/>
  </r>
  <r>
    <n v="1"/>
    <x v="8"/>
    <x v="0"/>
    <n v="0"/>
    <n v="3"/>
    <n v="3"/>
    <x v="0"/>
    <n v="0"/>
    <n v="0"/>
    <x v="0"/>
    <x v="0"/>
  </r>
  <r>
    <n v="1"/>
    <x v="8"/>
    <x v="0"/>
    <n v="0"/>
    <n v="3"/>
    <n v="4"/>
    <x v="0"/>
    <n v="0"/>
    <n v="0"/>
    <x v="0"/>
    <x v="0"/>
  </r>
  <r>
    <n v="1"/>
    <x v="2"/>
    <x v="0"/>
    <n v="0"/>
    <n v="3"/>
    <n v="2"/>
    <x v="1"/>
    <n v="0"/>
    <n v="0"/>
    <x v="81"/>
    <x v="3"/>
  </r>
  <r>
    <n v="1"/>
    <x v="5"/>
    <x v="0"/>
    <n v="0"/>
    <n v="3"/>
    <n v="3"/>
    <x v="1"/>
    <n v="0"/>
    <n v="0"/>
    <x v="30"/>
    <x v="3"/>
  </r>
  <r>
    <n v="1"/>
    <x v="5"/>
    <x v="0"/>
    <n v="0"/>
    <n v="3"/>
    <n v="3"/>
    <x v="1"/>
    <n v="0"/>
    <n v="0"/>
    <x v="4"/>
    <x v="2"/>
  </r>
  <r>
    <n v="1"/>
    <x v="3"/>
    <x v="0"/>
    <n v="0"/>
    <n v="3"/>
    <n v="3"/>
    <x v="1"/>
    <n v="0"/>
    <n v="0"/>
    <x v="3"/>
    <x v="2"/>
  </r>
  <r>
    <n v="1"/>
    <x v="3"/>
    <x v="0"/>
    <n v="0"/>
    <n v="3"/>
    <n v="3"/>
    <x v="1"/>
    <n v="0"/>
    <n v="0"/>
    <x v="13"/>
    <x v="0"/>
  </r>
  <r>
    <n v="1"/>
    <x v="6"/>
    <x v="0"/>
    <n v="0"/>
    <n v="3"/>
    <n v="1"/>
    <x v="2"/>
    <n v="0"/>
    <n v="0"/>
    <x v="15"/>
    <x v="2"/>
  </r>
  <r>
    <n v="1"/>
    <x v="6"/>
    <x v="0"/>
    <n v="0"/>
    <n v="3"/>
    <n v="3"/>
    <x v="2"/>
    <n v="0"/>
    <n v="0"/>
    <x v="15"/>
    <x v="2"/>
  </r>
  <r>
    <n v="1"/>
    <x v="7"/>
    <x v="0"/>
    <n v="0"/>
    <n v="3"/>
    <n v="3"/>
    <x v="2"/>
    <n v="0"/>
    <n v="0"/>
    <x v="3"/>
    <x v="2"/>
  </r>
  <r>
    <n v="1"/>
    <x v="3"/>
    <x v="0"/>
    <n v="0"/>
    <n v="3"/>
    <n v="5"/>
    <x v="2"/>
    <n v="0"/>
    <n v="0"/>
    <x v="22"/>
    <x v="0"/>
  </r>
  <r>
    <n v="1"/>
    <x v="1"/>
    <x v="0"/>
    <n v="0"/>
    <n v="3"/>
    <n v="4"/>
    <x v="3"/>
    <n v="0"/>
    <n v="0"/>
    <x v="5"/>
    <x v="3"/>
  </r>
  <r>
    <n v="1"/>
    <x v="1"/>
    <x v="0"/>
    <n v="0"/>
    <n v="3"/>
    <n v="3"/>
    <x v="3"/>
    <n v="0"/>
    <n v="0"/>
    <x v="4"/>
    <x v="2"/>
  </r>
  <r>
    <n v="1"/>
    <x v="10"/>
    <x v="0"/>
    <n v="0"/>
    <n v="3"/>
    <n v="5"/>
    <x v="3"/>
    <n v="0"/>
    <n v="0"/>
    <x v="0"/>
    <x v="0"/>
  </r>
  <r>
    <n v="1"/>
    <x v="6"/>
    <x v="0"/>
    <n v="0"/>
    <n v="3"/>
    <n v="3"/>
    <x v="4"/>
    <n v="0"/>
    <n v="0"/>
    <x v="15"/>
    <x v="2"/>
  </r>
  <r>
    <n v="1"/>
    <x v="6"/>
    <x v="0"/>
    <n v="0"/>
    <n v="4"/>
    <n v="4"/>
    <x v="1"/>
    <n v="0"/>
    <n v="0"/>
    <x v="15"/>
    <x v="2"/>
  </r>
  <r>
    <n v="1"/>
    <x v="3"/>
    <x v="0"/>
    <n v="0"/>
    <n v="4"/>
    <n v="3"/>
    <x v="1"/>
    <n v="0"/>
    <n v="0"/>
    <x v="3"/>
    <x v="2"/>
  </r>
  <r>
    <n v="1"/>
    <x v="5"/>
    <x v="0"/>
    <n v="0"/>
    <n v="4"/>
    <n v="5"/>
    <x v="2"/>
    <n v="0"/>
    <n v="0"/>
    <x v="82"/>
    <x v="3"/>
  </r>
  <r>
    <n v="1"/>
    <x v="7"/>
    <x v="0"/>
    <n v="0"/>
    <n v="4"/>
    <n v="5"/>
    <x v="2"/>
    <n v="0"/>
    <n v="0"/>
    <x v="3"/>
    <x v="2"/>
  </r>
  <r>
    <n v="1"/>
    <x v="3"/>
    <x v="0"/>
    <n v="0"/>
    <n v="4"/>
    <n v="3"/>
    <x v="2"/>
    <n v="0"/>
    <n v="0"/>
    <x v="18"/>
    <x v="2"/>
  </r>
  <r>
    <n v="1"/>
    <x v="6"/>
    <x v="0"/>
    <n v="0"/>
    <n v="4"/>
    <n v="4"/>
    <x v="2"/>
    <n v="0"/>
    <n v="0"/>
    <x v="18"/>
    <x v="2"/>
  </r>
  <r>
    <n v="1"/>
    <x v="3"/>
    <x v="0"/>
    <n v="0"/>
    <n v="4"/>
    <n v="3"/>
    <x v="2"/>
    <n v="0"/>
    <n v="0"/>
    <x v="83"/>
    <x v="0"/>
  </r>
  <r>
    <n v="1"/>
    <x v="1"/>
    <x v="0"/>
    <n v="0"/>
    <n v="4"/>
    <n v="6"/>
    <x v="2"/>
    <n v="0"/>
    <n v="0"/>
    <x v="0"/>
    <x v="0"/>
  </r>
  <r>
    <n v="1"/>
    <x v="1"/>
    <x v="0"/>
    <n v="0"/>
    <n v="4"/>
    <n v="5"/>
    <x v="3"/>
    <n v="0"/>
    <n v="0"/>
    <x v="30"/>
    <x v="3"/>
  </r>
  <r>
    <n v="1"/>
    <x v="3"/>
    <x v="0"/>
    <n v="0"/>
    <n v="4"/>
    <n v="4"/>
    <x v="3"/>
    <n v="0"/>
    <n v="0"/>
    <x v="55"/>
    <x v="2"/>
  </r>
  <r>
    <n v="1"/>
    <x v="3"/>
    <x v="0"/>
    <n v="0"/>
    <n v="4"/>
    <n v="3"/>
    <x v="3"/>
    <n v="0"/>
    <n v="0"/>
    <x v="11"/>
    <x v="0"/>
  </r>
  <r>
    <n v="1"/>
    <x v="3"/>
    <x v="0"/>
    <n v="0"/>
    <n v="4"/>
    <n v="3"/>
    <x v="3"/>
    <n v="0"/>
    <n v="0"/>
    <x v="68"/>
    <x v="0"/>
  </r>
  <r>
    <n v="1"/>
    <x v="10"/>
    <x v="0"/>
    <n v="0"/>
    <n v="4"/>
    <n v="2"/>
    <x v="3"/>
    <n v="0"/>
    <n v="0"/>
    <x v="0"/>
    <x v="0"/>
  </r>
  <r>
    <n v="1"/>
    <x v="9"/>
    <x v="0"/>
    <n v="0"/>
    <n v="5"/>
    <n v="4"/>
    <x v="0"/>
    <n v="0"/>
    <n v="0"/>
    <x v="42"/>
    <x v="0"/>
  </r>
  <r>
    <n v="1"/>
    <x v="9"/>
    <x v="0"/>
    <n v="0"/>
    <n v="5"/>
    <n v="5"/>
    <x v="0"/>
    <n v="0"/>
    <n v="0"/>
    <x v="0"/>
    <x v="0"/>
  </r>
  <r>
    <n v="1"/>
    <x v="8"/>
    <x v="0"/>
    <n v="0"/>
    <n v="5"/>
    <n v="5"/>
    <x v="0"/>
    <n v="0"/>
    <n v="0"/>
    <x v="0"/>
    <x v="0"/>
  </r>
  <r>
    <n v="1"/>
    <x v="3"/>
    <x v="0"/>
    <n v="0"/>
    <n v="5"/>
    <n v="4"/>
    <x v="2"/>
    <n v="0"/>
    <n v="0"/>
    <x v="30"/>
    <x v="3"/>
  </r>
  <r>
    <n v="1"/>
    <x v="0"/>
    <x v="0"/>
    <n v="0"/>
    <n v="5"/>
    <n v="4"/>
    <x v="3"/>
    <n v="0"/>
    <n v="0"/>
    <x v="9"/>
    <x v="0"/>
  </r>
  <r>
    <n v="1"/>
    <x v="0"/>
    <x v="0"/>
    <n v="0"/>
    <n v="5"/>
    <n v="6"/>
    <x v="3"/>
    <n v="0"/>
    <n v="0"/>
    <x v="42"/>
    <x v="0"/>
  </r>
  <r>
    <n v="1"/>
    <x v="8"/>
    <x v="0"/>
    <n v="0"/>
    <n v="6"/>
    <n v="6"/>
    <x v="0"/>
    <n v="0"/>
    <n v="0"/>
    <x v="0"/>
    <x v="0"/>
  </r>
  <r>
    <n v="1"/>
    <x v="7"/>
    <x v="1"/>
    <n v="1"/>
    <n v="1"/>
    <n v="2"/>
    <x v="1"/>
    <n v="2"/>
    <n v="3"/>
    <x v="7"/>
    <x v="3"/>
  </r>
  <r>
    <n v="1"/>
    <x v="6"/>
    <x v="1"/>
    <n v="1"/>
    <n v="2"/>
    <n v="2"/>
    <x v="1"/>
    <n v="4"/>
    <n v="2"/>
    <x v="7"/>
    <x v="3"/>
  </r>
  <r>
    <n v="1"/>
    <x v="3"/>
    <x v="1"/>
    <n v="1"/>
    <n v="2"/>
    <n v="5"/>
    <x v="1"/>
    <n v="1"/>
    <n v="1"/>
    <x v="7"/>
    <x v="3"/>
  </r>
  <r>
    <n v="1"/>
    <x v="4"/>
    <x v="1"/>
    <n v="1"/>
    <n v="2"/>
    <n v="2"/>
    <x v="1"/>
    <n v="4"/>
    <n v="1"/>
    <x v="15"/>
    <x v="2"/>
  </r>
  <r>
    <n v="1"/>
    <x v="4"/>
    <x v="1"/>
    <n v="1"/>
    <n v="2"/>
    <n v="3"/>
    <x v="1"/>
    <n v="4"/>
    <n v="2"/>
    <x v="15"/>
    <x v="2"/>
  </r>
  <r>
    <n v="1"/>
    <x v="3"/>
    <x v="1"/>
    <n v="1"/>
    <n v="2"/>
    <n v="2"/>
    <x v="1"/>
    <n v="4"/>
    <n v="5"/>
    <x v="4"/>
    <x v="2"/>
  </r>
  <r>
    <n v="1"/>
    <x v="7"/>
    <x v="1"/>
    <n v="1"/>
    <n v="2"/>
    <n v="2"/>
    <x v="2"/>
    <n v="3"/>
    <n v="5"/>
    <x v="6"/>
    <x v="3"/>
  </r>
  <r>
    <n v="1"/>
    <x v="1"/>
    <x v="1"/>
    <n v="1"/>
    <n v="2"/>
    <n v="2"/>
    <x v="2"/>
    <n v="4"/>
    <n v="5"/>
    <x v="6"/>
    <x v="3"/>
  </r>
  <r>
    <n v="1"/>
    <x v="6"/>
    <x v="1"/>
    <n v="1"/>
    <n v="2"/>
    <n v="2"/>
    <x v="2"/>
    <n v="4"/>
    <n v="4"/>
    <x v="7"/>
    <x v="3"/>
  </r>
  <r>
    <n v="1"/>
    <x v="4"/>
    <x v="1"/>
    <n v="1"/>
    <n v="2"/>
    <n v="3"/>
    <x v="2"/>
    <n v="4"/>
    <n v="3"/>
    <x v="7"/>
    <x v="3"/>
  </r>
  <r>
    <n v="1"/>
    <x v="5"/>
    <x v="1"/>
    <n v="1"/>
    <n v="2"/>
    <n v="4"/>
    <x v="2"/>
    <n v="3"/>
    <n v="3"/>
    <x v="30"/>
    <x v="3"/>
  </r>
  <r>
    <n v="1"/>
    <x v="7"/>
    <x v="1"/>
    <n v="1"/>
    <n v="2"/>
    <n v="3"/>
    <x v="2"/>
    <n v="2"/>
    <n v="3"/>
    <x v="4"/>
    <x v="2"/>
  </r>
  <r>
    <n v="1"/>
    <x v="7"/>
    <x v="1"/>
    <n v="1"/>
    <n v="2"/>
    <n v="4"/>
    <x v="2"/>
    <n v="3"/>
    <n v="2"/>
    <x v="4"/>
    <x v="2"/>
  </r>
  <r>
    <n v="1"/>
    <x v="1"/>
    <x v="1"/>
    <n v="1"/>
    <n v="2"/>
    <n v="2"/>
    <x v="2"/>
    <n v="4"/>
    <n v="3"/>
    <x v="84"/>
    <x v="2"/>
  </r>
  <r>
    <n v="1"/>
    <x v="1"/>
    <x v="1"/>
    <n v="1"/>
    <n v="2"/>
    <n v="4"/>
    <x v="2"/>
    <n v="4"/>
    <n v="1"/>
    <x v="18"/>
    <x v="2"/>
  </r>
  <r>
    <n v="1"/>
    <x v="3"/>
    <x v="1"/>
    <n v="1"/>
    <n v="2"/>
    <n v="2"/>
    <x v="2"/>
    <n v="3"/>
    <n v="4"/>
    <x v="41"/>
    <x v="0"/>
  </r>
  <r>
    <n v="1"/>
    <x v="1"/>
    <x v="1"/>
    <n v="1"/>
    <n v="2"/>
    <n v="2"/>
    <x v="2"/>
    <n v="4"/>
    <n v="2"/>
    <x v="22"/>
    <x v="0"/>
  </r>
  <r>
    <n v="1"/>
    <x v="7"/>
    <x v="1"/>
    <n v="1"/>
    <n v="2"/>
    <n v="2"/>
    <x v="3"/>
    <n v="4"/>
    <n v="5"/>
    <x v="85"/>
    <x v="1"/>
  </r>
  <r>
    <n v="1"/>
    <x v="1"/>
    <x v="1"/>
    <n v="1"/>
    <n v="2"/>
    <n v="3"/>
    <x v="3"/>
    <n v="4"/>
    <n v="2"/>
    <x v="30"/>
    <x v="3"/>
  </r>
  <r>
    <n v="1"/>
    <x v="2"/>
    <x v="1"/>
    <n v="1"/>
    <n v="2"/>
    <n v="4"/>
    <x v="3"/>
    <n v="4"/>
    <n v="2"/>
    <x v="2"/>
    <x v="2"/>
  </r>
  <r>
    <n v="1"/>
    <x v="8"/>
    <x v="1"/>
    <n v="1"/>
    <n v="3"/>
    <n v="3"/>
    <x v="0"/>
    <n v="4"/>
    <n v="2"/>
    <x v="30"/>
    <x v="3"/>
  </r>
  <r>
    <n v="1"/>
    <x v="1"/>
    <x v="1"/>
    <n v="1"/>
    <n v="3"/>
    <n v="2"/>
    <x v="1"/>
    <n v="2"/>
    <n v="3"/>
    <x v="5"/>
    <x v="3"/>
  </r>
  <r>
    <n v="1"/>
    <x v="3"/>
    <x v="1"/>
    <n v="1"/>
    <n v="3"/>
    <n v="3"/>
    <x v="1"/>
    <n v="1"/>
    <n v="4"/>
    <x v="7"/>
    <x v="3"/>
  </r>
  <r>
    <n v="1"/>
    <x v="3"/>
    <x v="1"/>
    <n v="1"/>
    <n v="3"/>
    <n v="2"/>
    <x v="1"/>
    <n v="4"/>
    <n v="5"/>
    <x v="60"/>
    <x v="2"/>
  </r>
  <r>
    <n v="1"/>
    <x v="0"/>
    <x v="1"/>
    <n v="1"/>
    <n v="3"/>
    <n v="4"/>
    <x v="1"/>
    <n v="4"/>
    <n v="5"/>
    <x v="18"/>
    <x v="2"/>
  </r>
  <r>
    <n v="1"/>
    <x v="7"/>
    <x v="1"/>
    <n v="1"/>
    <n v="3"/>
    <n v="3"/>
    <x v="1"/>
    <n v="2"/>
    <n v="2"/>
    <x v="26"/>
    <x v="0"/>
  </r>
  <r>
    <n v="1"/>
    <x v="5"/>
    <x v="1"/>
    <n v="1"/>
    <n v="3"/>
    <n v="3"/>
    <x v="2"/>
    <n v="1"/>
    <n v="2"/>
    <x v="85"/>
    <x v="1"/>
  </r>
  <r>
    <n v="1"/>
    <x v="5"/>
    <x v="1"/>
    <n v="1"/>
    <n v="3"/>
    <n v="5"/>
    <x v="2"/>
    <n v="4"/>
    <n v="4"/>
    <x v="85"/>
    <x v="1"/>
  </r>
  <r>
    <n v="1"/>
    <x v="4"/>
    <x v="1"/>
    <n v="1"/>
    <n v="3"/>
    <n v="3"/>
    <x v="2"/>
    <n v="2"/>
    <n v="2"/>
    <x v="2"/>
    <x v="2"/>
  </r>
  <r>
    <n v="1"/>
    <x v="3"/>
    <x v="1"/>
    <n v="1"/>
    <n v="3"/>
    <n v="4"/>
    <x v="2"/>
    <n v="1"/>
    <n v="1"/>
    <x v="15"/>
    <x v="2"/>
  </r>
  <r>
    <n v="1"/>
    <x v="5"/>
    <x v="1"/>
    <n v="1"/>
    <n v="3"/>
    <n v="4"/>
    <x v="2"/>
    <n v="4"/>
    <n v="3"/>
    <x v="15"/>
    <x v="2"/>
  </r>
  <r>
    <n v="1"/>
    <x v="1"/>
    <x v="1"/>
    <n v="1"/>
    <n v="3"/>
    <n v="2"/>
    <x v="2"/>
    <n v="1"/>
    <n v="2"/>
    <x v="16"/>
    <x v="2"/>
  </r>
  <r>
    <n v="1"/>
    <x v="5"/>
    <x v="1"/>
    <n v="1"/>
    <n v="3"/>
    <n v="5"/>
    <x v="2"/>
    <n v="4"/>
    <n v="5"/>
    <x v="4"/>
    <x v="2"/>
  </r>
  <r>
    <n v="1"/>
    <x v="3"/>
    <x v="1"/>
    <n v="1"/>
    <n v="3"/>
    <n v="2"/>
    <x v="2"/>
    <n v="1"/>
    <n v="1"/>
    <x v="3"/>
    <x v="2"/>
  </r>
  <r>
    <n v="1"/>
    <x v="3"/>
    <x v="1"/>
    <n v="1"/>
    <n v="3"/>
    <n v="4"/>
    <x v="2"/>
    <n v="2"/>
    <n v="4"/>
    <x v="3"/>
    <x v="2"/>
  </r>
  <r>
    <n v="1"/>
    <x v="3"/>
    <x v="1"/>
    <n v="1"/>
    <n v="3"/>
    <n v="4"/>
    <x v="2"/>
    <n v="4"/>
    <n v="3"/>
    <x v="3"/>
    <x v="2"/>
  </r>
  <r>
    <n v="1"/>
    <x v="6"/>
    <x v="1"/>
    <n v="1"/>
    <n v="3"/>
    <n v="5"/>
    <x v="2"/>
    <n v="4"/>
    <n v="3"/>
    <x v="3"/>
    <x v="2"/>
  </r>
  <r>
    <n v="1"/>
    <x v="7"/>
    <x v="1"/>
    <n v="1"/>
    <n v="3"/>
    <n v="4"/>
    <x v="2"/>
    <n v="4"/>
    <n v="5"/>
    <x v="86"/>
    <x v="0"/>
  </r>
  <r>
    <n v="1"/>
    <x v="4"/>
    <x v="1"/>
    <n v="1"/>
    <n v="3"/>
    <n v="4"/>
    <x v="2"/>
    <n v="4"/>
    <n v="3"/>
    <x v="9"/>
    <x v="0"/>
  </r>
  <r>
    <n v="1"/>
    <x v="0"/>
    <x v="1"/>
    <n v="1"/>
    <n v="3"/>
    <n v="5"/>
    <x v="2"/>
    <n v="2"/>
    <n v="2"/>
    <x v="9"/>
    <x v="0"/>
  </r>
  <r>
    <n v="1"/>
    <x v="0"/>
    <x v="1"/>
    <n v="1"/>
    <n v="3"/>
    <n v="4"/>
    <x v="2"/>
    <n v="3"/>
    <n v="4"/>
    <x v="14"/>
    <x v="0"/>
  </r>
  <r>
    <n v="1"/>
    <x v="7"/>
    <x v="1"/>
    <n v="1"/>
    <n v="3"/>
    <n v="3"/>
    <x v="3"/>
    <n v="1"/>
    <n v="2"/>
    <x v="2"/>
    <x v="2"/>
  </r>
  <r>
    <n v="1"/>
    <x v="5"/>
    <x v="1"/>
    <n v="1"/>
    <n v="3"/>
    <n v="5"/>
    <x v="3"/>
    <n v="3"/>
    <n v="2"/>
    <x v="22"/>
    <x v="0"/>
  </r>
  <r>
    <n v="1"/>
    <x v="5"/>
    <x v="1"/>
    <n v="1"/>
    <n v="3"/>
    <n v="3"/>
    <x v="4"/>
    <n v="3"/>
    <n v="5"/>
    <x v="4"/>
    <x v="2"/>
  </r>
  <r>
    <n v="1"/>
    <x v="3"/>
    <x v="1"/>
    <n v="1"/>
    <n v="3"/>
    <n v="3"/>
    <x v="4"/>
    <n v="4"/>
    <n v="2"/>
    <x v="4"/>
    <x v="2"/>
  </r>
  <r>
    <n v="1"/>
    <x v="8"/>
    <x v="1"/>
    <n v="1"/>
    <n v="4"/>
    <n v="5"/>
    <x v="0"/>
    <n v="4"/>
    <n v="2"/>
    <x v="0"/>
    <x v="0"/>
  </r>
  <r>
    <n v="1"/>
    <x v="7"/>
    <x v="1"/>
    <n v="1"/>
    <n v="4"/>
    <n v="4"/>
    <x v="1"/>
    <n v="4"/>
    <n v="4"/>
    <x v="5"/>
    <x v="3"/>
  </r>
  <r>
    <n v="1"/>
    <x v="5"/>
    <x v="1"/>
    <n v="1"/>
    <n v="4"/>
    <n v="4"/>
    <x v="1"/>
    <n v="1"/>
    <n v="3"/>
    <x v="6"/>
    <x v="3"/>
  </r>
  <r>
    <n v="1"/>
    <x v="1"/>
    <x v="1"/>
    <n v="1"/>
    <n v="4"/>
    <n v="4"/>
    <x v="1"/>
    <n v="4"/>
    <n v="4"/>
    <x v="6"/>
    <x v="3"/>
  </r>
  <r>
    <n v="1"/>
    <x v="1"/>
    <x v="1"/>
    <n v="1"/>
    <n v="4"/>
    <n v="4"/>
    <x v="1"/>
    <n v="4"/>
    <n v="3"/>
    <x v="6"/>
    <x v="3"/>
  </r>
  <r>
    <n v="1"/>
    <x v="6"/>
    <x v="1"/>
    <n v="1"/>
    <n v="4"/>
    <n v="5"/>
    <x v="1"/>
    <n v="3"/>
    <n v="3"/>
    <x v="3"/>
    <x v="2"/>
  </r>
  <r>
    <n v="1"/>
    <x v="1"/>
    <x v="1"/>
    <n v="1"/>
    <n v="4"/>
    <n v="3"/>
    <x v="1"/>
    <n v="1"/>
    <n v="2"/>
    <x v="9"/>
    <x v="0"/>
  </r>
  <r>
    <n v="1"/>
    <x v="10"/>
    <x v="1"/>
    <n v="1"/>
    <n v="4"/>
    <n v="4"/>
    <x v="1"/>
    <n v="4"/>
    <n v="4"/>
    <x v="0"/>
    <x v="0"/>
  </r>
  <r>
    <n v="1"/>
    <x v="1"/>
    <x v="1"/>
    <n v="1"/>
    <n v="4"/>
    <n v="2"/>
    <x v="2"/>
    <n v="2"/>
    <n v="2"/>
    <x v="87"/>
    <x v="3"/>
  </r>
  <r>
    <n v="1"/>
    <x v="5"/>
    <x v="1"/>
    <n v="1"/>
    <n v="4"/>
    <n v="4"/>
    <x v="2"/>
    <n v="1"/>
    <n v="2"/>
    <x v="6"/>
    <x v="3"/>
  </r>
  <r>
    <n v="1"/>
    <x v="3"/>
    <x v="1"/>
    <n v="1"/>
    <n v="4"/>
    <n v="4"/>
    <x v="2"/>
    <n v="2"/>
    <n v="2"/>
    <x v="6"/>
    <x v="3"/>
  </r>
  <r>
    <n v="1"/>
    <x v="5"/>
    <x v="1"/>
    <n v="1"/>
    <n v="4"/>
    <n v="4"/>
    <x v="2"/>
    <n v="4"/>
    <n v="4"/>
    <x v="6"/>
    <x v="3"/>
  </r>
  <r>
    <n v="1"/>
    <x v="1"/>
    <x v="1"/>
    <n v="1"/>
    <n v="4"/>
    <n v="4"/>
    <x v="2"/>
    <n v="4"/>
    <n v="2"/>
    <x v="7"/>
    <x v="3"/>
  </r>
  <r>
    <n v="1"/>
    <x v="5"/>
    <x v="1"/>
    <n v="1"/>
    <n v="4"/>
    <n v="4"/>
    <x v="2"/>
    <n v="1"/>
    <n v="3"/>
    <x v="70"/>
    <x v="3"/>
  </r>
  <r>
    <n v="1"/>
    <x v="5"/>
    <x v="1"/>
    <n v="1"/>
    <n v="4"/>
    <n v="3"/>
    <x v="2"/>
    <n v="4"/>
    <n v="3"/>
    <x v="3"/>
    <x v="2"/>
  </r>
  <r>
    <n v="1"/>
    <x v="5"/>
    <x v="1"/>
    <n v="1"/>
    <n v="4"/>
    <n v="2"/>
    <x v="2"/>
    <n v="2"/>
    <n v="2"/>
    <x v="86"/>
    <x v="0"/>
  </r>
  <r>
    <n v="1"/>
    <x v="3"/>
    <x v="1"/>
    <n v="1"/>
    <n v="4"/>
    <n v="2"/>
    <x v="2"/>
    <n v="1"/>
    <n v="5"/>
    <x v="12"/>
    <x v="0"/>
  </r>
  <r>
    <n v="1"/>
    <x v="5"/>
    <x v="1"/>
    <n v="1"/>
    <n v="4"/>
    <n v="3"/>
    <x v="2"/>
    <n v="4"/>
    <n v="4"/>
    <x v="13"/>
    <x v="0"/>
  </r>
  <r>
    <n v="1"/>
    <x v="3"/>
    <x v="1"/>
    <n v="1"/>
    <n v="4"/>
    <n v="6"/>
    <x v="2"/>
    <n v="3"/>
    <n v="4"/>
    <x v="13"/>
    <x v="0"/>
  </r>
  <r>
    <n v="1"/>
    <x v="3"/>
    <x v="1"/>
    <n v="1"/>
    <n v="4"/>
    <n v="4"/>
    <x v="2"/>
    <n v="3"/>
    <n v="3"/>
    <x v="48"/>
    <x v="0"/>
  </r>
  <r>
    <n v="1"/>
    <x v="5"/>
    <x v="1"/>
    <n v="1"/>
    <n v="4"/>
    <n v="5"/>
    <x v="3"/>
    <n v="3"/>
    <n v="2"/>
    <x v="46"/>
    <x v="3"/>
  </r>
  <r>
    <n v="1"/>
    <x v="5"/>
    <x v="1"/>
    <n v="1"/>
    <n v="4"/>
    <n v="3"/>
    <x v="3"/>
    <n v="3"/>
    <n v="4"/>
    <x v="30"/>
    <x v="3"/>
  </r>
  <r>
    <n v="1"/>
    <x v="5"/>
    <x v="1"/>
    <n v="1"/>
    <n v="4"/>
    <n v="3"/>
    <x v="3"/>
    <n v="4"/>
    <n v="2"/>
    <x v="30"/>
    <x v="3"/>
  </r>
  <r>
    <n v="1"/>
    <x v="5"/>
    <x v="1"/>
    <n v="1"/>
    <n v="4"/>
    <n v="6"/>
    <x v="3"/>
    <n v="1"/>
    <n v="3"/>
    <x v="88"/>
    <x v="2"/>
  </r>
  <r>
    <n v="1"/>
    <x v="1"/>
    <x v="1"/>
    <n v="1"/>
    <n v="4"/>
    <n v="4"/>
    <x v="3"/>
    <n v="3"/>
    <n v="3"/>
    <x v="15"/>
    <x v="2"/>
  </r>
  <r>
    <n v="1"/>
    <x v="7"/>
    <x v="1"/>
    <n v="1"/>
    <n v="4"/>
    <n v="4"/>
    <x v="3"/>
    <n v="1"/>
    <n v="3"/>
    <x v="3"/>
    <x v="2"/>
  </r>
  <r>
    <n v="1"/>
    <x v="5"/>
    <x v="1"/>
    <n v="1"/>
    <n v="4"/>
    <n v="4"/>
    <x v="3"/>
    <n v="4"/>
    <n v="4"/>
    <x v="42"/>
    <x v="0"/>
  </r>
  <r>
    <n v="1"/>
    <x v="0"/>
    <x v="1"/>
    <n v="1"/>
    <n v="4"/>
    <n v="4"/>
    <x v="3"/>
    <n v="4"/>
    <n v="4"/>
    <x v="0"/>
    <x v="0"/>
  </r>
  <r>
    <n v="1"/>
    <x v="0"/>
    <x v="1"/>
    <n v="1"/>
    <n v="4"/>
    <n v="5"/>
    <x v="3"/>
    <n v="4"/>
    <n v="3"/>
    <x v="0"/>
    <x v="0"/>
  </r>
  <r>
    <n v="1"/>
    <x v="3"/>
    <x v="1"/>
    <n v="1"/>
    <n v="4"/>
    <n v="5"/>
    <x v="4"/>
    <n v="3"/>
    <n v="4"/>
    <x v="30"/>
    <x v="3"/>
  </r>
  <r>
    <n v="1"/>
    <x v="3"/>
    <x v="1"/>
    <n v="1"/>
    <n v="4"/>
    <n v="3"/>
    <x v="4"/>
    <n v="4"/>
    <n v="2"/>
    <x v="4"/>
    <x v="2"/>
  </r>
  <r>
    <n v="1"/>
    <x v="3"/>
    <x v="1"/>
    <n v="1"/>
    <n v="4"/>
    <n v="4"/>
    <x v="4"/>
    <n v="1"/>
    <n v="1"/>
    <x v="4"/>
    <x v="2"/>
  </r>
  <r>
    <n v="1"/>
    <x v="5"/>
    <x v="1"/>
    <n v="1"/>
    <n v="4"/>
    <n v="5"/>
    <x v="4"/>
    <n v="4"/>
    <n v="5"/>
    <x v="51"/>
    <x v="0"/>
  </r>
  <r>
    <n v="1"/>
    <x v="8"/>
    <x v="1"/>
    <n v="1"/>
    <n v="5"/>
    <n v="5"/>
    <x v="0"/>
    <n v="3"/>
    <n v="2"/>
    <x v="4"/>
    <x v="2"/>
  </r>
  <r>
    <n v="1"/>
    <x v="8"/>
    <x v="1"/>
    <n v="1"/>
    <n v="5"/>
    <n v="5"/>
    <x v="0"/>
    <n v="1"/>
    <n v="4"/>
    <x v="0"/>
    <x v="0"/>
  </r>
  <r>
    <n v="1"/>
    <x v="7"/>
    <x v="1"/>
    <n v="1"/>
    <n v="5"/>
    <n v="4"/>
    <x v="1"/>
    <n v="3"/>
    <n v="1"/>
    <x v="43"/>
    <x v="2"/>
  </r>
  <r>
    <n v="1"/>
    <x v="5"/>
    <x v="1"/>
    <n v="1"/>
    <n v="5"/>
    <n v="5"/>
    <x v="2"/>
    <n v="3"/>
    <n v="1"/>
    <x v="33"/>
    <x v="2"/>
  </r>
  <r>
    <n v="1"/>
    <x v="1"/>
    <x v="1"/>
    <n v="1"/>
    <n v="5"/>
    <n v="4"/>
    <x v="2"/>
    <n v="4"/>
    <n v="3"/>
    <x v="89"/>
    <x v="2"/>
  </r>
  <r>
    <n v="1"/>
    <x v="1"/>
    <x v="1"/>
    <n v="1"/>
    <n v="5"/>
    <n v="5"/>
    <x v="2"/>
    <n v="4"/>
    <n v="2"/>
    <x v="50"/>
    <x v="2"/>
  </r>
  <r>
    <n v="1"/>
    <x v="3"/>
    <x v="1"/>
    <n v="1"/>
    <n v="5"/>
    <n v="5"/>
    <x v="2"/>
    <n v="3"/>
    <n v="3"/>
    <x v="66"/>
    <x v="2"/>
  </r>
  <r>
    <n v="1"/>
    <x v="5"/>
    <x v="1"/>
    <n v="1"/>
    <n v="5"/>
    <n v="5"/>
    <x v="2"/>
    <n v="3"/>
    <n v="4"/>
    <x v="18"/>
    <x v="2"/>
  </r>
  <r>
    <n v="1"/>
    <x v="5"/>
    <x v="1"/>
    <n v="1"/>
    <n v="5"/>
    <n v="5"/>
    <x v="2"/>
    <n v="4"/>
    <n v="1"/>
    <x v="32"/>
    <x v="0"/>
  </r>
  <r>
    <n v="1"/>
    <x v="1"/>
    <x v="1"/>
    <n v="1"/>
    <n v="5"/>
    <n v="3"/>
    <x v="3"/>
    <n v="2"/>
    <n v="1"/>
    <x v="30"/>
    <x v="3"/>
  </r>
  <r>
    <n v="1"/>
    <x v="5"/>
    <x v="1"/>
    <n v="1"/>
    <n v="5"/>
    <n v="5"/>
    <x v="3"/>
    <n v="1"/>
    <n v="2"/>
    <x v="16"/>
    <x v="2"/>
  </r>
  <r>
    <n v="1"/>
    <x v="3"/>
    <x v="1"/>
    <n v="1"/>
    <n v="5"/>
    <n v="5"/>
    <x v="3"/>
    <n v="2"/>
    <n v="3"/>
    <x v="90"/>
    <x v="2"/>
  </r>
  <r>
    <n v="1"/>
    <x v="4"/>
    <x v="1"/>
    <n v="1"/>
    <n v="5"/>
    <n v="4"/>
    <x v="3"/>
    <n v="4"/>
    <n v="3"/>
    <x v="13"/>
    <x v="0"/>
  </r>
  <r>
    <n v="1"/>
    <x v="10"/>
    <x v="1"/>
    <n v="1"/>
    <n v="5"/>
    <n v="5"/>
    <x v="3"/>
    <n v="3"/>
    <n v="3"/>
    <x v="0"/>
    <x v="0"/>
  </r>
  <r>
    <n v="1"/>
    <x v="10"/>
    <x v="1"/>
    <n v="1"/>
    <n v="5"/>
    <n v="5"/>
    <x v="4"/>
    <n v="2"/>
    <n v="2"/>
    <x v="0"/>
    <x v="0"/>
  </r>
  <r>
    <n v="1"/>
    <x v="1"/>
    <x v="2"/>
    <n v="1"/>
    <n v="1"/>
    <n v="2"/>
    <x v="2"/>
    <n v="2"/>
    <n v="5"/>
    <x v="6"/>
    <x v="3"/>
  </r>
  <r>
    <n v="1"/>
    <x v="5"/>
    <x v="2"/>
    <n v="1"/>
    <n v="2"/>
    <n v="2"/>
    <x v="1"/>
    <n v="1"/>
    <n v="2"/>
    <x v="91"/>
    <x v="3"/>
  </r>
  <r>
    <n v="1"/>
    <x v="3"/>
    <x v="2"/>
    <n v="1"/>
    <n v="2"/>
    <n v="3"/>
    <x v="1"/>
    <n v="1"/>
    <n v="2"/>
    <x v="6"/>
    <x v="3"/>
  </r>
  <r>
    <n v="1"/>
    <x v="1"/>
    <x v="2"/>
    <n v="1"/>
    <n v="2"/>
    <n v="3"/>
    <x v="1"/>
    <n v="2"/>
    <n v="1"/>
    <x v="4"/>
    <x v="2"/>
  </r>
  <r>
    <n v="1"/>
    <x v="1"/>
    <x v="2"/>
    <n v="1"/>
    <n v="2"/>
    <n v="4"/>
    <x v="2"/>
    <n v="2"/>
    <n v="1"/>
    <x v="49"/>
    <x v="2"/>
  </r>
  <r>
    <n v="1"/>
    <x v="1"/>
    <x v="2"/>
    <n v="1"/>
    <n v="2"/>
    <n v="2"/>
    <x v="2"/>
    <n v="2"/>
    <n v="1"/>
    <x v="15"/>
    <x v="2"/>
  </r>
  <r>
    <n v="1"/>
    <x v="2"/>
    <x v="2"/>
    <n v="1"/>
    <n v="2"/>
    <n v="4"/>
    <x v="2"/>
    <n v="2"/>
    <n v="2"/>
    <x v="14"/>
    <x v="0"/>
  </r>
  <r>
    <n v="1"/>
    <x v="7"/>
    <x v="2"/>
    <n v="1"/>
    <n v="2"/>
    <n v="3"/>
    <x v="3"/>
    <n v="1"/>
    <n v="1"/>
    <x v="3"/>
    <x v="2"/>
  </r>
  <r>
    <n v="1"/>
    <x v="3"/>
    <x v="2"/>
    <n v="1"/>
    <n v="2"/>
    <n v="4"/>
    <x v="3"/>
    <n v="2"/>
    <n v="2"/>
    <x v="3"/>
    <x v="2"/>
  </r>
  <r>
    <n v="1"/>
    <x v="1"/>
    <x v="2"/>
    <n v="1"/>
    <n v="2"/>
    <n v="3"/>
    <x v="3"/>
    <n v="2"/>
    <n v="1"/>
    <x v="40"/>
    <x v="2"/>
  </r>
  <r>
    <n v="1"/>
    <x v="9"/>
    <x v="2"/>
    <n v="1"/>
    <n v="3"/>
    <n v="3"/>
    <x v="0"/>
    <n v="3"/>
    <n v="3"/>
    <x v="0"/>
    <x v="0"/>
  </r>
  <r>
    <n v="1"/>
    <x v="9"/>
    <x v="2"/>
    <n v="1"/>
    <n v="3"/>
    <n v="5"/>
    <x v="0"/>
    <n v="1"/>
    <n v="1"/>
    <x v="0"/>
    <x v="0"/>
  </r>
  <r>
    <n v="1"/>
    <x v="1"/>
    <x v="2"/>
    <n v="1"/>
    <n v="3"/>
    <n v="3"/>
    <x v="1"/>
    <n v="3"/>
    <n v="2"/>
    <x v="5"/>
    <x v="3"/>
  </r>
  <r>
    <n v="1"/>
    <x v="6"/>
    <x v="2"/>
    <n v="1"/>
    <n v="3"/>
    <n v="4"/>
    <x v="1"/>
    <n v="1"/>
    <n v="1"/>
    <x v="7"/>
    <x v="3"/>
  </r>
  <r>
    <n v="1"/>
    <x v="1"/>
    <x v="2"/>
    <n v="1"/>
    <n v="3"/>
    <n v="4"/>
    <x v="1"/>
    <n v="4"/>
    <n v="2"/>
    <x v="30"/>
    <x v="3"/>
  </r>
  <r>
    <n v="1"/>
    <x v="7"/>
    <x v="2"/>
    <n v="1"/>
    <n v="3"/>
    <n v="3"/>
    <x v="1"/>
    <n v="1"/>
    <n v="4"/>
    <x v="55"/>
    <x v="2"/>
  </r>
  <r>
    <n v="1"/>
    <x v="3"/>
    <x v="2"/>
    <n v="1"/>
    <n v="3"/>
    <n v="3"/>
    <x v="2"/>
    <n v="2"/>
    <n v="1"/>
    <x v="92"/>
    <x v="0"/>
  </r>
  <r>
    <n v="1"/>
    <x v="7"/>
    <x v="2"/>
    <n v="1"/>
    <n v="3"/>
    <n v="3"/>
    <x v="2"/>
    <n v="2"/>
    <n v="2"/>
    <x v="32"/>
    <x v="0"/>
  </r>
  <r>
    <n v="1"/>
    <x v="1"/>
    <x v="2"/>
    <n v="1"/>
    <n v="3"/>
    <n v="5"/>
    <x v="2"/>
    <n v="2"/>
    <n v="3"/>
    <x v="13"/>
    <x v="0"/>
  </r>
  <r>
    <n v="1"/>
    <x v="6"/>
    <x v="2"/>
    <n v="1"/>
    <n v="3"/>
    <n v="3"/>
    <x v="3"/>
    <n v="1"/>
    <n v="2"/>
    <x v="5"/>
    <x v="3"/>
  </r>
  <r>
    <n v="1"/>
    <x v="7"/>
    <x v="2"/>
    <n v="1"/>
    <n v="3"/>
    <n v="2"/>
    <x v="3"/>
    <n v="1"/>
    <n v="1"/>
    <x v="16"/>
    <x v="2"/>
  </r>
  <r>
    <n v="1"/>
    <x v="3"/>
    <x v="2"/>
    <n v="1"/>
    <n v="3"/>
    <n v="3"/>
    <x v="3"/>
    <n v="3"/>
    <n v="2"/>
    <x v="39"/>
    <x v="2"/>
  </r>
  <r>
    <n v="1"/>
    <x v="5"/>
    <x v="2"/>
    <n v="1"/>
    <n v="3"/>
    <n v="5"/>
    <x v="3"/>
    <n v="1"/>
    <n v="3"/>
    <x v="48"/>
    <x v="0"/>
  </r>
  <r>
    <n v="1"/>
    <x v="5"/>
    <x v="2"/>
    <n v="1"/>
    <n v="3"/>
    <n v="4"/>
    <x v="3"/>
    <n v="4"/>
    <n v="1"/>
    <x v="23"/>
    <x v="0"/>
  </r>
  <r>
    <n v="1"/>
    <x v="3"/>
    <x v="2"/>
    <n v="1"/>
    <n v="4"/>
    <n v="4"/>
    <x v="2"/>
    <n v="1"/>
    <n v="2"/>
    <x v="16"/>
    <x v="2"/>
  </r>
  <r>
    <n v="1"/>
    <x v="2"/>
    <x v="2"/>
    <n v="1"/>
    <n v="4"/>
    <n v="5"/>
    <x v="2"/>
    <n v="1"/>
    <n v="3"/>
    <x v="4"/>
    <x v="2"/>
  </r>
  <r>
    <n v="1"/>
    <x v="5"/>
    <x v="2"/>
    <n v="1"/>
    <n v="4"/>
    <n v="4"/>
    <x v="2"/>
    <n v="3"/>
    <n v="2"/>
    <x v="9"/>
    <x v="0"/>
  </r>
  <r>
    <n v="1"/>
    <x v="6"/>
    <x v="2"/>
    <n v="1"/>
    <n v="4"/>
    <n v="5"/>
    <x v="2"/>
    <n v="2"/>
    <n v="1"/>
    <x v="13"/>
    <x v="0"/>
  </r>
  <r>
    <n v="1"/>
    <x v="3"/>
    <x v="2"/>
    <n v="1"/>
    <n v="4"/>
    <n v="4"/>
    <x v="2"/>
    <n v="4"/>
    <n v="4"/>
    <x v="22"/>
    <x v="0"/>
  </r>
  <r>
    <n v="1"/>
    <x v="0"/>
    <x v="2"/>
    <n v="1"/>
    <n v="4"/>
    <n v="4"/>
    <x v="2"/>
    <n v="4"/>
    <n v="1"/>
    <x v="0"/>
    <x v="0"/>
  </r>
  <r>
    <n v="1"/>
    <x v="7"/>
    <x v="2"/>
    <n v="1"/>
    <n v="4"/>
    <n v="5"/>
    <x v="3"/>
    <n v="4"/>
    <n v="5"/>
    <x v="18"/>
    <x v="2"/>
  </r>
  <r>
    <n v="1"/>
    <x v="5"/>
    <x v="2"/>
    <n v="1"/>
    <n v="4"/>
    <n v="4"/>
    <x v="4"/>
    <n v="4"/>
    <n v="5"/>
    <x v="30"/>
    <x v="3"/>
  </r>
  <r>
    <n v="1"/>
    <x v="9"/>
    <x v="2"/>
    <n v="1"/>
    <n v="5"/>
    <n v="5"/>
    <x v="0"/>
    <n v="2"/>
    <n v="1"/>
    <x v="0"/>
    <x v="0"/>
  </r>
  <r>
    <n v="1"/>
    <x v="8"/>
    <x v="2"/>
    <n v="1"/>
    <n v="5"/>
    <n v="6"/>
    <x v="0"/>
    <n v="4"/>
    <n v="2"/>
    <x v="0"/>
    <x v="0"/>
  </r>
  <r>
    <n v="1"/>
    <x v="5"/>
    <x v="2"/>
    <n v="1"/>
    <n v="5"/>
    <n v="4"/>
    <x v="2"/>
    <n v="4"/>
    <n v="5"/>
    <x v="30"/>
    <x v="3"/>
  </r>
  <r>
    <n v="1"/>
    <x v="5"/>
    <x v="2"/>
    <n v="1"/>
    <n v="5"/>
    <n v="5"/>
    <x v="2"/>
    <n v="1"/>
    <n v="1"/>
    <x v="43"/>
    <x v="2"/>
  </r>
  <r>
    <n v="1"/>
    <x v="3"/>
    <x v="2"/>
    <n v="1"/>
    <n v="5"/>
    <n v="5"/>
    <x v="3"/>
    <n v="2"/>
    <n v="2"/>
    <x v="6"/>
    <x v="3"/>
  </r>
  <r>
    <n v="1"/>
    <x v="10"/>
    <x v="2"/>
    <n v="1"/>
    <n v="6"/>
    <n v="6"/>
    <x v="3"/>
    <n v="3"/>
    <n v="3"/>
    <x v="0"/>
    <x v="0"/>
  </r>
  <r>
    <n v="1"/>
    <x v="10"/>
    <x v="2"/>
    <n v="1"/>
    <n v="6"/>
    <n v="6"/>
    <x v="4"/>
    <n v="3"/>
    <n v="2"/>
    <x v="0"/>
    <x v="0"/>
  </r>
  <r>
    <n v="1"/>
    <x v="6"/>
    <x v="3"/>
    <n v="1"/>
    <n v="1"/>
    <n v="4"/>
    <x v="1"/>
    <n v="1"/>
    <n v="1"/>
    <x v="15"/>
    <x v="2"/>
  </r>
  <r>
    <n v="1"/>
    <x v="1"/>
    <x v="3"/>
    <n v="1"/>
    <n v="1"/>
    <n v="2"/>
    <x v="1"/>
    <n v="1"/>
    <n v="2"/>
    <x v="4"/>
    <x v="2"/>
  </r>
  <r>
    <n v="1"/>
    <x v="5"/>
    <x v="3"/>
    <n v="1"/>
    <n v="1"/>
    <n v="3"/>
    <x v="2"/>
    <n v="2"/>
    <n v="2"/>
    <x v="93"/>
    <x v="3"/>
  </r>
  <r>
    <n v="1"/>
    <x v="9"/>
    <x v="3"/>
    <n v="1"/>
    <n v="2"/>
    <n v="4"/>
    <x v="0"/>
    <n v="2"/>
    <n v="3"/>
    <x v="9"/>
    <x v="0"/>
  </r>
  <r>
    <n v="1"/>
    <x v="9"/>
    <x v="3"/>
    <n v="1"/>
    <n v="2"/>
    <n v="2"/>
    <x v="0"/>
    <n v="1"/>
    <n v="1"/>
    <x v="0"/>
    <x v="0"/>
  </r>
  <r>
    <n v="1"/>
    <x v="7"/>
    <x v="3"/>
    <n v="1"/>
    <n v="2"/>
    <n v="2"/>
    <x v="1"/>
    <n v="4"/>
    <n v="2"/>
    <x v="6"/>
    <x v="3"/>
  </r>
  <r>
    <n v="1"/>
    <x v="7"/>
    <x v="3"/>
    <n v="1"/>
    <n v="2"/>
    <n v="4"/>
    <x v="1"/>
    <n v="3"/>
    <n v="3"/>
    <x v="6"/>
    <x v="3"/>
  </r>
  <r>
    <n v="1"/>
    <x v="3"/>
    <x v="3"/>
    <n v="1"/>
    <n v="2"/>
    <n v="2"/>
    <x v="2"/>
    <n v="2"/>
    <n v="2"/>
    <x v="15"/>
    <x v="2"/>
  </r>
  <r>
    <n v="1"/>
    <x v="1"/>
    <x v="3"/>
    <n v="1"/>
    <n v="2"/>
    <n v="2"/>
    <x v="2"/>
    <n v="2"/>
    <n v="3"/>
    <x v="4"/>
    <x v="2"/>
  </r>
  <r>
    <n v="1"/>
    <x v="5"/>
    <x v="3"/>
    <n v="1"/>
    <n v="2"/>
    <n v="3"/>
    <x v="2"/>
    <n v="4"/>
    <n v="4"/>
    <x v="4"/>
    <x v="2"/>
  </r>
  <r>
    <n v="1"/>
    <x v="3"/>
    <x v="3"/>
    <n v="1"/>
    <n v="2"/>
    <n v="2"/>
    <x v="2"/>
    <n v="2"/>
    <n v="2"/>
    <x v="94"/>
    <x v="2"/>
  </r>
  <r>
    <n v="1"/>
    <x v="6"/>
    <x v="3"/>
    <n v="1"/>
    <n v="2"/>
    <n v="2"/>
    <x v="2"/>
    <n v="4"/>
    <n v="3"/>
    <x v="3"/>
    <x v="2"/>
  </r>
  <r>
    <n v="1"/>
    <x v="3"/>
    <x v="3"/>
    <n v="1"/>
    <n v="2"/>
    <n v="4"/>
    <x v="2"/>
    <n v="4"/>
    <n v="3"/>
    <x v="18"/>
    <x v="2"/>
  </r>
  <r>
    <n v="1"/>
    <x v="3"/>
    <x v="3"/>
    <n v="1"/>
    <n v="2"/>
    <n v="4"/>
    <x v="2"/>
    <n v="3"/>
    <n v="3"/>
    <x v="9"/>
    <x v="0"/>
  </r>
  <r>
    <n v="1"/>
    <x v="7"/>
    <x v="3"/>
    <n v="1"/>
    <n v="2"/>
    <n v="4"/>
    <x v="2"/>
    <n v="1"/>
    <n v="3"/>
    <x v="41"/>
    <x v="0"/>
  </r>
  <r>
    <n v="1"/>
    <x v="5"/>
    <x v="3"/>
    <n v="1"/>
    <n v="2"/>
    <n v="4"/>
    <x v="3"/>
    <n v="3"/>
    <n v="2"/>
    <x v="74"/>
    <x v="3"/>
  </r>
  <r>
    <n v="1"/>
    <x v="5"/>
    <x v="3"/>
    <n v="1"/>
    <n v="2"/>
    <n v="2"/>
    <x v="3"/>
    <n v="3"/>
    <n v="2"/>
    <x v="12"/>
    <x v="0"/>
  </r>
  <r>
    <n v="1"/>
    <x v="3"/>
    <x v="3"/>
    <n v="1"/>
    <n v="3"/>
    <n v="2"/>
    <x v="1"/>
    <n v="2"/>
    <n v="3"/>
    <x v="85"/>
    <x v="1"/>
  </r>
  <r>
    <n v="1"/>
    <x v="7"/>
    <x v="3"/>
    <n v="1"/>
    <n v="3"/>
    <n v="3"/>
    <x v="1"/>
    <n v="4"/>
    <n v="5"/>
    <x v="5"/>
    <x v="3"/>
  </r>
  <r>
    <n v="1"/>
    <x v="3"/>
    <x v="3"/>
    <n v="1"/>
    <n v="3"/>
    <n v="3"/>
    <x v="1"/>
    <n v="2"/>
    <n v="2"/>
    <x v="7"/>
    <x v="3"/>
  </r>
  <r>
    <n v="1"/>
    <x v="7"/>
    <x v="3"/>
    <n v="1"/>
    <n v="3"/>
    <n v="3"/>
    <x v="1"/>
    <n v="2"/>
    <n v="3"/>
    <x v="2"/>
    <x v="2"/>
  </r>
  <r>
    <n v="1"/>
    <x v="5"/>
    <x v="3"/>
    <n v="1"/>
    <n v="3"/>
    <n v="3"/>
    <x v="1"/>
    <n v="4"/>
    <n v="3"/>
    <x v="4"/>
    <x v="2"/>
  </r>
  <r>
    <n v="1"/>
    <x v="3"/>
    <x v="3"/>
    <n v="1"/>
    <n v="3"/>
    <n v="3"/>
    <x v="1"/>
    <n v="1"/>
    <n v="1"/>
    <x v="3"/>
    <x v="2"/>
  </r>
  <r>
    <n v="1"/>
    <x v="1"/>
    <x v="3"/>
    <n v="1"/>
    <n v="3"/>
    <n v="3"/>
    <x v="1"/>
    <n v="1"/>
    <n v="1"/>
    <x v="35"/>
    <x v="0"/>
  </r>
  <r>
    <n v="1"/>
    <x v="3"/>
    <x v="3"/>
    <n v="1"/>
    <n v="3"/>
    <n v="2"/>
    <x v="1"/>
    <n v="3"/>
    <n v="2"/>
    <x v="13"/>
    <x v="0"/>
  </r>
  <r>
    <n v="1"/>
    <x v="5"/>
    <x v="3"/>
    <n v="1"/>
    <n v="3"/>
    <n v="2"/>
    <x v="2"/>
    <n v="1"/>
    <n v="2"/>
    <x v="7"/>
    <x v="3"/>
  </r>
  <r>
    <n v="1"/>
    <x v="3"/>
    <x v="3"/>
    <n v="1"/>
    <n v="3"/>
    <n v="2"/>
    <x v="2"/>
    <n v="2"/>
    <n v="2"/>
    <x v="15"/>
    <x v="2"/>
  </r>
  <r>
    <n v="1"/>
    <x v="5"/>
    <x v="3"/>
    <n v="1"/>
    <n v="3"/>
    <n v="3"/>
    <x v="2"/>
    <n v="3"/>
    <n v="3"/>
    <x v="15"/>
    <x v="2"/>
  </r>
  <r>
    <n v="1"/>
    <x v="5"/>
    <x v="3"/>
    <n v="1"/>
    <n v="3"/>
    <n v="4"/>
    <x v="2"/>
    <n v="1"/>
    <n v="2"/>
    <x v="15"/>
    <x v="2"/>
  </r>
  <r>
    <n v="1"/>
    <x v="3"/>
    <x v="3"/>
    <n v="1"/>
    <n v="3"/>
    <n v="3"/>
    <x v="2"/>
    <n v="4"/>
    <n v="3"/>
    <x v="3"/>
    <x v="2"/>
  </r>
  <r>
    <n v="1"/>
    <x v="6"/>
    <x v="3"/>
    <n v="1"/>
    <n v="3"/>
    <n v="3"/>
    <x v="2"/>
    <n v="2"/>
    <n v="1"/>
    <x v="9"/>
    <x v="0"/>
  </r>
  <r>
    <n v="1"/>
    <x v="3"/>
    <x v="3"/>
    <n v="1"/>
    <n v="3"/>
    <n v="5"/>
    <x v="2"/>
    <n v="1"/>
    <n v="1"/>
    <x v="9"/>
    <x v="0"/>
  </r>
  <r>
    <n v="1"/>
    <x v="5"/>
    <x v="3"/>
    <n v="1"/>
    <n v="3"/>
    <n v="5"/>
    <x v="2"/>
    <n v="1"/>
    <n v="2"/>
    <x v="69"/>
    <x v="0"/>
  </r>
  <r>
    <n v="1"/>
    <x v="6"/>
    <x v="3"/>
    <n v="1"/>
    <n v="3"/>
    <n v="4"/>
    <x v="3"/>
    <n v="4"/>
    <n v="2"/>
    <x v="6"/>
    <x v="3"/>
  </r>
  <r>
    <n v="1"/>
    <x v="1"/>
    <x v="3"/>
    <n v="1"/>
    <n v="3"/>
    <n v="3"/>
    <x v="3"/>
    <n v="1"/>
    <n v="1"/>
    <x v="7"/>
    <x v="3"/>
  </r>
  <r>
    <n v="1"/>
    <x v="1"/>
    <x v="3"/>
    <n v="1"/>
    <n v="3"/>
    <n v="4"/>
    <x v="3"/>
    <n v="1"/>
    <n v="1"/>
    <x v="4"/>
    <x v="2"/>
  </r>
  <r>
    <n v="1"/>
    <x v="9"/>
    <x v="3"/>
    <n v="1"/>
    <n v="4"/>
    <n v="5"/>
    <x v="0"/>
    <n v="2"/>
    <n v="2"/>
    <x v="13"/>
    <x v="0"/>
  </r>
  <r>
    <n v="1"/>
    <x v="8"/>
    <x v="3"/>
    <n v="1"/>
    <n v="4"/>
    <n v="4"/>
    <x v="0"/>
    <n v="1"/>
    <n v="1"/>
    <x v="0"/>
    <x v="0"/>
  </r>
  <r>
    <n v="1"/>
    <x v="7"/>
    <x v="3"/>
    <n v="1"/>
    <n v="4"/>
    <n v="2"/>
    <x v="1"/>
    <n v="3"/>
    <n v="2"/>
    <x v="85"/>
    <x v="1"/>
  </r>
  <r>
    <n v="1"/>
    <x v="1"/>
    <x v="3"/>
    <n v="1"/>
    <n v="4"/>
    <n v="4"/>
    <x v="1"/>
    <n v="4"/>
    <n v="1"/>
    <x v="15"/>
    <x v="2"/>
  </r>
  <r>
    <n v="1"/>
    <x v="5"/>
    <x v="3"/>
    <n v="1"/>
    <n v="4"/>
    <n v="5"/>
    <x v="1"/>
    <n v="4"/>
    <n v="3"/>
    <x v="9"/>
    <x v="0"/>
  </r>
  <r>
    <n v="1"/>
    <x v="6"/>
    <x v="3"/>
    <n v="1"/>
    <n v="4"/>
    <n v="4"/>
    <x v="2"/>
    <n v="1"/>
    <n v="1"/>
    <x v="6"/>
    <x v="3"/>
  </r>
  <r>
    <n v="1"/>
    <x v="1"/>
    <x v="3"/>
    <n v="1"/>
    <n v="4"/>
    <n v="5"/>
    <x v="2"/>
    <n v="4"/>
    <n v="3"/>
    <x v="18"/>
    <x v="2"/>
  </r>
  <r>
    <n v="1"/>
    <x v="5"/>
    <x v="3"/>
    <n v="1"/>
    <n v="4"/>
    <n v="4"/>
    <x v="2"/>
    <n v="1"/>
    <n v="3"/>
    <x v="9"/>
    <x v="0"/>
  </r>
  <r>
    <n v="1"/>
    <x v="3"/>
    <x v="3"/>
    <n v="1"/>
    <n v="4"/>
    <n v="3"/>
    <x v="2"/>
    <n v="1"/>
    <n v="2"/>
    <x v="24"/>
    <x v="0"/>
  </r>
  <r>
    <n v="1"/>
    <x v="1"/>
    <x v="3"/>
    <n v="1"/>
    <n v="4"/>
    <n v="4"/>
    <x v="2"/>
    <n v="3"/>
    <n v="1"/>
    <x v="0"/>
    <x v="0"/>
  </r>
  <r>
    <n v="1"/>
    <x v="5"/>
    <x v="3"/>
    <n v="1"/>
    <n v="4"/>
    <n v="4"/>
    <x v="3"/>
    <n v="1"/>
    <n v="3"/>
    <x v="5"/>
    <x v="3"/>
  </r>
  <r>
    <n v="1"/>
    <x v="5"/>
    <x v="3"/>
    <n v="1"/>
    <n v="4"/>
    <n v="4"/>
    <x v="3"/>
    <n v="2"/>
    <n v="2"/>
    <x v="62"/>
    <x v="2"/>
  </r>
  <r>
    <n v="1"/>
    <x v="1"/>
    <x v="3"/>
    <n v="1"/>
    <n v="4"/>
    <n v="3"/>
    <x v="3"/>
    <n v="3"/>
    <n v="2"/>
    <x v="32"/>
    <x v="0"/>
  </r>
  <r>
    <n v="1"/>
    <x v="5"/>
    <x v="3"/>
    <n v="1"/>
    <n v="4"/>
    <n v="3"/>
    <x v="4"/>
    <n v="4"/>
    <n v="1"/>
    <x v="18"/>
    <x v="2"/>
  </r>
  <r>
    <n v="1"/>
    <x v="5"/>
    <x v="3"/>
    <n v="1"/>
    <n v="4"/>
    <n v="4"/>
    <x v="4"/>
    <n v="4"/>
    <n v="3"/>
    <x v="18"/>
    <x v="2"/>
  </r>
  <r>
    <n v="1"/>
    <x v="0"/>
    <x v="3"/>
    <n v="1"/>
    <n v="4"/>
    <n v="4"/>
    <x v="4"/>
    <n v="3"/>
    <n v="2"/>
    <x v="9"/>
    <x v="0"/>
  </r>
  <r>
    <n v="1"/>
    <x v="7"/>
    <x v="3"/>
    <n v="1"/>
    <n v="4"/>
    <n v="5"/>
    <x v="4"/>
    <n v="2"/>
    <n v="2"/>
    <x v="95"/>
    <x v="0"/>
  </r>
  <r>
    <n v="1"/>
    <x v="10"/>
    <x v="3"/>
    <n v="1"/>
    <n v="4"/>
    <n v="6"/>
    <x v="4"/>
    <n v="4"/>
    <n v="3"/>
    <x v="0"/>
    <x v="0"/>
  </r>
  <r>
    <n v="1"/>
    <x v="6"/>
    <x v="3"/>
    <n v="1"/>
    <n v="5"/>
    <n v="4"/>
    <x v="2"/>
    <n v="3"/>
    <n v="1"/>
    <x v="6"/>
    <x v="3"/>
  </r>
  <r>
    <n v="1"/>
    <x v="2"/>
    <x v="3"/>
    <n v="1"/>
    <n v="5"/>
    <n v="5"/>
    <x v="2"/>
    <n v="2"/>
    <n v="1"/>
    <x v="33"/>
    <x v="2"/>
  </r>
  <r>
    <n v="1"/>
    <x v="0"/>
    <x v="3"/>
    <n v="1"/>
    <n v="5"/>
    <n v="5"/>
    <x v="2"/>
    <n v="1"/>
    <n v="2"/>
    <x v="44"/>
    <x v="2"/>
  </r>
  <r>
    <n v="1"/>
    <x v="3"/>
    <x v="3"/>
    <n v="1"/>
    <n v="5"/>
    <n v="3"/>
    <x v="2"/>
    <n v="2"/>
    <n v="1"/>
    <x v="67"/>
    <x v="0"/>
  </r>
  <r>
    <n v="1"/>
    <x v="1"/>
    <x v="3"/>
    <n v="1"/>
    <n v="5"/>
    <n v="5"/>
    <x v="2"/>
    <n v="3"/>
    <n v="2"/>
    <x v="13"/>
    <x v="0"/>
  </r>
  <r>
    <n v="1"/>
    <x v="1"/>
    <x v="3"/>
    <n v="1"/>
    <n v="5"/>
    <n v="4"/>
    <x v="3"/>
    <n v="4"/>
    <n v="3"/>
    <x v="4"/>
    <x v="2"/>
  </r>
  <r>
    <n v="1"/>
    <x v="2"/>
    <x v="3"/>
    <n v="1"/>
    <n v="5"/>
    <n v="5"/>
    <x v="3"/>
    <n v="4"/>
    <n v="2"/>
    <x v="43"/>
    <x v="2"/>
  </r>
  <r>
    <n v="1"/>
    <x v="2"/>
    <x v="3"/>
    <n v="1"/>
    <n v="5"/>
    <n v="5"/>
    <x v="3"/>
    <n v="3"/>
    <n v="3"/>
    <x v="13"/>
    <x v="0"/>
  </r>
  <r>
    <n v="1"/>
    <x v="8"/>
    <x v="3"/>
    <n v="1"/>
    <n v="6"/>
    <n v="6"/>
    <x v="0"/>
    <n v="2"/>
    <n v="2"/>
    <x v="78"/>
    <x v="0"/>
  </r>
  <r>
    <n v="1"/>
    <x v="1"/>
    <x v="3"/>
    <n v="1"/>
    <n v="6"/>
    <n v="6"/>
    <x v="3"/>
    <n v="4"/>
    <n v="2"/>
    <x v="15"/>
    <x v="2"/>
  </r>
  <r>
    <n v="1"/>
    <x v="1"/>
    <x v="3"/>
    <n v="1"/>
    <n v="6"/>
    <n v="6"/>
    <x v="3"/>
    <n v="1"/>
    <n v="3"/>
    <x v="3"/>
    <x v="2"/>
  </r>
  <r>
    <n v="1"/>
    <x v="3"/>
    <x v="4"/>
    <n v="1"/>
    <n v="1"/>
    <n v="3"/>
    <x v="1"/>
    <n v="1"/>
    <n v="2"/>
    <x v="30"/>
    <x v="3"/>
  </r>
  <r>
    <n v="1"/>
    <x v="3"/>
    <x v="4"/>
    <n v="1"/>
    <n v="1"/>
    <n v="3"/>
    <x v="2"/>
    <n v="2"/>
    <n v="2"/>
    <x v="18"/>
    <x v="2"/>
  </r>
  <r>
    <n v="1"/>
    <x v="2"/>
    <x v="4"/>
    <n v="1"/>
    <n v="2"/>
    <n v="5"/>
    <x v="1"/>
    <n v="4"/>
    <n v="3"/>
    <x v="6"/>
    <x v="3"/>
  </r>
  <r>
    <n v="1"/>
    <x v="1"/>
    <x v="4"/>
    <n v="1"/>
    <n v="2"/>
    <n v="3"/>
    <x v="1"/>
    <n v="1"/>
    <n v="1"/>
    <x v="4"/>
    <x v="2"/>
  </r>
  <r>
    <n v="1"/>
    <x v="3"/>
    <x v="4"/>
    <n v="1"/>
    <n v="2"/>
    <n v="3"/>
    <x v="2"/>
    <n v="3"/>
    <n v="3"/>
    <x v="6"/>
    <x v="3"/>
  </r>
  <r>
    <n v="1"/>
    <x v="1"/>
    <x v="4"/>
    <n v="1"/>
    <n v="2"/>
    <n v="2"/>
    <x v="2"/>
    <n v="2"/>
    <n v="3"/>
    <x v="30"/>
    <x v="3"/>
  </r>
  <r>
    <n v="1"/>
    <x v="1"/>
    <x v="4"/>
    <n v="1"/>
    <n v="2"/>
    <n v="5"/>
    <x v="2"/>
    <n v="2"/>
    <n v="3"/>
    <x v="88"/>
    <x v="2"/>
  </r>
  <r>
    <n v="1"/>
    <x v="1"/>
    <x v="4"/>
    <n v="1"/>
    <n v="2"/>
    <n v="3"/>
    <x v="2"/>
    <n v="4"/>
    <n v="2"/>
    <x v="40"/>
    <x v="2"/>
  </r>
  <r>
    <n v="1"/>
    <x v="3"/>
    <x v="4"/>
    <n v="1"/>
    <n v="2"/>
    <n v="4"/>
    <x v="3"/>
    <n v="1"/>
    <n v="2"/>
    <x v="25"/>
    <x v="2"/>
  </r>
  <r>
    <n v="1"/>
    <x v="0"/>
    <x v="4"/>
    <n v="1"/>
    <n v="2"/>
    <n v="4"/>
    <x v="3"/>
    <n v="2"/>
    <n v="2"/>
    <x v="0"/>
    <x v="0"/>
  </r>
  <r>
    <n v="1"/>
    <x v="10"/>
    <x v="4"/>
    <n v="1"/>
    <n v="2"/>
    <n v="2"/>
    <x v="4"/>
    <n v="1"/>
    <n v="1"/>
    <x v="0"/>
    <x v="0"/>
  </r>
  <r>
    <n v="1"/>
    <x v="1"/>
    <x v="4"/>
    <n v="1"/>
    <n v="3"/>
    <n v="3"/>
    <x v="1"/>
    <n v="2"/>
    <n v="3"/>
    <x v="6"/>
    <x v="3"/>
  </r>
  <r>
    <n v="1"/>
    <x v="6"/>
    <x v="4"/>
    <n v="1"/>
    <n v="3"/>
    <n v="3"/>
    <x v="1"/>
    <n v="3"/>
    <n v="3"/>
    <x v="6"/>
    <x v="3"/>
  </r>
  <r>
    <n v="1"/>
    <x v="5"/>
    <x v="4"/>
    <n v="1"/>
    <n v="3"/>
    <n v="3"/>
    <x v="1"/>
    <n v="3"/>
    <n v="3"/>
    <x v="7"/>
    <x v="3"/>
  </r>
  <r>
    <n v="1"/>
    <x v="7"/>
    <x v="4"/>
    <n v="1"/>
    <n v="3"/>
    <n v="2"/>
    <x v="1"/>
    <n v="1"/>
    <n v="1"/>
    <x v="3"/>
    <x v="2"/>
  </r>
  <r>
    <n v="1"/>
    <x v="3"/>
    <x v="4"/>
    <n v="1"/>
    <n v="3"/>
    <n v="2"/>
    <x v="1"/>
    <n v="3"/>
    <n v="4"/>
    <x v="9"/>
    <x v="0"/>
  </r>
  <r>
    <n v="1"/>
    <x v="3"/>
    <x v="4"/>
    <n v="1"/>
    <n v="3"/>
    <n v="5"/>
    <x v="1"/>
    <n v="1"/>
    <n v="1"/>
    <x v="13"/>
    <x v="0"/>
  </r>
  <r>
    <n v="1"/>
    <x v="1"/>
    <x v="4"/>
    <n v="1"/>
    <n v="3"/>
    <n v="2"/>
    <x v="1"/>
    <n v="4"/>
    <n v="2"/>
    <x v="69"/>
    <x v="0"/>
  </r>
  <r>
    <n v="1"/>
    <x v="5"/>
    <x v="4"/>
    <n v="1"/>
    <n v="3"/>
    <n v="5"/>
    <x v="2"/>
    <n v="1"/>
    <n v="1"/>
    <x v="91"/>
    <x v="3"/>
  </r>
  <r>
    <n v="1"/>
    <x v="3"/>
    <x v="4"/>
    <n v="1"/>
    <n v="3"/>
    <n v="2"/>
    <x v="2"/>
    <n v="2"/>
    <n v="1"/>
    <x v="30"/>
    <x v="3"/>
  </r>
  <r>
    <n v="1"/>
    <x v="3"/>
    <x v="4"/>
    <n v="1"/>
    <n v="3"/>
    <n v="4"/>
    <x v="2"/>
    <n v="1"/>
    <n v="2"/>
    <x v="4"/>
    <x v="2"/>
  </r>
  <r>
    <n v="1"/>
    <x v="5"/>
    <x v="4"/>
    <n v="1"/>
    <n v="3"/>
    <n v="4"/>
    <x v="2"/>
    <n v="2"/>
    <n v="1"/>
    <x v="63"/>
    <x v="2"/>
  </r>
  <r>
    <n v="1"/>
    <x v="7"/>
    <x v="4"/>
    <n v="1"/>
    <n v="3"/>
    <n v="4"/>
    <x v="2"/>
    <n v="1"/>
    <n v="1"/>
    <x v="32"/>
    <x v="0"/>
  </r>
  <r>
    <n v="1"/>
    <x v="7"/>
    <x v="4"/>
    <n v="1"/>
    <n v="3"/>
    <n v="3"/>
    <x v="2"/>
    <n v="3"/>
    <n v="1"/>
    <x v="42"/>
    <x v="0"/>
  </r>
  <r>
    <n v="1"/>
    <x v="7"/>
    <x v="4"/>
    <n v="1"/>
    <n v="3"/>
    <n v="2"/>
    <x v="3"/>
    <n v="1"/>
    <n v="1"/>
    <x v="30"/>
    <x v="3"/>
  </r>
  <r>
    <n v="1"/>
    <x v="6"/>
    <x v="4"/>
    <n v="1"/>
    <n v="3"/>
    <n v="5"/>
    <x v="3"/>
    <n v="1"/>
    <n v="3"/>
    <x v="15"/>
    <x v="2"/>
  </r>
  <r>
    <n v="1"/>
    <x v="2"/>
    <x v="4"/>
    <n v="1"/>
    <n v="3"/>
    <n v="3"/>
    <x v="3"/>
    <n v="3"/>
    <n v="1"/>
    <x v="4"/>
    <x v="2"/>
  </r>
  <r>
    <n v="1"/>
    <x v="5"/>
    <x v="4"/>
    <n v="1"/>
    <n v="3"/>
    <n v="3"/>
    <x v="3"/>
    <n v="4"/>
    <n v="2"/>
    <x v="9"/>
    <x v="0"/>
  </r>
  <r>
    <n v="1"/>
    <x v="9"/>
    <x v="4"/>
    <n v="1"/>
    <n v="4"/>
    <n v="4"/>
    <x v="0"/>
    <n v="1"/>
    <n v="2"/>
    <x v="0"/>
    <x v="0"/>
  </r>
  <r>
    <n v="1"/>
    <x v="3"/>
    <x v="4"/>
    <n v="1"/>
    <n v="4"/>
    <n v="4"/>
    <x v="1"/>
    <n v="3"/>
    <n v="3"/>
    <x v="85"/>
    <x v="1"/>
  </r>
  <r>
    <n v="1"/>
    <x v="6"/>
    <x v="4"/>
    <n v="1"/>
    <n v="4"/>
    <n v="3"/>
    <x v="1"/>
    <n v="1"/>
    <n v="2"/>
    <x v="4"/>
    <x v="2"/>
  </r>
  <r>
    <n v="1"/>
    <x v="5"/>
    <x v="4"/>
    <n v="1"/>
    <n v="4"/>
    <n v="4"/>
    <x v="2"/>
    <n v="1"/>
    <n v="1"/>
    <x v="85"/>
    <x v="1"/>
  </r>
  <r>
    <n v="1"/>
    <x v="1"/>
    <x v="4"/>
    <n v="1"/>
    <n v="4"/>
    <n v="5"/>
    <x v="2"/>
    <n v="3"/>
    <n v="2"/>
    <x v="15"/>
    <x v="2"/>
  </r>
  <r>
    <n v="1"/>
    <x v="3"/>
    <x v="4"/>
    <n v="1"/>
    <n v="4"/>
    <n v="5"/>
    <x v="2"/>
    <n v="1"/>
    <n v="1"/>
    <x v="18"/>
    <x v="2"/>
  </r>
  <r>
    <n v="1"/>
    <x v="7"/>
    <x v="4"/>
    <n v="1"/>
    <n v="4"/>
    <n v="3"/>
    <x v="2"/>
    <n v="1"/>
    <n v="2"/>
    <x v="9"/>
    <x v="0"/>
  </r>
  <r>
    <n v="1"/>
    <x v="3"/>
    <x v="4"/>
    <n v="1"/>
    <n v="4"/>
    <n v="4"/>
    <x v="2"/>
    <n v="1"/>
    <n v="1"/>
    <x v="9"/>
    <x v="0"/>
  </r>
  <r>
    <n v="1"/>
    <x v="0"/>
    <x v="4"/>
    <n v="1"/>
    <n v="4"/>
    <n v="5"/>
    <x v="2"/>
    <n v="4"/>
    <n v="2"/>
    <x v="13"/>
    <x v="0"/>
  </r>
  <r>
    <n v="1"/>
    <x v="0"/>
    <x v="4"/>
    <n v="1"/>
    <n v="4"/>
    <n v="4"/>
    <x v="2"/>
    <n v="3"/>
    <n v="1"/>
    <x v="96"/>
    <x v="0"/>
  </r>
  <r>
    <n v="1"/>
    <x v="2"/>
    <x v="4"/>
    <n v="1"/>
    <n v="4"/>
    <n v="3"/>
    <x v="2"/>
    <n v="3"/>
    <n v="3"/>
    <x v="37"/>
    <x v="0"/>
  </r>
  <r>
    <n v="1"/>
    <x v="5"/>
    <x v="4"/>
    <n v="1"/>
    <n v="4"/>
    <n v="5"/>
    <x v="3"/>
    <n v="3"/>
    <n v="2"/>
    <x v="3"/>
    <x v="2"/>
  </r>
  <r>
    <n v="1"/>
    <x v="5"/>
    <x v="4"/>
    <n v="1"/>
    <n v="4"/>
    <n v="3"/>
    <x v="4"/>
    <n v="1"/>
    <n v="1"/>
    <x v="3"/>
    <x v="2"/>
  </r>
  <r>
    <n v="1"/>
    <x v="1"/>
    <x v="4"/>
    <n v="1"/>
    <n v="4"/>
    <n v="4"/>
    <x v="4"/>
    <n v="1"/>
    <n v="2"/>
    <x v="9"/>
    <x v="0"/>
  </r>
  <r>
    <n v="1"/>
    <x v="0"/>
    <x v="4"/>
    <n v="1"/>
    <n v="4"/>
    <n v="4"/>
    <x v="4"/>
    <n v="3"/>
    <n v="1"/>
    <x v="13"/>
    <x v="0"/>
  </r>
  <r>
    <n v="1"/>
    <x v="0"/>
    <x v="4"/>
    <n v="1"/>
    <n v="4"/>
    <n v="2"/>
    <x v="4"/>
    <n v="2"/>
    <n v="3"/>
    <x v="0"/>
    <x v="0"/>
  </r>
  <r>
    <n v="1"/>
    <x v="8"/>
    <x v="4"/>
    <n v="1"/>
    <n v="5"/>
    <n v="5"/>
    <x v="0"/>
    <n v="2"/>
    <n v="2"/>
    <x v="13"/>
    <x v="0"/>
  </r>
  <r>
    <n v="1"/>
    <x v="9"/>
    <x v="4"/>
    <n v="1"/>
    <n v="5"/>
    <n v="5"/>
    <x v="0"/>
    <n v="1"/>
    <n v="1"/>
    <x v="0"/>
    <x v="0"/>
  </r>
  <r>
    <n v="1"/>
    <x v="8"/>
    <x v="4"/>
    <n v="1"/>
    <n v="5"/>
    <n v="5"/>
    <x v="0"/>
    <n v="1"/>
    <n v="1"/>
    <x v="0"/>
    <x v="0"/>
  </r>
  <r>
    <n v="1"/>
    <x v="9"/>
    <x v="4"/>
    <n v="1"/>
    <n v="5"/>
    <n v="5"/>
    <x v="0"/>
    <n v="2"/>
    <n v="3"/>
    <x v="0"/>
    <x v="0"/>
  </r>
  <r>
    <n v="1"/>
    <x v="9"/>
    <x v="4"/>
    <n v="1"/>
    <n v="5"/>
    <n v="5"/>
    <x v="0"/>
    <n v="3"/>
    <n v="3"/>
    <x v="0"/>
    <x v="0"/>
  </r>
  <r>
    <n v="1"/>
    <x v="8"/>
    <x v="4"/>
    <n v="1"/>
    <n v="5"/>
    <n v="5"/>
    <x v="0"/>
    <n v="4"/>
    <n v="3"/>
    <x v="0"/>
    <x v="0"/>
  </r>
  <r>
    <n v="1"/>
    <x v="5"/>
    <x v="4"/>
    <n v="1"/>
    <n v="5"/>
    <n v="6"/>
    <x v="2"/>
    <n v="2"/>
    <n v="2"/>
    <x v="3"/>
    <x v="2"/>
  </r>
  <r>
    <n v="1"/>
    <x v="1"/>
    <x v="4"/>
    <n v="1"/>
    <n v="5"/>
    <n v="5"/>
    <x v="2"/>
    <n v="4"/>
    <n v="2"/>
    <x v="69"/>
    <x v="0"/>
  </r>
  <r>
    <n v="1"/>
    <x v="9"/>
    <x v="4"/>
    <n v="1"/>
    <n v="6"/>
    <n v="6"/>
    <x v="0"/>
    <n v="1"/>
    <n v="1"/>
    <x v="0"/>
    <x v="0"/>
  </r>
  <r>
    <n v="1"/>
    <x v="7"/>
    <x v="5"/>
    <n v="1"/>
    <n v="1"/>
    <n v="3"/>
    <x v="1"/>
    <n v="1"/>
    <n v="2"/>
    <x v="85"/>
    <x v="1"/>
  </r>
  <r>
    <n v="1"/>
    <x v="5"/>
    <x v="5"/>
    <n v="1"/>
    <n v="1"/>
    <n v="3"/>
    <x v="1"/>
    <n v="1"/>
    <n v="1"/>
    <x v="97"/>
    <x v="3"/>
  </r>
  <r>
    <n v="1"/>
    <x v="3"/>
    <x v="5"/>
    <n v="1"/>
    <n v="1"/>
    <n v="2"/>
    <x v="1"/>
    <n v="1"/>
    <n v="1"/>
    <x v="18"/>
    <x v="2"/>
  </r>
  <r>
    <n v="1"/>
    <x v="6"/>
    <x v="5"/>
    <n v="1"/>
    <n v="1"/>
    <n v="3"/>
    <x v="2"/>
    <n v="1"/>
    <n v="2"/>
    <x v="15"/>
    <x v="2"/>
  </r>
  <r>
    <n v="1"/>
    <x v="1"/>
    <x v="5"/>
    <n v="1"/>
    <n v="1"/>
    <n v="4"/>
    <x v="3"/>
    <n v="1"/>
    <n v="1"/>
    <x v="4"/>
    <x v="2"/>
  </r>
  <r>
    <n v="1"/>
    <x v="3"/>
    <x v="5"/>
    <n v="1"/>
    <n v="1"/>
    <n v="2"/>
    <x v="4"/>
    <n v="1"/>
    <n v="2"/>
    <x v="98"/>
    <x v="3"/>
  </r>
  <r>
    <n v="1"/>
    <x v="9"/>
    <x v="5"/>
    <n v="1"/>
    <n v="2"/>
    <n v="3"/>
    <x v="0"/>
    <n v="1"/>
    <n v="1"/>
    <x v="0"/>
    <x v="0"/>
  </r>
  <r>
    <n v="1"/>
    <x v="3"/>
    <x v="5"/>
    <n v="1"/>
    <n v="2"/>
    <n v="2"/>
    <x v="1"/>
    <n v="2"/>
    <n v="1"/>
    <x v="99"/>
    <x v="1"/>
  </r>
  <r>
    <n v="1"/>
    <x v="3"/>
    <x v="5"/>
    <n v="2"/>
    <n v="2"/>
    <n v="3"/>
    <x v="1"/>
    <n v="2"/>
    <n v="4"/>
    <x v="85"/>
    <x v="1"/>
  </r>
  <r>
    <n v="1"/>
    <x v="6"/>
    <x v="5"/>
    <n v="1"/>
    <n v="2"/>
    <n v="2"/>
    <x v="1"/>
    <n v="1"/>
    <n v="2"/>
    <x v="30"/>
    <x v="3"/>
  </r>
  <r>
    <n v="1"/>
    <x v="7"/>
    <x v="5"/>
    <n v="1"/>
    <n v="2"/>
    <n v="2"/>
    <x v="1"/>
    <n v="1"/>
    <n v="1"/>
    <x v="4"/>
    <x v="2"/>
  </r>
  <r>
    <n v="1"/>
    <x v="3"/>
    <x v="5"/>
    <n v="1"/>
    <n v="2"/>
    <n v="4"/>
    <x v="1"/>
    <n v="3"/>
    <n v="2"/>
    <x v="100"/>
    <x v="0"/>
  </r>
  <r>
    <n v="1"/>
    <x v="5"/>
    <x v="5"/>
    <n v="1"/>
    <n v="2"/>
    <n v="3"/>
    <x v="2"/>
    <n v="3"/>
    <n v="5"/>
    <x v="30"/>
    <x v="3"/>
  </r>
  <r>
    <n v="1"/>
    <x v="4"/>
    <x v="5"/>
    <n v="1"/>
    <n v="2"/>
    <n v="1"/>
    <x v="2"/>
    <n v="2"/>
    <n v="3"/>
    <x v="101"/>
    <x v="0"/>
  </r>
  <r>
    <n v="1"/>
    <x v="7"/>
    <x v="5"/>
    <n v="1"/>
    <n v="2"/>
    <n v="2"/>
    <x v="3"/>
    <n v="1"/>
    <n v="1"/>
    <x v="6"/>
    <x v="3"/>
  </r>
  <r>
    <n v="1"/>
    <x v="7"/>
    <x v="5"/>
    <n v="1"/>
    <n v="2"/>
    <n v="4"/>
    <x v="3"/>
    <n v="4"/>
    <n v="5"/>
    <x v="4"/>
    <x v="2"/>
  </r>
  <r>
    <n v="1"/>
    <x v="10"/>
    <x v="5"/>
    <n v="1"/>
    <n v="2"/>
    <n v="2"/>
    <x v="4"/>
    <n v="2"/>
    <n v="2"/>
    <x v="0"/>
    <x v="0"/>
  </r>
  <r>
    <n v="1"/>
    <x v="9"/>
    <x v="5"/>
    <n v="1"/>
    <n v="3"/>
    <n v="3"/>
    <x v="0"/>
    <n v="3"/>
    <n v="3"/>
    <x v="13"/>
    <x v="0"/>
  </r>
  <r>
    <n v="1"/>
    <x v="2"/>
    <x v="5"/>
    <n v="1"/>
    <n v="3"/>
    <n v="4"/>
    <x v="1"/>
    <n v="3"/>
    <n v="2"/>
    <x v="40"/>
    <x v="2"/>
  </r>
  <r>
    <n v="1"/>
    <x v="7"/>
    <x v="5"/>
    <n v="1"/>
    <n v="3"/>
    <n v="3"/>
    <x v="2"/>
    <n v="4"/>
    <n v="2"/>
    <x v="85"/>
    <x v="1"/>
  </r>
  <r>
    <n v="1"/>
    <x v="7"/>
    <x v="5"/>
    <n v="1"/>
    <n v="3"/>
    <n v="4"/>
    <x v="2"/>
    <n v="3"/>
    <n v="3"/>
    <x v="102"/>
    <x v="3"/>
  </r>
  <r>
    <n v="1"/>
    <x v="7"/>
    <x v="5"/>
    <n v="1"/>
    <n v="3"/>
    <n v="2"/>
    <x v="2"/>
    <n v="1"/>
    <n v="1"/>
    <x v="6"/>
    <x v="3"/>
  </r>
  <r>
    <n v="1"/>
    <x v="5"/>
    <x v="5"/>
    <n v="1"/>
    <n v="3"/>
    <n v="4"/>
    <x v="2"/>
    <n v="2"/>
    <n v="1"/>
    <x v="30"/>
    <x v="3"/>
  </r>
  <r>
    <n v="1"/>
    <x v="1"/>
    <x v="5"/>
    <n v="1"/>
    <n v="3"/>
    <n v="5"/>
    <x v="2"/>
    <n v="4"/>
    <n v="5"/>
    <x v="15"/>
    <x v="2"/>
  </r>
  <r>
    <n v="1"/>
    <x v="6"/>
    <x v="5"/>
    <n v="1"/>
    <n v="3"/>
    <n v="2"/>
    <x v="2"/>
    <n v="1"/>
    <n v="1"/>
    <x v="3"/>
    <x v="2"/>
  </r>
  <r>
    <n v="1"/>
    <x v="0"/>
    <x v="5"/>
    <n v="1"/>
    <n v="3"/>
    <n v="4"/>
    <x v="3"/>
    <n v="2"/>
    <n v="3"/>
    <x v="9"/>
    <x v="0"/>
  </r>
  <r>
    <n v="1"/>
    <x v="5"/>
    <x v="5"/>
    <n v="1"/>
    <n v="3"/>
    <n v="3"/>
    <x v="3"/>
    <n v="1"/>
    <n v="1"/>
    <x v="13"/>
    <x v="0"/>
  </r>
  <r>
    <n v="1"/>
    <x v="2"/>
    <x v="5"/>
    <n v="1"/>
    <n v="3"/>
    <n v="3"/>
    <x v="4"/>
    <n v="2"/>
    <n v="2"/>
    <x v="44"/>
    <x v="2"/>
  </r>
  <r>
    <n v="1"/>
    <x v="10"/>
    <x v="5"/>
    <n v="1"/>
    <n v="3"/>
    <n v="3"/>
    <x v="4"/>
    <n v="4"/>
    <n v="5"/>
    <x v="9"/>
    <x v="0"/>
  </r>
  <r>
    <n v="1"/>
    <x v="8"/>
    <x v="5"/>
    <n v="1"/>
    <n v="4"/>
    <n v="5"/>
    <x v="0"/>
    <n v="2"/>
    <n v="1"/>
    <x v="18"/>
    <x v="2"/>
  </r>
  <r>
    <n v="1"/>
    <x v="9"/>
    <x v="5"/>
    <n v="1"/>
    <n v="4"/>
    <n v="4"/>
    <x v="0"/>
    <n v="1"/>
    <n v="1"/>
    <x v="10"/>
    <x v="0"/>
  </r>
  <r>
    <n v="1"/>
    <x v="9"/>
    <x v="5"/>
    <n v="1"/>
    <n v="4"/>
    <n v="4"/>
    <x v="0"/>
    <n v="1"/>
    <n v="1"/>
    <x v="24"/>
    <x v="0"/>
  </r>
  <r>
    <n v="1"/>
    <x v="9"/>
    <x v="5"/>
    <n v="1"/>
    <n v="4"/>
    <n v="4"/>
    <x v="0"/>
    <n v="4"/>
    <n v="3"/>
    <x v="24"/>
    <x v="0"/>
  </r>
  <r>
    <n v="1"/>
    <x v="9"/>
    <x v="5"/>
    <n v="1"/>
    <n v="4"/>
    <n v="4"/>
    <x v="0"/>
    <n v="4"/>
    <n v="3"/>
    <x v="0"/>
    <x v="0"/>
  </r>
  <r>
    <n v="1"/>
    <x v="7"/>
    <x v="5"/>
    <n v="1"/>
    <n v="4"/>
    <n v="3"/>
    <x v="1"/>
    <n v="1"/>
    <n v="1"/>
    <x v="7"/>
    <x v="3"/>
  </r>
  <r>
    <n v="1"/>
    <x v="5"/>
    <x v="5"/>
    <n v="1"/>
    <n v="4"/>
    <n v="3"/>
    <x v="1"/>
    <n v="2"/>
    <n v="1"/>
    <x v="15"/>
    <x v="2"/>
  </r>
  <r>
    <n v="1"/>
    <x v="4"/>
    <x v="5"/>
    <n v="1"/>
    <n v="4"/>
    <n v="2"/>
    <x v="1"/>
    <n v="1"/>
    <n v="1"/>
    <x v="3"/>
    <x v="2"/>
  </r>
  <r>
    <n v="1"/>
    <x v="2"/>
    <x v="5"/>
    <n v="1"/>
    <n v="4"/>
    <n v="3"/>
    <x v="1"/>
    <n v="3"/>
    <n v="3"/>
    <x v="18"/>
    <x v="2"/>
  </r>
  <r>
    <n v="1"/>
    <x v="3"/>
    <x v="5"/>
    <n v="1"/>
    <n v="4"/>
    <n v="2"/>
    <x v="2"/>
    <n v="2"/>
    <n v="2"/>
    <x v="4"/>
    <x v="2"/>
  </r>
  <r>
    <n v="1"/>
    <x v="5"/>
    <x v="5"/>
    <n v="1"/>
    <n v="4"/>
    <n v="4"/>
    <x v="2"/>
    <n v="2"/>
    <n v="2"/>
    <x v="3"/>
    <x v="2"/>
  </r>
  <r>
    <n v="1"/>
    <x v="3"/>
    <x v="5"/>
    <n v="1"/>
    <n v="4"/>
    <n v="4"/>
    <x v="2"/>
    <n v="3"/>
    <n v="1"/>
    <x v="63"/>
    <x v="2"/>
  </r>
  <r>
    <n v="1"/>
    <x v="5"/>
    <x v="5"/>
    <n v="1"/>
    <n v="4"/>
    <n v="5"/>
    <x v="2"/>
    <n v="1"/>
    <n v="2"/>
    <x v="18"/>
    <x v="2"/>
  </r>
  <r>
    <n v="1"/>
    <x v="5"/>
    <x v="5"/>
    <n v="1"/>
    <n v="4"/>
    <n v="3"/>
    <x v="2"/>
    <n v="1"/>
    <n v="1"/>
    <x v="12"/>
    <x v="0"/>
  </r>
  <r>
    <n v="1"/>
    <x v="5"/>
    <x v="5"/>
    <n v="1"/>
    <n v="4"/>
    <n v="4"/>
    <x v="2"/>
    <n v="4"/>
    <n v="5"/>
    <x v="12"/>
    <x v="0"/>
  </r>
  <r>
    <n v="1"/>
    <x v="5"/>
    <x v="5"/>
    <n v="1"/>
    <n v="4"/>
    <n v="5"/>
    <x v="2"/>
    <n v="1"/>
    <n v="3"/>
    <x v="41"/>
    <x v="0"/>
  </r>
  <r>
    <n v="1"/>
    <x v="5"/>
    <x v="5"/>
    <n v="1"/>
    <n v="4"/>
    <n v="3"/>
    <x v="2"/>
    <n v="4"/>
    <n v="2"/>
    <x v="69"/>
    <x v="0"/>
  </r>
  <r>
    <n v="1"/>
    <x v="1"/>
    <x v="5"/>
    <n v="1"/>
    <n v="4"/>
    <n v="4"/>
    <x v="2"/>
    <n v="3"/>
    <n v="5"/>
    <x v="22"/>
    <x v="0"/>
  </r>
  <r>
    <n v="1"/>
    <x v="5"/>
    <x v="5"/>
    <n v="1"/>
    <n v="4"/>
    <n v="4"/>
    <x v="2"/>
    <n v="1"/>
    <n v="1"/>
    <x v="57"/>
    <x v="0"/>
  </r>
  <r>
    <n v="1"/>
    <x v="10"/>
    <x v="5"/>
    <n v="1"/>
    <n v="4"/>
    <n v="4"/>
    <x v="2"/>
    <n v="3"/>
    <n v="2"/>
    <x v="0"/>
    <x v="0"/>
  </r>
  <r>
    <n v="1"/>
    <x v="5"/>
    <x v="5"/>
    <n v="1"/>
    <n v="4"/>
    <n v="4"/>
    <x v="3"/>
    <n v="2"/>
    <n v="2"/>
    <x v="7"/>
    <x v="3"/>
  </r>
  <r>
    <n v="1"/>
    <x v="5"/>
    <x v="5"/>
    <n v="1"/>
    <n v="4"/>
    <n v="6"/>
    <x v="3"/>
    <n v="4"/>
    <n v="3"/>
    <x v="4"/>
    <x v="2"/>
  </r>
  <r>
    <n v="1"/>
    <x v="3"/>
    <x v="5"/>
    <n v="1"/>
    <n v="4"/>
    <n v="4"/>
    <x v="3"/>
    <n v="2"/>
    <n v="1"/>
    <x v="18"/>
    <x v="2"/>
  </r>
  <r>
    <n v="1"/>
    <x v="5"/>
    <x v="5"/>
    <n v="1"/>
    <n v="4"/>
    <n v="6"/>
    <x v="3"/>
    <n v="3"/>
    <n v="2"/>
    <x v="19"/>
    <x v="0"/>
  </r>
  <r>
    <n v="1"/>
    <x v="2"/>
    <x v="5"/>
    <n v="1"/>
    <n v="4"/>
    <n v="5"/>
    <x v="3"/>
    <n v="3"/>
    <n v="5"/>
    <x v="13"/>
    <x v="0"/>
  </r>
  <r>
    <n v="1"/>
    <x v="1"/>
    <x v="5"/>
    <n v="1"/>
    <n v="4"/>
    <n v="5"/>
    <x v="3"/>
    <n v="1"/>
    <n v="2"/>
    <x v="22"/>
    <x v="0"/>
  </r>
  <r>
    <n v="1"/>
    <x v="1"/>
    <x v="5"/>
    <n v="1"/>
    <n v="4"/>
    <n v="3"/>
    <x v="3"/>
    <n v="1"/>
    <n v="1"/>
    <x v="42"/>
    <x v="0"/>
  </r>
  <r>
    <n v="1"/>
    <x v="10"/>
    <x v="5"/>
    <n v="1"/>
    <n v="4"/>
    <n v="4"/>
    <x v="4"/>
    <n v="4"/>
    <n v="5"/>
    <x v="4"/>
    <x v="2"/>
  </r>
  <r>
    <n v="1"/>
    <x v="5"/>
    <x v="5"/>
    <n v="1"/>
    <n v="4"/>
    <n v="4"/>
    <x v="4"/>
    <n v="4"/>
    <n v="4"/>
    <x v="22"/>
    <x v="0"/>
  </r>
  <r>
    <n v="1"/>
    <x v="8"/>
    <x v="5"/>
    <n v="1"/>
    <n v="5"/>
    <n v="5"/>
    <x v="0"/>
    <n v="3"/>
    <n v="3"/>
    <x v="9"/>
    <x v="0"/>
  </r>
  <r>
    <n v="1"/>
    <x v="9"/>
    <x v="5"/>
    <n v="1"/>
    <n v="5"/>
    <n v="4"/>
    <x v="0"/>
    <n v="2"/>
    <n v="1"/>
    <x v="13"/>
    <x v="0"/>
  </r>
  <r>
    <n v="1"/>
    <x v="9"/>
    <x v="5"/>
    <n v="1"/>
    <n v="5"/>
    <n v="5"/>
    <x v="0"/>
    <n v="1"/>
    <n v="1"/>
    <x v="0"/>
    <x v="0"/>
  </r>
  <r>
    <n v="1"/>
    <x v="9"/>
    <x v="5"/>
    <n v="1"/>
    <n v="5"/>
    <n v="5"/>
    <x v="0"/>
    <n v="3"/>
    <n v="1"/>
    <x v="0"/>
    <x v="0"/>
  </r>
  <r>
    <n v="1"/>
    <x v="8"/>
    <x v="5"/>
    <n v="1"/>
    <n v="5"/>
    <n v="5"/>
    <x v="0"/>
    <n v="3"/>
    <n v="1"/>
    <x v="0"/>
    <x v="0"/>
  </r>
  <r>
    <n v="1"/>
    <x v="8"/>
    <x v="5"/>
    <n v="1"/>
    <n v="5"/>
    <n v="5"/>
    <x v="0"/>
    <n v="4"/>
    <n v="3"/>
    <x v="0"/>
    <x v="0"/>
  </r>
  <r>
    <n v="1"/>
    <x v="7"/>
    <x v="5"/>
    <n v="1"/>
    <n v="5"/>
    <n v="5"/>
    <x v="2"/>
    <n v="1"/>
    <n v="3"/>
    <x v="4"/>
    <x v="2"/>
  </r>
  <r>
    <n v="1"/>
    <x v="8"/>
    <x v="5"/>
    <n v="1"/>
    <n v="5"/>
    <n v="5"/>
    <x v="2"/>
    <n v="2"/>
    <n v="1"/>
    <x v="0"/>
    <x v="0"/>
  </r>
  <r>
    <n v="1"/>
    <x v="3"/>
    <x v="5"/>
    <n v="1"/>
    <n v="5"/>
    <n v="4"/>
    <x v="3"/>
    <n v="2"/>
    <n v="3"/>
    <x v="103"/>
    <x v="3"/>
  </r>
  <r>
    <n v="1"/>
    <x v="7"/>
    <x v="5"/>
    <n v="1"/>
    <n v="5"/>
    <n v="5"/>
    <x v="3"/>
    <n v="3"/>
    <n v="3"/>
    <x v="59"/>
    <x v="3"/>
  </r>
  <r>
    <n v="1"/>
    <x v="5"/>
    <x v="5"/>
    <n v="1"/>
    <n v="5"/>
    <n v="6"/>
    <x v="3"/>
    <n v="1"/>
    <n v="2"/>
    <x v="66"/>
    <x v="2"/>
  </r>
  <r>
    <n v="1"/>
    <x v="5"/>
    <x v="5"/>
    <n v="1"/>
    <n v="5"/>
    <n v="5"/>
    <x v="3"/>
    <n v="4"/>
    <n v="3"/>
    <x v="26"/>
    <x v="0"/>
  </r>
  <r>
    <n v="1"/>
    <x v="5"/>
    <x v="5"/>
    <n v="1"/>
    <n v="5"/>
    <n v="6"/>
    <x v="3"/>
    <n v="2"/>
    <n v="3"/>
    <x v="23"/>
    <x v="0"/>
  </r>
  <r>
    <n v="1"/>
    <x v="10"/>
    <x v="5"/>
    <n v="1"/>
    <n v="5"/>
    <n v="6"/>
    <x v="3"/>
    <n v="3"/>
    <n v="2"/>
    <x v="0"/>
    <x v="0"/>
  </r>
  <r>
    <n v="1"/>
    <x v="7"/>
    <x v="5"/>
    <n v="1"/>
    <n v="5"/>
    <n v="5"/>
    <x v="4"/>
    <n v="4"/>
    <n v="5"/>
    <x v="10"/>
    <x v="0"/>
  </r>
  <r>
    <n v="1"/>
    <x v="5"/>
    <x v="5"/>
    <n v="1"/>
    <n v="5"/>
    <n v="5"/>
    <x v="4"/>
    <n v="3"/>
    <n v="2"/>
    <x v="22"/>
    <x v="0"/>
  </r>
  <r>
    <n v="1"/>
    <x v="10"/>
    <x v="5"/>
    <n v="1"/>
    <n v="5"/>
    <n v="6"/>
    <x v="4"/>
    <n v="1"/>
    <n v="2"/>
    <x v="0"/>
    <x v="0"/>
  </r>
  <r>
    <n v="1"/>
    <x v="8"/>
    <x v="5"/>
    <n v="1"/>
    <n v="6"/>
    <n v="5"/>
    <x v="0"/>
    <n v="4"/>
    <n v="5"/>
    <x v="0"/>
    <x v="0"/>
  </r>
  <r>
    <n v="1"/>
    <x v="5"/>
    <x v="5"/>
    <n v="1"/>
    <n v="6"/>
    <n v="5"/>
    <x v="3"/>
    <n v="3"/>
    <n v="2"/>
    <x v="13"/>
    <x v="0"/>
  </r>
  <r>
    <n v="1"/>
    <x v="1"/>
    <x v="5"/>
    <n v="1"/>
    <n v="6"/>
    <n v="6"/>
    <x v="3"/>
    <n v="4"/>
    <n v="5"/>
    <x v="14"/>
    <x v="0"/>
  </r>
  <r>
    <n v="1"/>
    <x v="5"/>
    <x v="5"/>
    <n v="1"/>
    <n v="6"/>
    <n v="6"/>
    <x v="3"/>
    <n v="1"/>
    <n v="2"/>
    <x v="48"/>
    <x v="0"/>
  </r>
  <r>
    <n v="1"/>
    <x v="1"/>
    <x v="5"/>
    <n v="1"/>
    <n v="6"/>
    <n v="6"/>
    <x v="4"/>
    <n v="4"/>
    <n v="3"/>
    <x v="18"/>
    <x v="2"/>
  </r>
  <r>
    <n v="1"/>
    <x v="10"/>
    <x v="5"/>
    <n v="1"/>
    <n v="6"/>
    <n v="0"/>
    <x v="4"/>
    <n v="3"/>
    <n v="3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5542E4-160E-E945-9B5A-ED309DB05DB7}" name="Сводная таблица7" cacheId="13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multipleFieldFilters="0" chartFormat="25">
  <location ref="B64:C73" firstHeaderRow="1" firstDataRow="1" firstDataCol="1"/>
  <pivotFields count="13">
    <pivotField showAll="0"/>
    <pivotField showAll="0"/>
    <pivotField showAll="0">
      <items count="7">
        <item x="2"/>
        <item x="4"/>
        <item x="0"/>
        <item x="1"/>
        <item x="5"/>
        <item x="3"/>
        <item t="default"/>
      </items>
    </pivotField>
    <pivotField showAll="0"/>
    <pivotField showAll="0"/>
    <pivotField showAll="0">
      <items count="8">
        <item x="5"/>
        <item x="6"/>
        <item x="2"/>
        <item x="1"/>
        <item x="0"/>
        <item x="3"/>
        <item x="4"/>
        <item t="default"/>
      </items>
    </pivotField>
    <pivotField axis="axisRow" dataField="1" showAll="0">
      <items count="6">
        <item x="4"/>
        <item x="1"/>
        <item x="2"/>
        <item x="3"/>
        <item x="0"/>
        <item t="default"/>
      </items>
    </pivotField>
    <pivotField showAll="0"/>
    <pivotField showAll="0"/>
    <pivotField showAll="0"/>
    <pivotField dragToRow="0" dragToCol="0" dragToPage="0" showAll="0" defaultSubtotal="0"/>
    <pivotField showAll="0">
      <items count="3">
        <item x="0"/>
        <item x="1"/>
        <item t="default"/>
      </items>
    </pivotField>
    <pivotField axis="axisRow" showAll="0">
      <items count="4">
        <item x="1"/>
        <item x="0"/>
        <item x="2"/>
        <item t="default"/>
      </items>
    </pivotField>
  </pivotFields>
  <rowFields count="2">
    <field x="12"/>
    <field x="6"/>
  </rowFields>
  <rowItems count="9">
    <i>
      <x/>
    </i>
    <i r="1">
      <x/>
    </i>
    <i r="1">
      <x v="1"/>
    </i>
    <i>
      <x v="1"/>
    </i>
    <i r="1">
      <x v="2"/>
    </i>
    <i>
      <x v="2"/>
    </i>
    <i r="1">
      <x v="3"/>
    </i>
    <i r="1">
      <x v="4"/>
    </i>
    <i t="grand">
      <x/>
    </i>
  </rowItems>
  <colItems count="1">
    <i/>
  </colItems>
  <dataFields count="1">
    <dataField name="Количество по полю Parent Revenue" fld="6" subtotal="count" showDataAs="percentOfTotal" baseField="0" baseItem="0" numFmtId="10"/>
  </dataFields>
  <formats count="2">
    <format dxfId="1">
      <pivotArea outline="0" collapsedLevelsAreSubtotals="1" fieldPosition="0"/>
    </format>
    <format dxfId="0">
      <pivotArea outline="0" fieldPosition="0">
        <references count="1">
          <reference field="4294967294" count="1">
            <x v="0"/>
          </reference>
        </references>
      </pivotArea>
    </format>
  </formats>
  <chartFormats count="2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055949-EA7B-2D47-839F-58ABF0D24DC6}" name="Сводная таблица8" cacheId="13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multipleFieldFilters="0" chartFormat="47">
  <location ref="B51:C58" firstHeaderRow="1" firstDataRow="1" firstDataCol="1"/>
  <pivotFields count="13">
    <pivotField showAll="0"/>
    <pivotField showAll="0"/>
    <pivotField showAll="0">
      <items count="7">
        <item x="2"/>
        <item x="4"/>
        <item x="0"/>
        <item x="1"/>
        <item x="5"/>
        <item x="3"/>
        <item t="default"/>
      </items>
    </pivotField>
    <pivotField showAll="0"/>
    <pivotField showAll="0">
      <items count="8">
        <item x="6"/>
        <item x="4"/>
        <item x="3"/>
        <item x="1"/>
        <item x="2"/>
        <item x="0"/>
        <item x="5"/>
        <item t="default"/>
      </items>
    </pivotField>
    <pivotField showAll="0"/>
    <pivotField showAll="0">
      <items count="6">
        <item x="4"/>
        <item x="1"/>
        <item x="2"/>
        <item x="3"/>
        <item x="0"/>
        <item t="default"/>
      </items>
    </pivotField>
    <pivotField showAll="0"/>
    <pivotField axis="axisRow" dataField="1" showAll="0">
      <items count="7">
        <item x="1"/>
        <item x="0"/>
        <item x="2"/>
        <item x="4"/>
        <item x="5"/>
        <item x="3"/>
        <item t="default"/>
      </items>
    </pivotField>
    <pivotField showAll="0"/>
    <pivotField dragToRow="0" dragToCol="0" dragToPage="0" showAll="0" defaultSubtotal="0"/>
    <pivotField showAll="0">
      <items count="3">
        <item x="0"/>
        <item x="1"/>
        <item t="default"/>
      </items>
    </pivotField>
    <pivotField showAll="0">
      <items count="4">
        <item x="1"/>
        <item x="0"/>
        <item x="2"/>
        <item t="default"/>
      </items>
    </pivotField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Количество по полю Playing Hours" fld="8" subtotal="count" showDataAs="percentOfTotal" baseField="0" baseItem="0" numFmtId="10"/>
  </dataFields>
  <formats count="2">
    <format dxfId="3">
      <pivotArea outline="0" collapsedLevelsAreSubtotals="1" fieldPosition="0"/>
    </format>
    <format dxfId="2">
      <pivotArea outline="0" fieldPosition="0">
        <references count="1">
          <reference field="4294967294" count="1">
            <x v="0"/>
          </reference>
        </references>
      </pivotArea>
    </format>
  </formats>
  <chartFormats count="2">
    <chartFormat chart="2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4080B6-CD9C-FB4D-BF75-FB8D52BE33C3}" name="Сводная таблица9" cacheId="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multipleFieldFilters="0" chartFormat="24">
  <location ref="B77:C85" firstHeaderRow="1" firstDataRow="1" firstDataCol="1"/>
  <pivotFields count="10">
    <pivotField showAll="0"/>
    <pivotField dataField="1" showAll="0"/>
    <pivotField axis="axisRow" showAll="0">
      <items count="8">
        <item x="2"/>
        <item x="4"/>
        <item x="0"/>
        <item x="1"/>
        <item x="5"/>
        <item x="3"/>
        <item x="6"/>
        <item t="default"/>
      </items>
    </pivotField>
    <pivotField showAll="0"/>
    <pivotField showAll="0"/>
    <pivotField showAll="0"/>
    <pivotField showAll="0"/>
    <pivotField showAll="0"/>
    <pivotField showAll="0">
      <items count="8">
        <item x="1"/>
        <item x="0"/>
        <item x="2"/>
        <item x="4"/>
        <item x="5"/>
        <item x="3"/>
        <item x="6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Количество по полю School Code" fld="1" subtotal="count" showDataAs="percentOfTotal" baseField="0" baseItem="0" numFmtId="10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3673BB-A2E0-9945-A967-74D58F6F93D4}" name="Сводная таблица10" cacheId="13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multipleFieldFilters="0" chartFormat="12">
  <location ref="B15:C18" firstHeaderRow="1" firstDataRow="1" firstDataCol="1"/>
  <pivotFields count="13">
    <pivotField axis="axisRow" dataField="1" showAll="0">
      <items count="3">
        <item x="0"/>
        <item x="1"/>
        <item t="default"/>
      </items>
    </pivotField>
    <pivotField showAll="0"/>
    <pivotField showAll="0">
      <items count="7">
        <item x="2"/>
        <item x="4"/>
        <item x="0"/>
        <item x="1"/>
        <item x="5"/>
        <item x="3"/>
        <item t="default"/>
      </items>
    </pivotField>
    <pivotField showAll="0"/>
    <pivotField showAll="0"/>
    <pivotField showAll="0"/>
    <pivotField showAll="0">
      <items count="6">
        <item x="4"/>
        <item x="1"/>
        <item x="2"/>
        <item x="3"/>
        <item x="0"/>
        <item t="default"/>
      </items>
    </pivotField>
    <pivotField showAll="0"/>
    <pivotField showAll="0"/>
    <pivotField showAll="0"/>
    <pivotField dragToRow="0" dragToCol="0" dragToPage="0" showAll="0" defaultSubtotal="0"/>
    <pivotField showAll="0">
      <items count="3">
        <item x="0"/>
        <item x="1"/>
        <item t="default"/>
      </items>
    </pivotField>
    <pivotField showAll="0">
      <items count="4">
        <item x="1"/>
        <item x="0"/>
        <item x="2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Количество по полю Sex" fld="0" subtotal="count" baseField="0" baseItem="0" numFmtId="1"/>
  </dataFields>
  <formats count="2">
    <format dxfId="5">
      <pivotArea outline="0" collapsedLevelsAreSubtotals="1" fieldPosition="0"/>
    </format>
    <format dxfId="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6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1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1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E7D066-6BCD-C74A-A456-629E58FD8256}" name="Сводная таблица11" cacheId="13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multipleFieldFilters="0" chartFormat="23">
  <location ref="B38:C46" firstHeaderRow="1" firstDataRow="1" firstDataCol="1"/>
  <pivotFields count="13">
    <pivotField showAll="0"/>
    <pivotField showAll="0"/>
    <pivotField showAll="0">
      <items count="7">
        <item x="2"/>
        <item x="4"/>
        <item x="0"/>
        <item x="1"/>
        <item x="5"/>
        <item x="3"/>
        <item t="default"/>
      </items>
    </pivotField>
    <pivotField showAll="0"/>
    <pivotField showAll="0"/>
    <pivotField axis="axisRow" dataField="1" showAll="0">
      <items count="8">
        <item x="5"/>
        <item x="6"/>
        <item x="2"/>
        <item x="1"/>
        <item x="0"/>
        <item x="3"/>
        <item x="4"/>
        <item t="default"/>
      </items>
    </pivotField>
    <pivotField showAll="0">
      <items count="6">
        <item x="4"/>
        <item x="1"/>
        <item x="2"/>
        <item x="3"/>
        <item x="0"/>
        <item t="default"/>
      </items>
    </pivotField>
    <pivotField showAll="0"/>
    <pivotField showAll="0"/>
    <pivotField showAll="0"/>
    <pivotField dragToRow="0" dragToCol="0" dragToPage="0" showAll="0" defaultSubtotal="0"/>
    <pivotField showAll="0">
      <items count="3">
        <item x="0"/>
        <item x="1"/>
        <item t="default"/>
      </items>
    </pivotField>
    <pivotField showAll="0">
      <items count="4">
        <item x="1"/>
        <item x="0"/>
        <item x="2"/>
        <item t="default"/>
      </items>
    </pivotField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Количество по полю Father Education" fld="5" subtotal="count" showDataAs="percentOfTotal" baseField="0" baseItem="0" numFmtId="10"/>
  </dataFields>
  <formats count="2">
    <format dxfId="7">
      <pivotArea outline="0" collapsedLevelsAreSubtotals="1" fieldPosition="0"/>
    </format>
    <format dxfId="6">
      <pivotArea outline="0" fieldPosition="0">
        <references count="1">
          <reference field="4294967294" count="1">
            <x v="0"/>
          </reference>
        </references>
      </pivotArea>
    </format>
  </formats>
  <chartFormats count="2">
    <chartFormat chart="0" format="3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3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128A8E-8F8D-1F4B-B63D-08C20AED7F0D}" name="Сводная таблица12" cacheId="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10">
  <location ref="B101:C112" firstHeaderRow="1" firstDataRow="1" firstDataCol="1"/>
  <pivotFields count="1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9"/>
  </rowFields>
  <rowItems count="11">
    <i>
      <x/>
    </i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Количество по полю Grade" fld="9" subtotal="count" showDataAs="percentOfTotal" baseField="0" baseItem="0" numFmtId="1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925334-BBB6-8E4D-A8C4-1418A3312DE5}" name="Сводная таблица13" cacheId="13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multipleFieldFilters="0" chartFormat="42">
  <location ref="B25:C33" firstHeaderRow="1" firstDataRow="1" firstDataCol="1"/>
  <pivotFields count="13">
    <pivotField showAll="0"/>
    <pivotField showAll="0"/>
    <pivotField showAll="0">
      <items count="7">
        <item x="2"/>
        <item x="4"/>
        <item x="0"/>
        <item x="1"/>
        <item x="5"/>
        <item x="3"/>
        <item t="default"/>
      </items>
    </pivotField>
    <pivotField showAll="0"/>
    <pivotField axis="axisRow" dataField="1" showAll="0">
      <items count="8">
        <item x="6"/>
        <item x="4"/>
        <item x="3"/>
        <item x="1"/>
        <item x="2"/>
        <item x="0"/>
        <item x="5"/>
        <item t="default"/>
      </items>
    </pivotField>
    <pivotField showAll="0"/>
    <pivotField showAll="0">
      <items count="6">
        <item x="4"/>
        <item x="1"/>
        <item x="2"/>
        <item x="3"/>
        <item x="0"/>
        <item t="default"/>
      </items>
    </pivotField>
    <pivotField showAll="0"/>
    <pivotField showAll="0"/>
    <pivotField showAll="0"/>
    <pivotField dragToRow="0" dragToCol="0" dragToPage="0" showAll="0" defaultSubtotal="0"/>
    <pivotField showAll="0">
      <items count="3">
        <item x="0"/>
        <item x="1"/>
        <item t="default"/>
      </items>
    </pivotField>
    <pivotField showAll="0">
      <items count="4">
        <item x="1"/>
        <item x="0"/>
        <item x="2"/>
        <item t="default"/>
      </items>
    </pivotField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Количество по полю Mother Education" fld="4" subtotal="count" showDataAs="percentOfTotal" baseField="0" baseItem="0" numFmtId="10"/>
  </dataFields>
  <formats count="2">
    <format dxfId="9">
      <pivotArea outline="0" collapsedLevelsAreSubtotals="1" fieldPosition="0"/>
    </format>
    <format dxfId="8">
      <pivotArea outline="0" fieldPosition="0">
        <references count="1">
          <reference field="4294967294" count="1">
            <x v="0"/>
          </reference>
        </references>
      </pivotArea>
    </format>
  </formats>
  <chartFormats count="2">
    <chartFormat chart="0" format="4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1" format="41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7671A9-AF8C-FA4E-857C-C95CFB12C3D8}" name="Сводная таблица14" cacheId="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multipleFieldFilters="0" chartFormat="22">
  <location ref="B90:C97" firstHeaderRow="1" firstDataRow="1" firstDataCol="1"/>
  <pivotFields count="10">
    <pivotField showAll="0">
      <items count="4">
        <item x="0"/>
        <item x="1"/>
        <item x="2"/>
        <item t="default"/>
      </items>
    </pivotField>
    <pivotField showAll="0"/>
    <pivotField showAll="0">
      <items count="8">
        <item x="2"/>
        <item x="4"/>
        <item x="0"/>
        <item x="1"/>
        <item x="5"/>
        <item x="3"/>
        <item x="6"/>
        <item t="default"/>
      </items>
    </pivotField>
    <pivotField showAll="0"/>
    <pivotField showAll="0"/>
    <pivotField showAll="0"/>
    <pivotField showAll="0"/>
    <pivotField axis="axisRow" dataField="1" showAll="0">
      <items count="7">
        <item x="1"/>
        <item x="0"/>
        <item x="3"/>
        <item x="2"/>
        <item x="4"/>
        <item x="5"/>
        <item t="default"/>
      </items>
    </pivotField>
    <pivotField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Количество по полю Playing Years" fld="7" subtotal="count" showDataAs="percentOfTotal" baseField="0" baseItem="0" numFmtId="10"/>
  </dataFields>
  <chartFormats count="2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F0289D-391F-4743-96FC-16F1CCC2C0A6}" name="Сводная таблица2" cacheId="2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54:H61" firstHeaderRow="1" firstDataRow="2" firstDataCol="1"/>
  <pivotFields count="11">
    <pivotField showAll="0"/>
    <pivotField showAll="0"/>
    <pivotField axis="axisCol" dataField="1" showAll="0">
      <items count="7">
        <item x="2"/>
        <item x="4"/>
        <item x="0"/>
        <item x="1"/>
        <item x="5"/>
        <item x="3"/>
        <item t="default"/>
      </items>
    </pivotField>
    <pivotField showAll="0"/>
    <pivotField showAll="0"/>
    <pivotField showAll="0"/>
    <pivotField axis="axisRow" showAll="0">
      <items count="6">
        <item x="4"/>
        <item x="1"/>
        <item x="2"/>
        <item x="3"/>
        <item x="0"/>
        <item t="default"/>
      </items>
    </pivotField>
    <pivotField showAll="0"/>
    <pivotField showAll="0"/>
    <pivotField showAll="0"/>
    <pivotField dragToRow="0" dragToCol="0" dragToPage="0" showAll="0" defaultSubtota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Количество по полю Playing Often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21751E-A230-4AD1-A841-7BE96AB02587}" name="Сводная таблица4" cacheId="2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80:H84" firstHeaderRow="1" firstDataRow="2" firstDataCol="1"/>
  <pivotFields count="11">
    <pivotField axis="axisRow" showAll="0">
      <items count="3">
        <item x="0"/>
        <item x="1"/>
        <item t="default"/>
      </items>
    </pivotField>
    <pivotField showAll="0"/>
    <pivotField axis="axisCol" dataField="1" showAll="0">
      <items count="7">
        <item x="2"/>
        <item x="4"/>
        <item x="0"/>
        <item x="1"/>
        <item x="5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0"/>
  </rowFields>
  <rowItems count="3">
    <i>
      <x/>
    </i>
    <i>
      <x v="1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Количество по полю Playing Often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81CA15-5793-46AF-88EE-412BEE8A6830}" name="Сводная таблица1" cacheId="3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4:H17" firstHeaderRow="1" firstDataRow="2" firstDataCol="1"/>
  <pivotFields count="10"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h="1" x="11"/>
        <item t="default"/>
      </items>
    </pivotField>
    <pivotField axis="axisCol" dataField="1" showAll="0">
      <items count="8">
        <item x="2"/>
        <item x="4"/>
        <item x="0"/>
        <item x="1"/>
        <item x="5"/>
        <item x="3"/>
        <item h="1"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Количество по полю Playing Often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27CD97-A0D0-9C4D-BD39-C841D735AE7C}" name="Сводная таблица4" cacheId="4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16">
  <location ref="A59:H66" firstHeaderRow="1" firstDataRow="3" firstDataCol="1"/>
  <pivotFields count="14">
    <pivotField showAll="0"/>
    <pivotField axis="axisRow" showAll="0">
      <items count="12">
        <item x="1"/>
        <item x="7"/>
        <item h="1" x="6"/>
        <item x="5"/>
        <item h="1" x="0"/>
        <item h="1" x="10"/>
        <item h="1" x="9"/>
        <item x="3"/>
        <item h="1" x="8"/>
        <item h="1" x="2"/>
        <item h="1" x="4"/>
        <item t="default"/>
      </items>
    </pivotField>
    <pivotField axis="axisCol" dataField="1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numFmtId="2" showAll="0"/>
    <pivotField showAll="0"/>
    <pivotField dragToRow="0" dragToCol="0" dragToPage="0" showAll="0" defaultSubtotal="0"/>
    <pivotField axis="axisCol" showAll="0" defaultSubtotal="0">
      <items count="2">
        <item n="Мало" x="0"/>
        <item n="Часто" x="1"/>
      </items>
    </pivotField>
    <pivotField showAll="0" defaultSubtotal="0">
      <items count="3">
        <item x="0"/>
        <item x="1"/>
        <item x="2"/>
      </items>
    </pivotField>
  </pivotFields>
  <rowFields count="1">
    <field x="1"/>
  </rowFields>
  <rowItems count="5">
    <i>
      <x/>
    </i>
    <i>
      <x v="1"/>
    </i>
    <i>
      <x v="3"/>
    </i>
    <i>
      <x v="7"/>
    </i>
    <i t="grand">
      <x/>
    </i>
  </rowItems>
  <colFields count="2">
    <field x="12"/>
    <field x="2"/>
  </colFields>
  <colItems count="7">
    <i>
      <x/>
      <x/>
    </i>
    <i r="1">
      <x v="1"/>
    </i>
    <i r="1">
      <x v="2"/>
    </i>
    <i>
      <x v="1"/>
      <x v="3"/>
    </i>
    <i r="1">
      <x v="4"/>
    </i>
    <i r="1">
      <x v="5"/>
    </i>
    <i t="grand">
      <x/>
    </i>
  </colItems>
  <dataFields count="1">
    <dataField name="Количество по полю Playing Often" fld="2" subtotal="count" baseField="0" baseItem="0"/>
  </dataFields>
  <chartFormats count="11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6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12" count="1" selected="0">
            <x v="0"/>
          </reference>
        </references>
      </pivotArea>
    </chartFormat>
    <chartFormat chart="0" format="7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12" count="1" selected="0">
            <x v="0"/>
          </reference>
        </references>
      </pivotArea>
    </chartFormat>
    <chartFormat chart="0" format="8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12" count="1" selected="0">
            <x v="1"/>
          </reference>
        </references>
      </pivotArea>
    </chartFormat>
    <chartFormat chart="0" format="9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12" count="1" selected="0">
            <x v="1"/>
          </reference>
        </references>
      </pivotArea>
    </chartFormat>
    <chartFormat chart="0" format="10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a" connectionId="1" xr16:uid="{411BC84A-A08D-694F-ABAA-B403AB6D83B1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1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Relationship Id="rId4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EAD57-2722-2640-9045-129DE337E71B}">
  <dimension ref="A1:U773"/>
  <sheetViews>
    <sheetView topLeftCell="E1" zoomScale="88" zoomScaleNormal="81" workbookViewId="0">
      <selection activeCell="D33" sqref="D33"/>
    </sheetView>
  </sheetViews>
  <sheetFormatPr baseColWidth="10" defaultColWidth="11" defaultRowHeight="16" x14ac:dyDescent="0.2"/>
  <cols>
    <col min="1" max="2" width="12.83203125" bestFit="1" customWidth="1"/>
    <col min="3" max="3" width="12.1640625" customWidth="1"/>
    <col min="4" max="4" width="13.33203125" bestFit="1" customWidth="1"/>
    <col min="5" max="5" width="15.6640625" bestFit="1" customWidth="1"/>
    <col min="6" max="6" width="15" bestFit="1" customWidth="1"/>
    <col min="7" max="10" width="14" bestFit="1" customWidth="1"/>
    <col min="11" max="11" width="12.1640625" bestFit="1" customWidth="1"/>
    <col min="12" max="12" width="10.6640625" customWidth="1"/>
    <col min="13" max="13" width="10.83203125" customWidth="1"/>
    <col min="14" max="14" width="10.6640625" customWidth="1"/>
    <col min="15" max="15" width="9.83203125" customWidth="1"/>
    <col min="16" max="16" width="11.5" customWidth="1"/>
    <col min="17" max="17" width="11.6640625" customWidth="1"/>
  </cols>
  <sheetData>
    <row r="1" spans="1:21" x14ac:dyDescent="0.2">
      <c r="A1" s="1" t="s">
        <v>0</v>
      </c>
      <c r="B1" s="1" t="s">
        <v>1</v>
      </c>
      <c r="C1" s="1" t="s">
        <v>3</v>
      </c>
      <c r="D1" s="1" t="s">
        <v>5</v>
      </c>
      <c r="E1" s="1" t="s">
        <v>8</v>
      </c>
      <c r="F1" s="1" t="s">
        <v>7</v>
      </c>
      <c r="G1" s="1" t="s">
        <v>6</v>
      </c>
      <c r="H1" s="1" t="s">
        <v>2</v>
      </c>
      <c r="I1" s="1" t="s">
        <v>4</v>
      </c>
      <c r="J1" s="1" t="s">
        <v>9</v>
      </c>
      <c r="K1" s="1" t="s">
        <v>113</v>
      </c>
      <c r="L1" s="1" t="s">
        <v>115</v>
      </c>
    </row>
    <row r="2" spans="1:21" x14ac:dyDescent="0.2">
      <c r="A2" t="s">
        <v>116</v>
      </c>
      <c r="B2">
        <v>9</v>
      </c>
      <c r="C2">
        <v>5</v>
      </c>
      <c r="D2">
        <v>1</v>
      </c>
      <c r="E2">
        <v>5</v>
      </c>
      <c r="F2">
        <v>5</v>
      </c>
      <c r="G2">
        <v>0</v>
      </c>
      <c r="H2">
        <v>2</v>
      </c>
      <c r="I2">
        <v>2</v>
      </c>
      <c r="J2" s="8">
        <v>6</v>
      </c>
      <c r="K2" t="str">
        <f>IF(J2&gt;20,IF(J2&gt;40,IF(J2&gt;60,IF(J2&gt;80,"Отлично","Хорошо"),"Средне"),"Плохо"),"Ужасно")</f>
        <v>Ужасно</v>
      </c>
      <c r="L2" t="str">
        <f>IF(C2&gt;2,"Часто","Редко")</f>
        <v>Часто</v>
      </c>
    </row>
    <row r="3" spans="1:21" x14ac:dyDescent="0.2">
      <c r="A3" t="s">
        <v>116</v>
      </c>
      <c r="B3">
        <v>9</v>
      </c>
      <c r="C3">
        <v>5</v>
      </c>
      <c r="D3">
        <v>1</v>
      </c>
      <c r="E3">
        <v>3</v>
      </c>
      <c r="F3">
        <v>3</v>
      </c>
      <c r="G3">
        <v>0</v>
      </c>
      <c r="H3">
        <v>2</v>
      </c>
      <c r="I3">
        <v>1</v>
      </c>
      <c r="J3" s="8">
        <v>60</v>
      </c>
      <c r="K3" t="str">
        <f t="shared" ref="K3:K66" si="0">IF(J3&gt;20,IF(J3&gt;40,IF(J3&gt;60,IF(J3&gt;80,"Отлично","Хорошо"),"Средне"),"Плохо"),"Ужасно")</f>
        <v>Средне</v>
      </c>
      <c r="L3" t="str">
        <f t="shared" ref="L3:L66" si="1">IF(C3&gt;2,"Часто","Редко")</f>
        <v>Часто</v>
      </c>
      <c r="M3" s="15"/>
      <c r="Q3" s="16"/>
      <c r="R3" s="16"/>
      <c r="S3" s="16"/>
      <c r="T3" s="16"/>
      <c r="U3" s="16"/>
    </row>
    <row r="4" spans="1:21" x14ac:dyDescent="0.2">
      <c r="A4" t="s">
        <v>116</v>
      </c>
      <c r="B4">
        <v>1</v>
      </c>
      <c r="C4">
        <v>0</v>
      </c>
      <c r="D4">
        <v>0</v>
      </c>
      <c r="E4">
        <v>1</v>
      </c>
      <c r="F4">
        <v>3</v>
      </c>
      <c r="G4">
        <v>1</v>
      </c>
      <c r="H4">
        <v>0</v>
      </c>
      <c r="I4">
        <v>0</v>
      </c>
      <c r="J4" s="8">
        <v>36.5</v>
      </c>
      <c r="K4" t="str">
        <f t="shared" si="0"/>
        <v>Плохо</v>
      </c>
      <c r="L4" t="str">
        <f t="shared" si="1"/>
        <v>Редко</v>
      </c>
      <c r="M4" s="15"/>
    </row>
    <row r="5" spans="1:21" x14ac:dyDescent="0.2">
      <c r="A5" t="s">
        <v>117</v>
      </c>
      <c r="B5">
        <v>2</v>
      </c>
      <c r="C5">
        <v>1</v>
      </c>
      <c r="D5">
        <v>1</v>
      </c>
      <c r="E5">
        <v>2</v>
      </c>
      <c r="F5">
        <v>2</v>
      </c>
      <c r="G5">
        <v>3</v>
      </c>
      <c r="H5">
        <v>4</v>
      </c>
      <c r="I5">
        <v>5</v>
      </c>
      <c r="J5" s="8">
        <v>40</v>
      </c>
      <c r="K5" t="str">
        <f t="shared" si="0"/>
        <v>Плохо</v>
      </c>
      <c r="L5" t="str">
        <f t="shared" si="1"/>
        <v>Редко</v>
      </c>
      <c r="M5" s="15"/>
    </row>
    <row r="6" spans="1:21" x14ac:dyDescent="0.2">
      <c r="A6" t="s">
        <v>117</v>
      </c>
      <c r="B6">
        <v>4</v>
      </c>
      <c r="C6">
        <v>1</v>
      </c>
      <c r="D6">
        <v>1</v>
      </c>
      <c r="E6">
        <v>3</v>
      </c>
      <c r="F6">
        <v>3</v>
      </c>
      <c r="G6">
        <v>2</v>
      </c>
      <c r="H6">
        <v>1</v>
      </c>
      <c r="I6">
        <v>2</v>
      </c>
      <c r="J6" s="8">
        <v>40</v>
      </c>
      <c r="K6" t="str">
        <f t="shared" si="0"/>
        <v>Плохо</v>
      </c>
      <c r="L6" t="str">
        <f t="shared" si="1"/>
        <v>Редко</v>
      </c>
      <c r="M6" s="15"/>
    </row>
    <row r="7" spans="1:21" x14ac:dyDescent="0.2">
      <c r="A7" t="s">
        <v>117</v>
      </c>
      <c r="B7">
        <v>4</v>
      </c>
      <c r="C7">
        <v>1</v>
      </c>
      <c r="D7">
        <v>1</v>
      </c>
      <c r="E7">
        <v>3</v>
      </c>
      <c r="F7">
        <v>5</v>
      </c>
      <c r="G7">
        <v>2</v>
      </c>
      <c r="H7">
        <v>4</v>
      </c>
      <c r="I7">
        <v>4</v>
      </c>
      <c r="J7" s="8">
        <v>40</v>
      </c>
      <c r="K7" t="str">
        <f t="shared" si="0"/>
        <v>Плохо</v>
      </c>
      <c r="L7" t="str">
        <f t="shared" si="1"/>
        <v>Редко</v>
      </c>
      <c r="M7" s="15"/>
    </row>
    <row r="8" spans="1:21" x14ac:dyDescent="0.2">
      <c r="A8" t="s">
        <v>117</v>
      </c>
      <c r="B8">
        <v>9</v>
      </c>
      <c r="C8">
        <v>5</v>
      </c>
      <c r="D8">
        <v>1</v>
      </c>
      <c r="E8">
        <v>4</v>
      </c>
      <c r="F8">
        <v>5</v>
      </c>
      <c r="G8">
        <v>0</v>
      </c>
      <c r="H8">
        <v>2</v>
      </c>
      <c r="I8">
        <v>1</v>
      </c>
      <c r="J8" s="8">
        <v>80</v>
      </c>
      <c r="K8" t="str">
        <f t="shared" si="0"/>
        <v>Хорошо</v>
      </c>
      <c r="L8" t="str">
        <f t="shared" si="1"/>
        <v>Часто</v>
      </c>
      <c r="M8" s="15"/>
    </row>
    <row r="9" spans="1:21" x14ac:dyDescent="0.2">
      <c r="A9" t="s">
        <v>117</v>
      </c>
      <c r="B9">
        <v>7</v>
      </c>
      <c r="C9">
        <v>3</v>
      </c>
      <c r="D9">
        <v>1</v>
      </c>
      <c r="E9">
        <v>2</v>
      </c>
      <c r="F9">
        <v>4</v>
      </c>
      <c r="G9">
        <v>0</v>
      </c>
      <c r="H9">
        <v>2</v>
      </c>
      <c r="I9">
        <v>3</v>
      </c>
      <c r="J9" s="8">
        <v>85</v>
      </c>
      <c r="K9" t="str">
        <f t="shared" si="0"/>
        <v>Отлично</v>
      </c>
      <c r="L9" t="str">
        <f t="shared" si="1"/>
        <v>Часто</v>
      </c>
      <c r="M9" s="15"/>
    </row>
    <row r="10" spans="1:21" x14ac:dyDescent="0.2">
      <c r="A10" t="s">
        <v>117</v>
      </c>
      <c r="B10">
        <v>9</v>
      </c>
      <c r="C10">
        <v>5</v>
      </c>
      <c r="D10">
        <v>1</v>
      </c>
      <c r="E10">
        <v>5</v>
      </c>
      <c r="F10">
        <v>5</v>
      </c>
      <c r="G10">
        <v>0</v>
      </c>
      <c r="H10">
        <v>3</v>
      </c>
      <c r="I10">
        <v>3</v>
      </c>
      <c r="J10" s="8">
        <v>85</v>
      </c>
      <c r="K10" t="str">
        <f t="shared" si="0"/>
        <v>Отлично</v>
      </c>
      <c r="L10" t="str">
        <f t="shared" si="1"/>
        <v>Часто</v>
      </c>
    </row>
    <row r="11" spans="1:21" x14ac:dyDescent="0.2">
      <c r="A11" t="s">
        <v>117</v>
      </c>
      <c r="B11">
        <v>7</v>
      </c>
      <c r="C11">
        <v>5</v>
      </c>
      <c r="D11">
        <v>1</v>
      </c>
      <c r="E11">
        <v>4</v>
      </c>
      <c r="F11">
        <v>4</v>
      </c>
      <c r="G11">
        <v>0</v>
      </c>
      <c r="H11">
        <v>1</v>
      </c>
      <c r="I11">
        <v>1</v>
      </c>
      <c r="J11" s="8">
        <v>86</v>
      </c>
      <c r="K11" t="str">
        <f t="shared" si="0"/>
        <v>Отлично</v>
      </c>
      <c r="L11" t="str">
        <f t="shared" si="1"/>
        <v>Часто</v>
      </c>
    </row>
    <row r="12" spans="1:21" x14ac:dyDescent="0.2">
      <c r="A12" t="s">
        <v>117</v>
      </c>
      <c r="B12">
        <v>7</v>
      </c>
      <c r="C12">
        <v>3</v>
      </c>
      <c r="D12">
        <v>1</v>
      </c>
      <c r="E12">
        <v>4</v>
      </c>
      <c r="F12">
        <v>5</v>
      </c>
      <c r="G12">
        <v>0</v>
      </c>
      <c r="H12">
        <v>2</v>
      </c>
      <c r="I12">
        <v>2</v>
      </c>
      <c r="J12" s="8">
        <v>90</v>
      </c>
      <c r="K12" t="str">
        <f t="shared" si="0"/>
        <v>Отлично</v>
      </c>
      <c r="L12" t="str">
        <f t="shared" si="1"/>
        <v>Часто</v>
      </c>
    </row>
    <row r="13" spans="1:21" x14ac:dyDescent="0.2">
      <c r="A13" t="s">
        <v>117</v>
      </c>
      <c r="B13">
        <v>9</v>
      </c>
      <c r="C13">
        <v>4</v>
      </c>
      <c r="D13">
        <v>1</v>
      </c>
      <c r="E13">
        <v>5</v>
      </c>
      <c r="F13">
        <v>5</v>
      </c>
      <c r="G13">
        <v>0</v>
      </c>
      <c r="H13">
        <v>2</v>
      </c>
      <c r="I13">
        <v>2</v>
      </c>
      <c r="J13" s="8">
        <v>90</v>
      </c>
      <c r="K13" t="str">
        <f t="shared" si="0"/>
        <v>Отлично</v>
      </c>
      <c r="L13" t="str">
        <f t="shared" si="1"/>
        <v>Часто</v>
      </c>
    </row>
    <row r="14" spans="1:21" x14ac:dyDescent="0.2">
      <c r="A14" t="s">
        <v>117</v>
      </c>
      <c r="B14">
        <v>7</v>
      </c>
      <c r="C14">
        <v>5</v>
      </c>
      <c r="D14">
        <v>1</v>
      </c>
      <c r="E14">
        <v>3</v>
      </c>
      <c r="F14">
        <v>3</v>
      </c>
      <c r="G14">
        <v>0</v>
      </c>
      <c r="H14">
        <v>3</v>
      </c>
      <c r="I14">
        <v>3</v>
      </c>
      <c r="J14" s="8">
        <v>90</v>
      </c>
      <c r="K14" t="str">
        <f t="shared" si="0"/>
        <v>Отлично</v>
      </c>
      <c r="L14" t="str">
        <f t="shared" si="1"/>
        <v>Часто</v>
      </c>
    </row>
    <row r="15" spans="1:21" x14ac:dyDescent="0.2">
      <c r="A15" t="s">
        <v>117</v>
      </c>
      <c r="B15">
        <v>1</v>
      </c>
      <c r="C15">
        <v>1</v>
      </c>
      <c r="D15">
        <v>1</v>
      </c>
      <c r="E15">
        <v>4</v>
      </c>
      <c r="F15">
        <v>2</v>
      </c>
      <c r="G15">
        <v>2</v>
      </c>
      <c r="H15">
        <v>2</v>
      </c>
      <c r="I15">
        <v>2</v>
      </c>
      <c r="J15" s="8">
        <v>42.35</v>
      </c>
      <c r="K15" t="str">
        <f t="shared" si="0"/>
        <v>Средне</v>
      </c>
      <c r="L15" t="str">
        <f t="shared" si="1"/>
        <v>Редко</v>
      </c>
    </row>
    <row r="16" spans="1:21" x14ac:dyDescent="0.2">
      <c r="A16" t="s">
        <v>117</v>
      </c>
      <c r="B16">
        <v>4</v>
      </c>
      <c r="C16">
        <v>2</v>
      </c>
      <c r="D16">
        <v>1</v>
      </c>
      <c r="E16">
        <v>2</v>
      </c>
      <c r="F16">
        <v>2</v>
      </c>
      <c r="G16">
        <v>1</v>
      </c>
      <c r="H16">
        <v>1</v>
      </c>
      <c r="I16">
        <v>2</v>
      </c>
      <c r="J16" s="8">
        <v>42.5</v>
      </c>
      <c r="K16" t="str">
        <f t="shared" si="0"/>
        <v>Средне</v>
      </c>
      <c r="L16" t="str">
        <f t="shared" si="1"/>
        <v>Редко</v>
      </c>
    </row>
    <row r="17" spans="1:12" x14ac:dyDescent="0.2">
      <c r="A17" t="s">
        <v>117</v>
      </c>
      <c r="B17">
        <v>7</v>
      </c>
      <c r="C17">
        <v>5</v>
      </c>
      <c r="D17">
        <v>1</v>
      </c>
      <c r="E17">
        <v>5</v>
      </c>
      <c r="F17">
        <v>4</v>
      </c>
      <c r="G17">
        <v>0</v>
      </c>
      <c r="H17">
        <v>2</v>
      </c>
      <c r="I17">
        <v>1</v>
      </c>
      <c r="J17" s="8">
        <v>90</v>
      </c>
      <c r="K17" t="str">
        <f t="shared" si="0"/>
        <v>Отлично</v>
      </c>
      <c r="L17" t="str">
        <f t="shared" si="1"/>
        <v>Часто</v>
      </c>
    </row>
    <row r="18" spans="1:12" x14ac:dyDescent="0.2">
      <c r="A18" t="s">
        <v>117</v>
      </c>
      <c r="B18">
        <v>7</v>
      </c>
      <c r="C18">
        <v>5</v>
      </c>
      <c r="D18">
        <v>1</v>
      </c>
      <c r="E18">
        <v>4</v>
      </c>
      <c r="F18">
        <v>4</v>
      </c>
      <c r="G18">
        <v>0</v>
      </c>
      <c r="H18">
        <v>1</v>
      </c>
      <c r="I18">
        <v>1</v>
      </c>
      <c r="J18" s="8">
        <v>97</v>
      </c>
      <c r="K18" t="str">
        <f t="shared" si="0"/>
        <v>Отлично</v>
      </c>
      <c r="L18" t="str">
        <f t="shared" si="1"/>
        <v>Часто</v>
      </c>
    </row>
    <row r="19" spans="1:12" x14ac:dyDescent="0.2">
      <c r="A19" t="s">
        <v>116</v>
      </c>
      <c r="B19">
        <v>8</v>
      </c>
      <c r="C19">
        <v>0</v>
      </c>
      <c r="D19">
        <v>0</v>
      </c>
      <c r="E19">
        <v>2</v>
      </c>
      <c r="F19">
        <v>3</v>
      </c>
      <c r="G19">
        <v>1</v>
      </c>
      <c r="H19">
        <v>0</v>
      </c>
      <c r="I19">
        <v>0</v>
      </c>
      <c r="J19" s="8">
        <v>45</v>
      </c>
      <c r="K19" t="str">
        <f t="shared" si="0"/>
        <v>Средне</v>
      </c>
      <c r="L19" t="str">
        <f t="shared" si="1"/>
        <v>Редко</v>
      </c>
    </row>
    <row r="20" spans="1:12" x14ac:dyDescent="0.2">
      <c r="A20" t="s">
        <v>116</v>
      </c>
      <c r="B20">
        <v>1</v>
      </c>
      <c r="C20">
        <v>0</v>
      </c>
      <c r="D20">
        <v>0</v>
      </c>
      <c r="E20">
        <v>4</v>
      </c>
      <c r="F20">
        <v>4</v>
      </c>
      <c r="G20">
        <v>2</v>
      </c>
      <c r="H20">
        <v>0</v>
      </c>
      <c r="I20">
        <v>0</v>
      </c>
      <c r="J20" s="8">
        <v>45</v>
      </c>
      <c r="K20" t="str">
        <f t="shared" si="0"/>
        <v>Средне</v>
      </c>
      <c r="L20" t="str">
        <f t="shared" si="1"/>
        <v>Редко</v>
      </c>
    </row>
    <row r="21" spans="1:12" x14ac:dyDescent="0.2">
      <c r="A21" t="s">
        <v>117</v>
      </c>
      <c r="B21">
        <v>7</v>
      </c>
      <c r="C21">
        <v>5</v>
      </c>
      <c r="D21">
        <v>1</v>
      </c>
      <c r="E21">
        <v>4</v>
      </c>
      <c r="F21">
        <v>4</v>
      </c>
      <c r="G21">
        <v>0</v>
      </c>
      <c r="H21">
        <v>4</v>
      </c>
      <c r="I21">
        <v>3</v>
      </c>
      <c r="J21" s="8">
        <v>97</v>
      </c>
      <c r="K21" t="str">
        <f t="shared" si="0"/>
        <v>Отлично</v>
      </c>
      <c r="L21" t="str">
        <f t="shared" si="1"/>
        <v>Часто</v>
      </c>
    </row>
    <row r="22" spans="1:12" x14ac:dyDescent="0.2">
      <c r="A22" t="s">
        <v>117</v>
      </c>
      <c r="B22">
        <v>9</v>
      </c>
      <c r="C22">
        <v>3</v>
      </c>
      <c r="D22">
        <v>1</v>
      </c>
      <c r="E22">
        <v>6</v>
      </c>
      <c r="F22">
        <v>6</v>
      </c>
      <c r="G22">
        <v>0</v>
      </c>
      <c r="H22">
        <v>2</v>
      </c>
      <c r="I22">
        <v>2</v>
      </c>
      <c r="J22" s="8">
        <v>98.5</v>
      </c>
      <c r="K22" t="str">
        <f t="shared" si="0"/>
        <v>Отлично</v>
      </c>
      <c r="L22" t="str">
        <f t="shared" si="1"/>
        <v>Часто</v>
      </c>
    </row>
    <row r="23" spans="1:12" x14ac:dyDescent="0.2">
      <c r="A23" t="s">
        <v>117</v>
      </c>
      <c r="B23">
        <v>2</v>
      </c>
      <c r="C23">
        <v>0</v>
      </c>
      <c r="D23">
        <v>0</v>
      </c>
      <c r="E23">
        <v>1</v>
      </c>
      <c r="F23">
        <v>2</v>
      </c>
      <c r="G23">
        <v>1</v>
      </c>
      <c r="H23">
        <v>0</v>
      </c>
      <c r="I23">
        <v>0</v>
      </c>
      <c r="J23" s="8">
        <v>45</v>
      </c>
      <c r="K23" t="str">
        <f t="shared" si="0"/>
        <v>Средне</v>
      </c>
      <c r="L23" t="str">
        <f t="shared" si="1"/>
        <v>Редко</v>
      </c>
    </row>
    <row r="24" spans="1:12" x14ac:dyDescent="0.2">
      <c r="A24" t="s">
        <v>117</v>
      </c>
      <c r="B24">
        <v>1</v>
      </c>
      <c r="C24">
        <v>0</v>
      </c>
      <c r="D24">
        <v>0</v>
      </c>
      <c r="E24">
        <v>3</v>
      </c>
      <c r="F24">
        <v>4</v>
      </c>
      <c r="G24">
        <v>3</v>
      </c>
      <c r="H24">
        <v>0</v>
      </c>
      <c r="I24">
        <v>0</v>
      </c>
      <c r="J24" s="8">
        <v>45</v>
      </c>
      <c r="K24" t="str">
        <f t="shared" si="0"/>
        <v>Средне</v>
      </c>
      <c r="L24" t="str">
        <f t="shared" si="1"/>
        <v>Редко</v>
      </c>
    </row>
    <row r="25" spans="1:12" x14ac:dyDescent="0.2">
      <c r="A25" t="s">
        <v>117</v>
      </c>
      <c r="B25">
        <v>1</v>
      </c>
      <c r="C25">
        <v>1</v>
      </c>
      <c r="D25">
        <v>1</v>
      </c>
      <c r="E25">
        <v>3</v>
      </c>
      <c r="F25">
        <v>2</v>
      </c>
      <c r="G25">
        <v>1</v>
      </c>
      <c r="H25">
        <v>2</v>
      </c>
      <c r="I25">
        <v>3</v>
      </c>
      <c r="J25" s="8">
        <v>45</v>
      </c>
      <c r="K25" t="str">
        <f t="shared" si="0"/>
        <v>Средне</v>
      </c>
      <c r="L25" t="str">
        <f t="shared" si="1"/>
        <v>Редко</v>
      </c>
    </row>
    <row r="26" spans="1:12" x14ac:dyDescent="0.2">
      <c r="A26" t="s">
        <v>117</v>
      </c>
      <c r="B26">
        <v>2</v>
      </c>
      <c r="C26">
        <v>1</v>
      </c>
      <c r="D26">
        <v>1</v>
      </c>
      <c r="E26">
        <v>4</v>
      </c>
      <c r="F26">
        <v>4</v>
      </c>
      <c r="G26">
        <v>1</v>
      </c>
      <c r="H26">
        <v>4</v>
      </c>
      <c r="I26">
        <v>4</v>
      </c>
      <c r="J26" s="8">
        <v>45</v>
      </c>
      <c r="K26" t="str">
        <f t="shared" si="0"/>
        <v>Средне</v>
      </c>
      <c r="L26" t="str">
        <f t="shared" si="1"/>
        <v>Редко</v>
      </c>
    </row>
    <row r="27" spans="1:12" x14ac:dyDescent="0.2">
      <c r="A27" t="s">
        <v>117</v>
      </c>
      <c r="B27">
        <v>1</v>
      </c>
      <c r="C27">
        <v>2</v>
      </c>
      <c r="D27">
        <v>1</v>
      </c>
      <c r="E27">
        <v>3</v>
      </c>
      <c r="F27">
        <v>3</v>
      </c>
      <c r="G27">
        <v>1</v>
      </c>
      <c r="H27">
        <v>3</v>
      </c>
      <c r="I27">
        <v>2</v>
      </c>
      <c r="J27" s="8">
        <v>45</v>
      </c>
      <c r="K27" t="str">
        <f t="shared" si="0"/>
        <v>Средне</v>
      </c>
      <c r="L27" t="str">
        <f t="shared" si="1"/>
        <v>Редко</v>
      </c>
    </row>
    <row r="28" spans="1:12" x14ac:dyDescent="0.2">
      <c r="A28" t="s">
        <v>117</v>
      </c>
      <c r="B28">
        <v>3</v>
      </c>
      <c r="C28">
        <v>2</v>
      </c>
      <c r="D28">
        <v>1</v>
      </c>
      <c r="E28">
        <v>3</v>
      </c>
      <c r="F28">
        <v>3</v>
      </c>
      <c r="G28">
        <v>3</v>
      </c>
      <c r="H28">
        <v>1</v>
      </c>
      <c r="I28">
        <v>2</v>
      </c>
      <c r="J28" s="8">
        <v>45</v>
      </c>
      <c r="K28" t="str">
        <f t="shared" si="0"/>
        <v>Средне</v>
      </c>
      <c r="L28" t="str">
        <f t="shared" si="1"/>
        <v>Редко</v>
      </c>
    </row>
    <row r="29" spans="1:12" x14ac:dyDescent="0.2">
      <c r="A29" t="s">
        <v>116</v>
      </c>
      <c r="B29">
        <v>9</v>
      </c>
      <c r="C29">
        <v>4</v>
      </c>
      <c r="D29">
        <v>1</v>
      </c>
      <c r="E29">
        <v>5</v>
      </c>
      <c r="F29">
        <v>5</v>
      </c>
      <c r="G29">
        <v>0</v>
      </c>
      <c r="H29">
        <v>2</v>
      </c>
      <c r="I29">
        <v>2</v>
      </c>
      <c r="J29" s="8">
        <v>100</v>
      </c>
      <c r="K29" t="str">
        <f t="shared" si="0"/>
        <v>Отлично</v>
      </c>
      <c r="L29" t="str">
        <f t="shared" si="1"/>
        <v>Часто</v>
      </c>
    </row>
    <row r="30" spans="1:12" x14ac:dyDescent="0.2">
      <c r="A30" t="s">
        <v>116</v>
      </c>
      <c r="B30">
        <v>9</v>
      </c>
      <c r="C30">
        <v>4</v>
      </c>
      <c r="D30">
        <v>1</v>
      </c>
      <c r="E30">
        <v>5</v>
      </c>
      <c r="F30">
        <v>5</v>
      </c>
      <c r="G30">
        <v>0</v>
      </c>
      <c r="H30">
        <v>3</v>
      </c>
      <c r="I30">
        <v>1</v>
      </c>
      <c r="J30" s="8">
        <v>100</v>
      </c>
      <c r="K30" t="str">
        <f t="shared" si="0"/>
        <v>Отлично</v>
      </c>
      <c r="L30" t="str">
        <f t="shared" si="1"/>
        <v>Часто</v>
      </c>
    </row>
    <row r="31" spans="1:12" x14ac:dyDescent="0.2">
      <c r="A31" t="s">
        <v>116</v>
      </c>
      <c r="B31">
        <v>9</v>
      </c>
      <c r="C31">
        <v>5</v>
      </c>
      <c r="D31">
        <v>1</v>
      </c>
      <c r="E31">
        <v>3</v>
      </c>
      <c r="F31">
        <v>4</v>
      </c>
      <c r="G31">
        <v>0</v>
      </c>
      <c r="H31">
        <v>1</v>
      </c>
      <c r="I31">
        <v>1</v>
      </c>
      <c r="J31" s="8">
        <v>100</v>
      </c>
      <c r="K31" t="str">
        <f t="shared" si="0"/>
        <v>Отлично</v>
      </c>
      <c r="L31" t="str">
        <f t="shared" si="1"/>
        <v>Часто</v>
      </c>
    </row>
    <row r="32" spans="1:12" x14ac:dyDescent="0.2">
      <c r="A32" t="s">
        <v>117</v>
      </c>
      <c r="B32">
        <v>10</v>
      </c>
      <c r="C32">
        <v>0</v>
      </c>
      <c r="D32">
        <v>0</v>
      </c>
      <c r="E32">
        <v>3</v>
      </c>
      <c r="F32">
        <v>2</v>
      </c>
      <c r="G32">
        <v>1</v>
      </c>
      <c r="H32">
        <v>0</v>
      </c>
      <c r="I32">
        <v>0</v>
      </c>
      <c r="J32" s="8">
        <v>46.5</v>
      </c>
      <c r="K32" t="str">
        <f t="shared" si="0"/>
        <v>Средне</v>
      </c>
      <c r="L32" t="str">
        <f t="shared" si="1"/>
        <v>Редко</v>
      </c>
    </row>
    <row r="33" spans="1:12" x14ac:dyDescent="0.2">
      <c r="A33" t="s">
        <v>116</v>
      </c>
      <c r="B33">
        <v>9</v>
      </c>
      <c r="C33">
        <v>5</v>
      </c>
      <c r="D33">
        <v>1</v>
      </c>
      <c r="E33">
        <v>4</v>
      </c>
      <c r="F33">
        <v>4</v>
      </c>
      <c r="G33">
        <v>0</v>
      </c>
      <c r="H33">
        <v>1</v>
      </c>
      <c r="I33">
        <v>1</v>
      </c>
      <c r="J33" s="8">
        <v>100</v>
      </c>
      <c r="K33" t="str">
        <f t="shared" si="0"/>
        <v>Отлично</v>
      </c>
      <c r="L33" t="str">
        <f t="shared" si="1"/>
        <v>Часто</v>
      </c>
    </row>
    <row r="34" spans="1:12" x14ac:dyDescent="0.2">
      <c r="A34" t="s">
        <v>116</v>
      </c>
      <c r="B34">
        <v>7</v>
      </c>
      <c r="C34">
        <v>5</v>
      </c>
      <c r="D34">
        <v>1</v>
      </c>
      <c r="E34">
        <v>5</v>
      </c>
      <c r="F34">
        <v>4</v>
      </c>
      <c r="G34">
        <v>0</v>
      </c>
      <c r="H34">
        <v>2</v>
      </c>
      <c r="I34">
        <v>3</v>
      </c>
      <c r="J34" s="8">
        <v>100</v>
      </c>
      <c r="K34" t="str">
        <f t="shared" si="0"/>
        <v>Отлично</v>
      </c>
      <c r="L34" t="str">
        <f t="shared" si="1"/>
        <v>Часто</v>
      </c>
    </row>
    <row r="35" spans="1:12" x14ac:dyDescent="0.2">
      <c r="A35" t="s">
        <v>116</v>
      </c>
      <c r="B35">
        <v>8</v>
      </c>
      <c r="C35">
        <v>0</v>
      </c>
      <c r="D35">
        <v>0</v>
      </c>
      <c r="E35">
        <v>2</v>
      </c>
      <c r="F35">
        <v>3</v>
      </c>
      <c r="G35">
        <v>1</v>
      </c>
      <c r="H35">
        <v>0</v>
      </c>
      <c r="I35">
        <v>0</v>
      </c>
      <c r="J35" s="8">
        <v>50</v>
      </c>
      <c r="K35" t="str">
        <f t="shared" si="0"/>
        <v>Средне</v>
      </c>
      <c r="L35" t="str">
        <f t="shared" si="1"/>
        <v>Редко</v>
      </c>
    </row>
    <row r="36" spans="1:12" x14ac:dyDescent="0.2">
      <c r="A36" t="s">
        <v>116</v>
      </c>
      <c r="B36">
        <v>4</v>
      </c>
      <c r="C36">
        <v>0</v>
      </c>
      <c r="D36">
        <v>0</v>
      </c>
      <c r="E36">
        <v>2</v>
      </c>
      <c r="F36">
        <v>4</v>
      </c>
      <c r="G36">
        <v>1</v>
      </c>
      <c r="H36">
        <v>0</v>
      </c>
      <c r="I36">
        <v>0</v>
      </c>
      <c r="J36" s="8">
        <v>50</v>
      </c>
      <c r="K36" t="str">
        <f t="shared" si="0"/>
        <v>Средне</v>
      </c>
      <c r="L36" t="str">
        <f t="shared" si="1"/>
        <v>Редко</v>
      </c>
    </row>
    <row r="37" spans="1:12" x14ac:dyDescent="0.2">
      <c r="A37" t="s">
        <v>116</v>
      </c>
      <c r="B37">
        <v>3</v>
      </c>
      <c r="C37">
        <v>0</v>
      </c>
      <c r="D37">
        <v>0</v>
      </c>
      <c r="E37">
        <v>2</v>
      </c>
      <c r="F37">
        <v>3</v>
      </c>
      <c r="G37">
        <v>3</v>
      </c>
      <c r="H37">
        <v>0</v>
      </c>
      <c r="I37">
        <v>0</v>
      </c>
      <c r="J37" s="8">
        <v>50</v>
      </c>
      <c r="K37" t="str">
        <f t="shared" si="0"/>
        <v>Средне</v>
      </c>
      <c r="L37" t="str">
        <f t="shared" si="1"/>
        <v>Редко</v>
      </c>
    </row>
    <row r="38" spans="1:12" x14ac:dyDescent="0.2">
      <c r="A38" t="s">
        <v>116</v>
      </c>
      <c r="B38">
        <v>1</v>
      </c>
      <c r="C38">
        <v>0</v>
      </c>
      <c r="D38">
        <v>0</v>
      </c>
      <c r="E38">
        <v>5</v>
      </c>
      <c r="F38">
        <v>3</v>
      </c>
      <c r="G38">
        <v>2</v>
      </c>
      <c r="H38">
        <v>0</v>
      </c>
      <c r="I38">
        <v>0</v>
      </c>
      <c r="J38" s="8">
        <v>50</v>
      </c>
      <c r="K38" t="str">
        <f t="shared" si="0"/>
        <v>Средне</v>
      </c>
      <c r="L38" t="str">
        <f t="shared" si="1"/>
        <v>Редко</v>
      </c>
    </row>
    <row r="39" spans="1:12" x14ac:dyDescent="0.2">
      <c r="A39" t="s">
        <v>116</v>
      </c>
      <c r="B39">
        <v>1</v>
      </c>
      <c r="C39">
        <v>2</v>
      </c>
      <c r="D39">
        <v>1</v>
      </c>
      <c r="E39">
        <v>3</v>
      </c>
      <c r="F39">
        <v>5</v>
      </c>
      <c r="G39">
        <v>2</v>
      </c>
      <c r="H39">
        <v>1</v>
      </c>
      <c r="I39">
        <v>1</v>
      </c>
      <c r="J39" s="8">
        <v>50</v>
      </c>
      <c r="K39" t="str">
        <f t="shared" si="0"/>
        <v>Средне</v>
      </c>
      <c r="L39" t="str">
        <f t="shared" si="1"/>
        <v>Редко</v>
      </c>
    </row>
    <row r="40" spans="1:12" x14ac:dyDescent="0.2">
      <c r="A40" t="s">
        <v>116</v>
      </c>
      <c r="B40">
        <v>3</v>
      </c>
      <c r="C40">
        <v>2</v>
      </c>
      <c r="D40">
        <v>1</v>
      </c>
      <c r="E40">
        <v>4</v>
      </c>
      <c r="F40">
        <v>5</v>
      </c>
      <c r="G40">
        <v>1</v>
      </c>
      <c r="H40">
        <v>3</v>
      </c>
      <c r="I40">
        <v>1</v>
      </c>
      <c r="J40" s="8">
        <v>50</v>
      </c>
      <c r="K40" t="str">
        <f t="shared" si="0"/>
        <v>Средне</v>
      </c>
      <c r="L40" t="str">
        <f t="shared" si="1"/>
        <v>Редко</v>
      </c>
    </row>
    <row r="41" spans="1:12" x14ac:dyDescent="0.2">
      <c r="A41" t="s">
        <v>116</v>
      </c>
      <c r="B41">
        <v>7</v>
      </c>
      <c r="C41">
        <v>5</v>
      </c>
      <c r="D41">
        <v>1</v>
      </c>
      <c r="E41">
        <v>5</v>
      </c>
      <c r="F41">
        <v>5</v>
      </c>
      <c r="G41">
        <v>0</v>
      </c>
      <c r="H41">
        <v>4</v>
      </c>
      <c r="I41">
        <v>1</v>
      </c>
      <c r="J41" s="8">
        <v>100</v>
      </c>
      <c r="K41" t="str">
        <f t="shared" si="0"/>
        <v>Отлично</v>
      </c>
      <c r="L41" t="str">
        <f t="shared" si="1"/>
        <v>Часто</v>
      </c>
    </row>
    <row r="42" spans="1:12" x14ac:dyDescent="0.2">
      <c r="A42" t="s">
        <v>116</v>
      </c>
      <c r="B42">
        <v>9</v>
      </c>
      <c r="C42">
        <v>5</v>
      </c>
      <c r="D42">
        <v>1</v>
      </c>
      <c r="E42">
        <v>6</v>
      </c>
      <c r="F42">
        <v>6</v>
      </c>
      <c r="G42">
        <v>0</v>
      </c>
      <c r="H42">
        <v>2</v>
      </c>
      <c r="I42">
        <v>2</v>
      </c>
      <c r="J42" s="8">
        <v>100</v>
      </c>
      <c r="K42" t="str">
        <f t="shared" si="0"/>
        <v>Отлично</v>
      </c>
      <c r="L42" t="str">
        <f t="shared" si="1"/>
        <v>Часто</v>
      </c>
    </row>
    <row r="43" spans="1:12" x14ac:dyDescent="0.2">
      <c r="A43" t="s">
        <v>117</v>
      </c>
      <c r="B43">
        <v>7</v>
      </c>
      <c r="C43">
        <v>3</v>
      </c>
      <c r="D43">
        <v>1</v>
      </c>
      <c r="E43">
        <v>2</v>
      </c>
      <c r="F43">
        <v>2</v>
      </c>
      <c r="G43">
        <v>0</v>
      </c>
      <c r="H43">
        <v>1</v>
      </c>
      <c r="I43">
        <v>1</v>
      </c>
      <c r="J43" s="8">
        <v>100</v>
      </c>
      <c r="K43" t="str">
        <f t="shared" si="0"/>
        <v>Отлично</v>
      </c>
      <c r="L43" t="str">
        <f t="shared" si="1"/>
        <v>Часто</v>
      </c>
    </row>
    <row r="44" spans="1:12" x14ac:dyDescent="0.2">
      <c r="A44" t="s">
        <v>117</v>
      </c>
      <c r="B44">
        <v>9</v>
      </c>
      <c r="C44">
        <v>3</v>
      </c>
      <c r="D44">
        <v>1</v>
      </c>
      <c r="E44">
        <v>4</v>
      </c>
      <c r="F44">
        <v>4</v>
      </c>
      <c r="G44">
        <v>0</v>
      </c>
      <c r="H44">
        <v>1</v>
      </c>
      <c r="I44">
        <v>1</v>
      </c>
      <c r="J44" s="8">
        <v>100</v>
      </c>
      <c r="K44" t="str">
        <f t="shared" si="0"/>
        <v>Отлично</v>
      </c>
      <c r="L44" t="str">
        <f t="shared" si="1"/>
        <v>Часто</v>
      </c>
    </row>
    <row r="45" spans="1:12" x14ac:dyDescent="0.2">
      <c r="A45" t="s">
        <v>117</v>
      </c>
      <c r="B45">
        <v>7</v>
      </c>
      <c r="C45">
        <v>4</v>
      </c>
      <c r="D45">
        <v>1</v>
      </c>
      <c r="E45">
        <v>4</v>
      </c>
      <c r="F45">
        <v>4</v>
      </c>
      <c r="G45">
        <v>0</v>
      </c>
      <c r="H45">
        <v>1</v>
      </c>
      <c r="I45">
        <v>2</v>
      </c>
      <c r="J45" s="8">
        <v>100</v>
      </c>
      <c r="K45" t="str">
        <f t="shared" si="0"/>
        <v>Отлично</v>
      </c>
      <c r="L45" t="str">
        <f t="shared" si="1"/>
        <v>Часто</v>
      </c>
    </row>
    <row r="46" spans="1:12" x14ac:dyDescent="0.2">
      <c r="A46" t="s">
        <v>117</v>
      </c>
      <c r="B46">
        <v>7</v>
      </c>
      <c r="C46">
        <v>4</v>
      </c>
      <c r="D46">
        <v>1</v>
      </c>
      <c r="E46">
        <v>5</v>
      </c>
      <c r="F46">
        <v>5</v>
      </c>
      <c r="G46">
        <v>0</v>
      </c>
      <c r="H46">
        <v>1</v>
      </c>
      <c r="I46">
        <v>1</v>
      </c>
      <c r="J46" s="8">
        <v>100</v>
      </c>
      <c r="K46" t="str">
        <f t="shared" si="0"/>
        <v>Отлично</v>
      </c>
      <c r="L46" t="str">
        <f t="shared" si="1"/>
        <v>Часто</v>
      </c>
    </row>
    <row r="47" spans="1:12" x14ac:dyDescent="0.2">
      <c r="A47" t="s">
        <v>117</v>
      </c>
      <c r="B47">
        <v>9</v>
      </c>
      <c r="C47">
        <v>4</v>
      </c>
      <c r="D47">
        <v>1</v>
      </c>
      <c r="E47">
        <v>5</v>
      </c>
      <c r="F47">
        <v>5</v>
      </c>
      <c r="G47">
        <v>0</v>
      </c>
      <c r="H47">
        <v>1</v>
      </c>
      <c r="I47">
        <v>1</v>
      </c>
      <c r="J47" s="8">
        <v>100</v>
      </c>
      <c r="K47" t="str">
        <f t="shared" si="0"/>
        <v>Отлично</v>
      </c>
      <c r="L47" t="str">
        <f t="shared" si="1"/>
        <v>Часто</v>
      </c>
    </row>
    <row r="48" spans="1:12" x14ac:dyDescent="0.2">
      <c r="A48" t="s">
        <v>117</v>
      </c>
      <c r="B48">
        <v>3</v>
      </c>
      <c r="C48">
        <v>0</v>
      </c>
      <c r="D48">
        <v>0</v>
      </c>
      <c r="E48">
        <v>1</v>
      </c>
      <c r="F48">
        <v>3</v>
      </c>
      <c r="G48">
        <v>2</v>
      </c>
      <c r="H48">
        <v>0</v>
      </c>
      <c r="I48">
        <v>0</v>
      </c>
      <c r="J48" s="8">
        <v>50</v>
      </c>
      <c r="K48" t="str">
        <f t="shared" si="0"/>
        <v>Средне</v>
      </c>
      <c r="L48" t="str">
        <f t="shared" si="1"/>
        <v>Редко</v>
      </c>
    </row>
    <row r="49" spans="1:12" x14ac:dyDescent="0.2">
      <c r="A49" t="s">
        <v>117</v>
      </c>
      <c r="B49">
        <v>8</v>
      </c>
      <c r="C49">
        <v>0</v>
      </c>
      <c r="D49">
        <v>0</v>
      </c>
      <c r="E49">
        <v>2</v>
      </c>
      <c r="F49">
        <v>4</v>
      </c>
      <c r="G49">
        <v>2</v>
      </c>
      <c r="H49">
        <v>0</v>
      </c>
      <c r="I49">
        <v>0</v>
      </c>
      <c r="J49" s="8">
        <v>50</v>
      </c>
      <c r="K49" t="str">
        <f t="shared" si="0"/>
        <v>Средне</v>
      </c>
      <c r="L49" t="str">
        <f t="shared" si="1"/>
        <v>Редко</v>
      </c>
    </row>
    <row r="50" spans="1:12" x14ac:dyDescent="0.2">
      <c r="A50" t="s">
        <v>117</v>
      </c>
      <c r="B50">
        <v>2</v>
      </c>
      <c r="C50">
        <v>1</v>
      </c>
      <c r="D50">
        <v>1</v>
      </c>
      <c r="E50">
        <v>2</v>
      </c>
      <c r="F50">
        <v>2</v>
      </c>
      <c r="G50">
        <v>2</v>
      </c>
      <c r="H50">
        <v>3</v>
      </c>
      <c r="I50">
        <v>5</v>
      </c>
      <c r="J50" s="8">
        <v>50</v>
      </c>
      <c r="K50" t="str">
        <f t="shared" si="0"/>
        <v>Средне</v>
      </c>
      <c r="L50" t="str">
        <f t="shared" si="1"/>
        <v>Редко</v>
      </c>
    </row>
    <row r="51" spans="1:12" x14ac:dyDescent="0.2">
      <c r="A51" t="s">
        <v>117</v>
      </c>
      <c r="B51">
        <v>1</v>
      </c>
      <c r="C51">
        <v>1</v>
      </c>
      <c r="D51">
        <v>1</v>
      </c>
      <c r="E51">
        <v>2</v>
      </c>
      <c r="F51">
        <v>2</v>
      </c>
      <c r="G51">
        <v>2</v>
      </c>
      <c r="H51">
        <v>4</v>
      </c>
      <c r="I51">
        <v>5</v>
      </c>
      <c r="J51" s="8">
        <v>50</v>
      </c>
      <c r="K51" t="str">
        <f t="shared" si="0"/>
        <v>Средне</v>
      </c>
      <c r="L51" t="str">
        <f t="shared" si="1"/>
        <v>Редко</v>
      </c>
    </row>
    <row r="52" spans="1:12" x14ac:dyDescent="0.2">
      <c r="A52" t="s">
        <v>117</v>
      </c>
      <c r="B52">
        <v>4</v>
      </c>
      <c r="C52">
        <v>1</v>
      </c>
      <c r="D52">
        <v>1</v>
      </c>
      <c r="E52">
        <v>4</v>
      </c>
      <c r="F52">
        <v>4</v>
      </c>
      <c r="G52">
        <v>1</v>
      </c>
      <c r="H52">
        <v>1</v>
      </c>
      <c r="I52">
        <v>3</v>
      </c>
      <c r="J52" s="8">
        <v>50</v>
      </c>
      <c r="K52" t="str">
        <f t="shared" si="0"/>
        <v>Средне</v>
      </c>
      <c r="L52" t="str">
        <f t="shared" si="1"/>
        <v>Редко</v>
      </c>
    </row>
    <row r="53" spans="1:12" x14ac:dyDescent="0.2">
      <c r="A53" t="s">
        <v>117</v>
      </c>
      <c r="B53">
        <v>1</v>
      </c>
      <c r="C53">
        <v>1</v>
      </c>
      <c r="D53">
        <v>1</v>
      </c>
      <c r="E53">
        <v>4</v>
      </c>
      <c r="F53">
        <v>4</v>
      </c>
      <c r="G53">
        <v>1</v>
      </c>
      <c r="H53">
        <v>4</v>
      </c>
      <c r="I53">
        <v>4</v>
      </c>
      <c r="J53" s="8">
        <v>50</v>
      </c>
      <c r="K53" t="str">
        <f t="shared" si="0"/>
        <v>Средне</v>
      </c>
      <c r="L53" t="str">
        <f t="shared" si="1"/>
        <v>Редко</v>
      </c>
    </row>
    <row r="54" spans="1:12" x14ac:dyDescent="0.2">
      <c r="A54" t="s">
        <v>117</v>
      </c>
      <c r="B54">
        <v>1</v>
      </c>
      <c r="C54">
        <v>1</v>
      </c>
      <c r="D54">
        <v>1</v>
      </c>
      <c r="E54">
        <v>4</v>
      </c>
      <c r="F54">
        <v>4</v>
      </c>
      <c r="G54">
        <v>1</v>
      </c>
      <c r="H54">
        <v>4</v>
      </c>
      <c r="I54">
        <v>3</v>
      </c>
      <c r="J54" s="8">
        <v>50</v>
      </c>
      <c r="K54" t="str">
        <f t="shared" si="0"/>
        <v>Средне</v>
      </c>
      <c r="L54" t="str">
        <f t="shared" si="1"/>
        <v>Редко</v>
      </c>
    </row>
    <row r="55" spans="1:12" x14ac:dyDescent="0.2">
      <c r="A55" t="s">
        <v>117</v>
      </c>
      <c r="B55">
        <v>4</v>
      </c>
      <c r="C55">
        <v>1</v>
      </c>
      <c r="D55">
        <v>1</v>
      </c>
      <c r="E55">
        <v>4</v>
      </c>
      <c r="F55">
        <v>4</v>
      </c>
      <c r="G55">
        <v>2</v>
      </c>
      <c r="H55">
        <v>1</v>
      </c>
      <c r="I55">
        <v>2</v>
      </c>
      <c r="J55" s="8">
        <v>50</v>
      </c>
      <c r="K55" t="str">
        <f t="shared" si="0"/>
        <v>Средне</v>
      </c>
      <c r="L55" t="str">
        <f t="shared" si="1"/>
        <v>Редко</v>
      </c>
    </row>
    <row r="56" spans="1:12" x14ac:dyDescent="0.2">
      <c r="A56" t="s">
        <v>117</v>
      </c>
      <c r="B56">
        <v>8</v>
      </c>
      <c r="C56">
        <v>1</v>
      </c>
      <c r="D56">
        <v>1</v>
      </c>
      <c r="E56">
        <v>4</v>
      </c>
      <c r="F56">
        <v>4</v>
      </c>
      <c r="G56">
        <v>2</v>
      </c>
      <c r="H56">
        <v>2</v>
      </c>
      <c r="I56">
        <v>2</v>
      </c>
      <c r="J56" s="8">
        <v>50</v>
      </c>
      <c r="K56" t="str">
        <f t="shared" si="0"/>
        <v>Средне</v>
      </c>
      <c r="L56" t="str">
        <f t="shared" si="1"/>
        <v>Редко</v>
      </c>
    </row>
    <row r="57" spans="1:12" x14ac:dyDescent="0.2">
      <c r="A57" t="s">
        <v>117</v>
      </c>
      <c r="B57">
        <v>4</v>
      </c>
      <c r="C57">
        <v>1</v>
      </c>
      <c r="D57">
        <v>1</v>
      </c>
      <c r="E57">
        <v>4</v>
      </c>
      <c r="F57">
        <v>4</v>
      </c>
      <c r="G57">
        <v>2</v>
      </c>
      <c r="H57">
        <v>4</v>
      </c>
      <c r="I57">
        <v>4</v>
      </c>
      <c r="J57" s="8">
        <v>50</v>
      </c>
      <c r="K57" t="str">
        <f t="shared" si="0"/>
        <v>Средне</v>
      </c>
      <c r="L57" t="str">
        <f t="shared" si="1"/>
        <v>Редко</v>
      </c>
    </row>
    <row r="58" spans="1:12" x14ac:dyDescent="0.2">
      <c r="A58" t="s">
        <v>117</v>
      </c>
      <c r="B58">
        <v>1</v>
      </c>
      <c r="C58">
        <v>2</v>
      </c>
      <c r="D58">
        <v>1</v>
      </c>
      <c r="E58">
        <v>1</v>
      </c>
      <c r="F58">
        <v>2</v>
      </c>
      <c r="G58">
        <v>2</v>
      </c>
      <c r="H58">
        <v>2</v>
      </c>
      <c r="I58">
        <v>5</v>
      </c>
      <c r="J58" s="8">
        <v>50</v>
      </c>
      <c r="K58" t="str">
        <f t="shared" si="0"/>
        <v>Средне</v>
      </c>
      <c r="L58" t="str">
        <f t="shared" si="1"/>
        <v>Редко</v>
      </c>
    </row>
    <row r="59" spans="1:12" x14ac:dyDescent="0.2">
      <c r="A59" t="s">
        <v>117</v>
      </c>
      <c r="B59">
        <v>8</v>
      </c>
      <c r="C59">
        <v>2</v>
      </c>
      <c r="D59">
        <v>1</v>
      </c>
      <c r="E59">
        <v>2</v>
      </c>
      <c r="F59">
        <v>3</v>
      </c>
      <c r="G59">
        <v>1</v>
      </c>
      <c r="H59">
        <v>1</v>
      </c>
      <c r="I59">
        <v>2</v>
      </c>
      <c r="J59" s="8">
        <v>50</v>
      </c>
      <c r="K59" t="str">
        <f t="shared" si="0"/>
        <v>Средне</v>
      </c>
      <c r="L59" t="str">
        <f t="shared" si="1"/>
        <v>Редко</v>
      </c>
    </row>
    <row r="60" spans="1:12" x14ac:dyDescent="0.2">
      <c r="A60" t="s">
        <v>117</v>
      </c>
      <c r="B60">
        <v>8</v>
      </c>
      <c r="C60">
        <v>2</v>
      </c>
      <c r="D60">
        <v>1</v>
      </c>
      <c r="E60">
        <v>5</v>
      </c>
      <c r="F60">
        <v>5</v>
      </c>
      <c r="G60">
        <v>3</v>
      </c>
      <c r="H60">
        <v>2</v>
      </c>
      <c r="I60">
        <v>2</v>
      </c>
      <c r="J60" s="8">
        <v>50</v>
      </c>
      <c r="K60" t="str">
        <f t="shared" si="0"/>
        <v>Средне</v>
      </c>
      <c r="L60" t="str">
        <f t="shared" si="1"/>
        <v>Редко</v>
      </c>
    </row>
    <row r="61" spans="1:12" x14ac:dyDescent="0.2">
      <c r="A61" t="s">
        <v>117</v>
      </c>
      <c r="B61">
        <v>7</v>
      </c>
      <c r="C61">
        <v>4</v>
      </c>
      <c r="D61">
        <v>1</v>
      </c>
      <c r="E61">
        <v>5</v>
      </c>
      <c r="F61">
        <v>5</v>
      </c>
      <c r="G61">
        <v>0</v>
      </c>
      <c r="H61">
        <v>2</v>
      </c>
      <c r="I61">
        <v>3</v>
      </c>
      <c r="J61" s="8">
        <v>100</v>
      </c>
      <c r="K61" t="str">
        <f t="shared" si="0"/>
        <v>Отлично</v>
      </c>
      <c r="L61" t="str">
        <f t="shared" si="1"/>
        <v>Часто</v>
      </c>
    </row>
    <row r="62" spans="1:12" x14ac:dyDescent="0.2">
      <c r="A62" t="s">
        <v>117</v>
      </c>
      <c r="B62">
        <v>7</v>
      </c>
      <c r="C62">
        <v>4</v>
      </c>
      <c r="D62">
        <v>1</v>
      </c>
      <c r="E62">
        <v>5</v>
      </c>
      <c r="F62">
        <v>5</v>
      </c>
      <c r="G62">
        <v>0</v>
      </c>
      <c r="H62">
        <v>3</v>
      </c>
      <c r="I62">
        <v>3</v>
      </c>
      <c r="J62" s="8">
        <v>100</v>
      </c>
      <c r="K62" t="str">
        <f t="shared" si="0"/>
        <v>Отлично</v>
      </c>
      <c r="L62" t="str">
        <f t="shared" si="1"/>
        <v>Часто</v>
      </c>
    </row>
    <row r="63" spans="1:12" x14ac:dyDescent="0.2">
      <c r="A63" t="s">
        <v>117</v>
      </c>
      <c r="B63">
        <v>9</v>
      </c>
      <c r="C63">
        <v>4</v>
      </c>
      <c r="D63">
        <v>1</v>
      </c>
      <c r="E63">
        <v>5</v>
      </c>
      <c r="F63">
        <v>5</v>
      </c>
      <c r="G63">
        <v>0</v>
      </c>
      <c r="H63">
        <v>4</v>
      </c>
      <c r="I63">
        <v>3</v>
      </c>
      <c r="J63" s="8">
        <v>100</v>
      </c>
      <c r="K63" t="str">
        <f t="shared" si="0"/>
        <v>Отлично</v>
      </c>
      <c r="L63" t="str">
        <f t="shared" si="1"/>
        <v>Часто</v>
      </c>
    </row>
    <row r="64" spans="1:12" x14ac:dyDescent="0.2">
      <c r="A64" t="s">
        <v>117</v>
      </c>
      <c r="B64">
        <v>7</v>
      </c>
      <c r="C64">
        <v>4</v>
      </c>
      <c r="D64">
        <v>1</v>
      </c>
      <c r="E64">
        <v>6</v>
      </c>
      <c r="F64">
        <v>6</v>
      </c>
      <c r="G64">
        <v>0</v>
      </c>
      <c r="H64">
        <v>1</v>
      </c>
      <c r="I64">
        <v>1</v>
      </c>
      <c r="J64" s="8">
        <v>100</v>
      </c>
      <c r="K64" t="str">
        <f t="shared" si="0"/>
        <v>Отлично</v>
      </c>
      <c r="L64" t="str">
        <f t="shared" si="1"/>
        <v>Часто</v>
      </c>
    </row>
    <row r="65" spans="1:12" x14ac:dyDescent="0.2">
      <c r="A65" t="s">
        <v>117</v>
      </c>
      <c r="B65">
        <v>7</v>
      </c>
      <c r="C65">
        <v>5</v>
      </c>
      <c r="D65">
        <v>1</v>
      </c>
      <c r="E65">
        <v>2</v>
      </c>
      <c r="F65">
        <v>3</v>
      </c>
      <c r="G65">
        <v>0</v>
      </c>
      <c r="H65">
        <v>1</v>
      </c>
      <c r="I65">
        <v>1</v>
      </c>
      <c r="J65" s="8">
        <v>100</v>
      </c>
      <c r="K65" t="str">
        <f t="shared" si="0"/>
        <v>Отлично</v>
      </c>
      <c r="L65" t="str">
        <f t="shared" si="1"/>
        <v>Часто</v>
      </c>
    </row>
    <row r="66" spans="1:12" x14ac:dyDescent="0.2">
      <c r="A66" t="s">
        <v>117</v>
      </c>
      <c r="B66">
        <v>7</v>
      </c>
      <c r="C66">
        <v>5</v>
      </c>
      <c r="D66">
        <v>1</v>
      </c>
      <c r="E66">
        <v>4</v>
      </c>
      <c r="F66">
        <v>4</v>
      </c>
      <c r="G66">
        <v>0</v>
      </c>
      <c r="H66">
        <v>4</v>
      </c>
      <c r="I66">
        <v>3</v>
      </c>
      <c r="J66" s="8">
        <v>100</v>
      </c>
      <c r="K66" t="str">
        <f t="shared" si="0"/>
        <v>Отлично</v>
      </c>
      <c r="L66" t="str">
        <f t="shared" si="1"/>
        <v>Часто</v>
      </c>
    </row>
    <row r="67" spans="1:12" x14ac:dyDescent="0.2">
      <c r="A67" t="s">
        <v>117</v>
      </c>
      <c r="B67">
        <v>7</v>
      </c>
      <c r="C67">
        <v>5</v>
      </c>
      <c r="D67">
        <v>1</v>
      </c>
      <c r="E67">
        <v>5</v>
      </c>
      <c r="F67">
        <v>5</v>
      </c>
      <c r="G67">
        <v>0</v>
      </c>
      <c r="H67">
        <v>1</v>
      </c>
      <c r="I67">
        <v>1</v>
      </c>
      <c r="J67" s="8">
        <v>100</v>
      </c>
      <c r="K67" t="str">
        <f t="shared" ref="K67:K130" si="2">IF(J67&gt;20,IF(J67&gt;40,IF(J67&gt;60,IF(J67&gt;80,"Отлично","Хорошо"),"Средне"),"Плохо"),"Ужасно")</f>
        <v>Отлично</v>
      </c>
      <c r="L67" t="str">
        <f t="shared" ref="L67:L130" si="3">IF(C67&gt;2,"Часто","Редко")</f>
        <v>Часто</v>
      </c>
    </row>
    <row r="68" spans="1:12" x14ac:dyDescent="0.2">
      <c r="A68" t="s">
        <v>117</v>
      </c>
      <c r="B68">
        <v>7</v>
      </c>
      <c r="C68">
        <v>5</v>
      </c>
      <c r="D68">
        <v>1</v>
      </c>
      <c r="E68">
        <v>5</v>
      </c>
      <c r="F68">
        <v>5</v>
      </c>
      <c r="G68">
        <v>0</v>
      </c>
      <c r="H68">
        <v>3</v>
      </c>
      <c r="I68">
        <v>1</v>
      </c>
      <c r="J68" s="8">
        <v>100</v>
      </c>
      <c r="K68" t="str">
        <f t="shared" si="2"/>
        <v>Отлично</v>
      </c>
      <c r="L68" t="str">
        <f t="shared" si="3"/>
        <v>Часто</v>
      </c>
    </row>
    <row r="69" spans="1:12" x14ac:dyDescent="0.2">
      <c r="A69" t="s">
        <v>117</v>
      </c>
      <c r="B69">
        <v>9</v>
      </c>
      <c r="C69">
        <v>5</v>
      </c>
      <c r="D69">
        <v>1</v>
      </c>
      <c r="E69">
        <v>5</v>
      </c>
      <c r="F69">
        <v>5</v>
      </c>
      <c r="G69">
        <v>0</v>
      </c>
      <c r="H69">
        <v>3</v>
      </c>
      <c r="I69">
        <v>1</v>
      </c>
      <c r="J69" s="8">
        <v>100</v>
      </c>
      <c r="K69" t="str">
        <f t="shared" si="2"/>
        <v>Отлично</v>
      </c>
      <c r="L69" t="str">
        <f t="shared" si="3"/>
        <v>Часто</v>
      </c>
    </row>
    <row r="70" spans="1:12" x14ac:dyDescent="0.2">
      <c r="A70" t="s">
        <v>117</v>
      </c>
      <c r="B70">
        <v>9</v>
      </c>
      <c r="C70">
        <v>5</v>
      </c>
      <c r="D70">
        <v>1</v>
      </c>
      <c r="E70">
        <v>5</v>
      </c>
      <c r="F70">
        <v>5</v>
      </c>
      <c r="G70">
        <v>0</v>
      </c>
      <c r="H70">
        <v>4</v>
      </c>
      <c r="I70">
        <v>3</v>
      </c>
      <c r="J70" s="8">
        <v>100</v>
      </c>
      <c r="K70" t="str">
        <f t="shared" si="2"/>
        <v>Отлично</v>
      </c>
      <c r="L70" t="str">
        <f t="shared" si="3"/>
        <v>Часто</v>
      </c>
    </row>
    <row r="71" spans="1:12" x14ac:dyDescent="0.2">
      <c r="A71" t="s">
        <v>117</v>
      </c>
      <c r="B71">
        <v>9</v>
      </c>
      <c r="C71">
        <v>5</v>
      </c>
      <c r="D71">
        <v>1</v>
      </c>
      <c r="E71">
        <v>6</v>
      </c>
      <c r="F71">
        <v>5</v>
      </c>
      <c r="G71">
        <v>0</v>
      </c>
      <c r="H71">
        <v>4</v>
      </c>
      <c r="I71">
        <v>5</v>
      </c>
      <c r="J71" s="8">
        <v>100</v>
      </c>
      <c r="K71" t="str">
        <f t="shared" si="2"/>
        <v>Отлично</v>
      </c>
      <c r="L71" t="str">
        <f t="shared" si="3"/>
        <v>Часто</v>
      </c>
    </row>
    <row r="72" spans="1:12" x14ac:dyDescent="0.2">
      <c r="A72" t="s">
        <v>117</v>
      </c>
      <c r="B72">
        <v>8</v>
      </c>
      <c r="C72">
        <v>5</v>
      </c>
      <c r="D72">
        <v>1</v>
      </c>
      <c r="E72">
        <v>2</v>
      </c>
      <c r="F72">
        <v>2</v>
      </c>
      <c r="G72">
        <v>1</v>
      </c>
      <c r="H72">
        <v>2</v>
      </c>
      <c r="I72">
        <v>1</v>
      </c>
      <c r="J72" s="8">
        <v>33</v>
      </c>
      <c r="K72" t="str">
        <f t="shared" si="2"/>
        <v>Плохо</v>
      </c>
      <c r="L72" t="str">
        <f t="shared" si="3"/>
        <v>Часто</v>
      </c>
    </row>
    <row r="73" spans="1:12" x14ac:dyDescent="0.2">
      <c r="A73" t="s">
        <v>116</v>
      </c>
      <c r="B73">
        <v>8</v>
      </c>
      <c r="C73">
        <v>1</v>
      </c>
      <c r="D73">
        <v>1</v>
      </c>
      <c r="E73">
        <v>2</v>
      </c>
      <c r="F73">
        <v>4</v>
      </c>
      <c r="G73">
        <v>2</v>
      </c>
      <c r="H73">
        <v>1</v>
      </c>
      <c r="I73">
        <v>1</v>
      </c>
      <c r="J73" s="8">
        <v>52</v>
      </c>
      <c r="K73" t="str">
        <f t="shared" si="2"/>
        <v>Средне</v>
      </c>
      <c r="L73" t="str">
        <f t="shared" si="3"/>
        <v>Редко</v>
      </c>
    </row>
    <row r="74" spans="1:12" x14ac:dyDescent="0.2">
      <c r="A74" t="s">
        <v>117</v>
      </c>
      <c r="B74">
        <v>4</v>
      </c>
      <c r="C74">
        <v>1</v>
      </c>
      <c r="D74">
        <v>1</v>
      </c>
      <c r="E74">
        <v>4</v>
      </c>
      <c r="F74">
        <v>5</v>
      </c>
      <c r="G74">
        <v>3</v>
      </c>
      <c r="H74">
        <v>3</v>
      </c>
      <c r="I74">
        <v>2</v>
      </c>
      <c r="J74" s="8">
        <v>52</v>
      </c>
      <c r="K74" t="str">
        <f t="shared" si="2"/>
        <v>Средне</v>
      </c>
      <c r="L74" t="str">
        <f t="shared" si="3"/>
        <v>Редко</v>
      </c>
    </row>
    <row r="75" spans="1:12" x14ac:dyDescent="0.2">
      <c r="A75" t="s">
        <v>116</v>
      </c>
      <c r="B75">
        <v>8</v>
      </c>
      <c r="C75">
        <v>0</v>
      </c>
      <c r="D75">
        <v>0</v>
      </c>
      <c r="E75">
        <v>3</v>
      </c>
      <c r="F75">
        <v>4</v>
      </c>
      <c r="G75">
        <v>2</v>
      </c>
      <c r="H75">
        <v>0</v>
      </c>
      <c r="I75">
        <v>0</v>
      </c>
      <c r="J75" s="8">
        <v>53</v>
      </c>
      <c r="K75" t="str">
        <f t="shared" si="2"/>
        <v>Средне</v>
      </c>
      <c r="L75" t="str">
        <f t="shared" si="3"/>
        <v>Редко</v>
      </c>
    </row>
    <row r="76" spans="1:12" x14ac:dyDescent="0.2">
      <c r="A76" t="s">
        <v>117</v>
      </c>
      <c r="B76">
        <v>8</v>
      </c>
      <c r="C76">
        <v>3</v>
      </c>
      <c r="D76">
        <v>1</v>
      </c>
      <c r="E76">
        <v>3</v>
      </c>
      <c r="F76">
        <v>2</v>
      </c>
      <c r="G76">
        <v>1</v>
      </c>
      <c r="H76">
        <v>2</v>
      </c>
      <c r="I76">
        <v>3</v>
      </c>
      <c r="J76" s="8">
        <v>40</v>
      </c>
      <c r="K76" t="str">
        <f t="shared" si="2"/>
        <v>Плохо</v>
      </c>
      <c r="L76" t="str">
        <f t="shared" si="3"/>
        <v>Часто</v>
      </c>
    </row>
    <row r="77" spans="1:12" x14ac:dyDescent="0.2">
      <c r="A77" t="s">
        <v>117</v>
      </c>
      <c r="B77">
        <v>2</v>
      </c>
      <c r="C77">
        <v>3</v>
      </c>
      <c r="D77">
        <v>1</v>
      </c>
      <c r="E77">
        <v>4</v>
      </c>
      <c r="F77">
        <v>2</v>
      </c>
      <c r="G77">
        <v>1</v>
      </c>
      <c r="H77">
        <v>3</v>
      </c>
      <c r="I77">
        <v>2</v>
      </c>
      <c r="J77" s="8">
        <v>40</v>
      </c>
      <c r="K77" t="str">
        <f t="shared" si="2"/>
        <v>Плохо</v>
      </c>
      <c r="L77" t="str">
        <f t="shared" si="3"/>
        <v>Часто</v>
      </c>
    </row>
    <row r="78" spans="1:12" x14ac:dyDescent="0.2">
      <c r="A78" t="s">
        <v>116</v>
      </c>
      <c r="B78">
        <v>3</v>
      </c>
      <c r="C78">
        <v>0</v>
      </c>
      <c r="D78">
        <v>0</v>
      </c>
      <c r="E78">
        <v>2</v>
      </c>
      <c r="F78">
        <v>2</v>
      </c>
      <c r="G78">
        <v>1</v>
      </c>
      <c r="H78">
        <v>0</v>
      </c>
      <c r="I78">
        <v>0</v>
      </c>
      <c r="J78" s="8">
        <v>55</v>
      </c>
      <c r="K78" t="str">
        <f t="shared" si="2"/>
        <v>Средне</v>
      </c>
      <c r="L78" t="str">
        <f t="shared" si="3"/>
        <v>Редко</v>
      </c>
    </row>
    <row r="79" spans="1:12" x14ac:dyDescent="0.2">
      <c r="A79" t="s">
        <v>116</v>
      </c>
      <c r="B79">
        <v>1</v>
      </c>
      <c r="C79">
        <v>0</v>
      </c>
      <c r="D79">
        <v>0</v>
      </c>
      <c r="E79">
        <v>2</v>
      </c>
      <c r="F79">
        <v>3</v>
      </c>
      <c r="G79">
        <v>2</v>
      </c>
      <c r="H79">
        <v>0</v>
      </c>
      <c r="I79">
        <v>0</v>
      </c>
      <c r="J79" s="8">
        <v>55</v>
      </c>
      <c r="K79" t="str">
        <f t="shared" si="2"/>
        <v>Средне</v>
      </c>
      <c r="L79" t="str">
        <f t="shared" si="3"/>
        <v>Редко</v>
      </c>
    </row>
    <row r="80" spans="1:12" x14ac:dyDescent="0.2">
      <c r="A80" t="s">
        <v>116</v>
      </c>
      <c r="B80">
        <v>1</v>
      </c>
      <c r="C80">
        <v>0</v>
      </c>
      <c r="D80">
        <v>0</v>
      </c>
      <c r="E80">
        <v>2</v>
      </c>
      <c r="F80">
        <v>2</v>
      </c>
      <c r="G80">
        <v>3</v>
      </c>
      <c r="H80">
        <v>0</v>
      </c>
      <c r="I80">
        <v>0</v>
      </c>
      <c r="J80" s="8">
        <v>55</v>
      </c>
      <c r="K80" t="str">
        <f t="shared" si="2"/>
        <v>Средне</v>
      </c>
      <c r="L80" t="str">
        <f t="shared" si="3"/>
        <v>Редко</v>
      </c>
    </row>
    <row r="81" spans="1:12" x14ac:dyDescent="0.2">
      <c r="A81" t="s">
        <v>116</v>
      </c>
      <c r="B81">
        <v>4</v>
      </c>
      <c r="C81">
        <v>0</v>
      </c>
      <c r="D81">
        <v>0</v>
      </c>
      <c r="E81">
        <v>3</v>
      </c>
      <c r="F81">
        <v>3</v>
      </c>
      <c r="G81">
        <v>1</v>
      </c>
      <c r="H81">
        <v>0</v>
      </c>
      <c r="I81">
        <v>0</v>
      </c>
      <c r="J81" s="8">
        <v>55</v>
      </c>
      <c r="K81" t="str">
        <f t="shared" si="2"/>
        <v>Средне</v>
      </c>
      <c r="L81" t="str">
        <f t="shared" si="3"/>
        <v>Редко</v>
      </c>
    </row>
    <row r="82" spans="1:12" x14ac:dyDescent="0.2">
      <c r="A82" t="s">
        <v>116</v>
      </c>
      <c r="B82">
        <v>1</v>
      </c>
      <c r="C82">
        <v>0</v>
      </c>
      <c r="D82">
        <v>0</v>
      </c>
      <c r="E82">
        <v>3</v>
      </c>
      <c r="F82">
        <v>2</v>
      </c>
      <c r="G82">
        <v>2</v>
      </c>
      <c r="H82">
        <v>0</v>
      </c>
      <c r="I82">
        <v>0</v>
      </c>
      <c r="J82" s="8">
        <v>55</v>
      </c>
      <c r="K82" t="str">
        <f t="shared" si="2"/>
        <v>Средне</v>
      </c>
      <c r="L82" t="str">
        <f t="shared" si="3"/>
        <v>Редко</v>
      </c>
    </row>
    <row r="83" spans="1:12" x14ac:dyDescent="0.2">
      <c r="A83" t="s">
        <v>116</v>
      </c>
      <c r="B83">
        <v>2</v>
      </c>
      <c r="C83">
        <v>1</v>
      </c>
      <c r="D83">
        <v>1</v>
      </c>
      <c r="E83">
        <v>3</v>
      </c>
      <c r="F83">
        <v>2</v>
      </c>
      <c r="G83">
        <v>2</v>
      </c>
      <c r="H83">
        <v>3</v>
      </c>
      <c r="I83">
        <v>3</v>
      </c>
      <c r="J83" s="8">
        <v>55</v>
      </c>
      <c r="K83" t="str">
        <f t="shared" si="2"/>
        <v>Средне</v>
      </c>
      <c r="L83" t="str">
        <f t="shared" si="3"/>
        <v>Редко</v>
      </c>
    </row>
    <row r="84" spans="1:12" x14ac:dyDescent="0.2">
      <c r="A84" t="s">
        <v>116</v>
      </c>
      <c r="B84">
        <v>2</v>
      </c>
      <c r="C84">
        <v>1</v>
      </c>
      <c r="D84">
        <v>1</v>
      </c>
      <c r="E84">
        <v>5</v>
      </c>
      <c r="F84">
        <v>4</v>
      </c>
      <c r="G84">
        <v>3</v>
      </c>
      <c r="H84">
        <v>3</v>
      </c>
      <c r="I84">
        <v>2</v>
      </c>
      <c r="J84" s="8">
        <v>55</v>
      </c>
      <c r="K84" t="str">
        <f t="shared" si="2"/>
        <v>Средне</v>
      </c>
      <c r="L84" t="str">
        <f t="shared" si="3"/>
        <v>Редко</v>
      </c>
    </row>
    <row r="85" spans="1:12" x14ac:dyDescent="0.2">
      <c r="A85" t="s">
        <v>116</v>
      </c>
      <c r="B85">
        <v>1</v>
      </c>
      <c r="C85">
        <v>2</v>
      </c>
      <c r="D85">
        <v>1</v>
      </c>
      <c r="E85">
        <v>3</v>
      </c>
      <c r="F85">
        <v>3</v>
      </c>
      <c r="G85">
        <v>1</v>
      </c>
      <c r="H85">
        <v>1</v>
      </c>
      <c r="I85">
        <v>1</v>
      </c>
      <c r="J85" s="8">
        <v>55</v>
      </c>
      <c r="K85" t="str">
        <f t="shared" si="2"/>
        <v>Средне</v>
      </c>
      <c r="L85" t="str">
        <f t="shared" si="3"/>
        <v>Редко</v>
      </c>
    </row>
    <row r="86" spans="1:12" x14ac:dyDescent="0.2">
      <c r="A86" t="s">
        <v>116</v>
      </c>
      <c r="B86">
        <v>1</v>
      </c>
      <c r="C86">
        <v>2</v>
      </c>
      <c r="D86">
        <v>1</v>
      </c>
      <c r="E86">
        <v>3</v>
      </c>
      <c r="F86">
        <v>3</v>
      </c>
      <c r="G86">
        <v>2</v>
      </c>
      <c r="H86">
        <v>1</v>
      </c>
      <c r="I86">
        <v>2</v>
      </c>
      <c r="J86" s="8">
        <v>55</v>
      </c>
      <c r="K86" t="str">
        <f t="shared" si="2"/>
        <v>Средне</v>
      </c>
      <c r="L86" t="str">
        <f t="shared" si="3"/>
        <v>Редко</v>
      </c>
    </row>
    <row r="87" spans="1:12" x14ac:dyDescent="0.2">
      <c r="A87" t="s">
        <v>117</v>
      </c>
      <c r="B87">
        <v>8</v>
      </c>
      <c r="C87">
        <v>4</v>
      </c>
      <c r="D87">
        <v>1</v>
      </c>
      <c r="E87">
        <v>4</v>
      </c>
      <c r="F87">
        <v>4</v>
      </c>
      <c r="G87">
        <v>1</v>
      </c>
      <c r="H87">
        <v>3</v>
      </c>
      <c r="I87">
        <v>3</v>
      </c>
      <c r="J87" s="8">
        <v>40</v>
      </c>
      <c r="K87" t="str">
        <f t="shared" si="2"/>
        <v>Плохо</v>
      </c>
      <c r="L87" t="str">
        <f t="shared" si="3"/>
        <v>Часто</v>
      </c>
    </row>
    <row r="88" spans="1:12" x14ac:dyDescent="0.2">
      <c r="A88" t="s">
        <v>117</v>
      </c>
      <c r="B88">
        <v>2</v>
      </c>
      <c r="C88">
        <v>5</v>
      </c>
      <c r="D88">
        <v>1</v>
      </c>
      <c r="E88">
        <v>1</v>
      </c>
      <c r="F88">
        <v>3</v>
      </c>
      <c r="G88">
        <v>1</v>
      </c>
      <c r="H88">
        <v>1</v>
      </c>
      <c r="I88">
        <v>2</v>
      </c>
      <c r="J88" s="8">
        <v>40</v>
      </c>
      <c r="K88" t="str">
        <f t="shared" si="2"/>
        <v>Плохо</v>
      </c>
      <c r="L88" t="str">
        <f t="shared" si="3"/>
        <v>Часто</v>
      </c>
    </row>
    <row r="89" spans="1:12" x14ac:dyDescent="0.2">
      <c r="A89" t="s">
        <v>117</v>
      </c>
      <c r="B89">
        <v>8</v>
      </c>
      <c r="C89">
        <v>5</v>
      </c>
      <c r="D89">
        <v>2</v>
      </c>
      <c r="E89">
        <v>2</v>
      </c>
      <c r="F89">
        <v>3</v>
      </c>
      <c r="G89">
        <v>1</v>
      </c>
      <c r="H89">
        <v>2</v>
      </c>
      <c r="I89">
        <v>4</v>
      </c>
      <c r="J89" s="8">
        <v>40</v>
      </c>
      <c r="K89" t="str">
        <f t="shared" si="2"/>
        <v>Плохо</v>
      </c>
      <c r="L89" t="str">
        <f t="shared" si="3"/>
        <v>Часто</v>
      </c>
    </row>
    <row r="90" spans="1:12" x14ac:dyDescent="0.2">
      <c r="A90" t="s">
        <v>117</v>
      </c>
      <c r="B90">
        <v>2</v>
      </c>
      <c r="C90">
        <v>1</v>
      </c>
      <c r="D90">
        <v>1</v>
      </c>
      <c r="E90">
        <v>1</v>
      </c>
      <c r="F90">
        <v>2</v>
      </c>
      <c r="G90">
        <v>1</v>
      </c>
      <c r="H90">
        <v>2</v>
      </c>
      <c r="I90">
        <v>3</v>
      </c>
      <c r="J90" s="8">
        <v>55</v>
      </c>
      <c r="K90" t="str">
        <f t="shared" si="2"/>
        <v>Средне</v>
      </c>
      <c r="L90" t="str">
        <f t="shared" si="3"/>
        <v>Редко</v>
      </c>
    </row>
    <row r="91" spans="1:12" x14ac:dyDescent="0.2">
      <c r="A91" t="s">
        <v>117</v>
      </c>
      <c r="B91">
        <v>3</v>
      </c>
      <c r="C91">
        <v>1</v>
      </c>
      <c r="D91">
        <v>1</v>
      </c>
      <c r="E91">
        <v>2</v>
      </c>
      <c r="F91">
        <v>2</v>
      </c>
      <c r="G91">
        <v>1</v>
      </c>
      <c r="H91">
        <v>4</v>
      </c>
      <c r="I91">
        <v>2</v>
      </c>
      <c r="J91" s="8">
        <v>55</v>
      </c>
      <c r="K91" t="str">
        <f t="shared" si="2"/>
        <v>Средне</v>
      </c>
      <c r="L91" t="str">
        <f t="shared" si="3"/>
        <v>Редко</v>
      </c>
    </row>
    <row r="92" spans="1:12" x14ac:dyDescent="0.2">
      <c r="A92" t="s">
        <v>117</v>
      </c>
      <c r="B92">
        <v>8</v>
      </c>
      <c r="C92">
        <v>1</v>
      </c>
      <c r="D92">
        <v>1</v>
      </c>
      <c r="E92">
        <v>2</v>
      </c>
      <c r="F92">
        <v>5</v>
      </c>
      <c r="G92">
        <v>1</v>
      </c>
      <c r="H92">
        <v>1</v>
      </c>
      <c r="I92">
        <v>1</v>
      </c>
      <c r="J92" s="8">
        <v>55</v>
      </c>
      <c r="K92" t="str">
        <f t="shared" si="2"/>
        <v>Средне</v>
      </c>
      <c r="L92" t="str">
        <f t="shared" si="3"/>
        <v>Редко</v>
      </c>
    </row>
    <row r="93" spans="1:12" x14ac:dyDescent="0.2">
      <c r="A93" t="s">
        <v>117</v>
      </c>
      <c r="B93">
        <v>3</v>
      </c>
      <c r="C93">
        <v>1</v>
      </c>
      <c r="D93">
        <v>1</v>
      </c>
      <c r="E93">
        <v>2</v>
      </c>
      <c r="F93">
        <v>2</v>
      </c>
      <c r="G93">
        <v>2</v>
      </c>
      <c r="H93">
        <v>4</v>
      </c>
      <c r="I93">
        <v>4</v>
      </c>
      <c r="J93" s="8">
        <v>55</v>
      </c>
      <c r="K93" t="str">
        <f t="shared" si="2"/>
        <v>Средне</v>
      </c>
      <c r="L93" t="str">
        <f t="shared" si="3"/>
        <v>Редко</v>
      </c>
    </row>
    <row r="94" spans="1:12" x14ac:dyDescent="0.2">
      <c r="A94" t="s">
        <v>117</v>
      </c>
      <c r="B94">
        <v>11</v>
      </c>
      <c r="C94">
        <v>1</v>
      </c>
      <c r="D94">
        <v>1</v>
      </c>
      <c r="E94">
        <v>2</v>
      </c>
      <c r="F94">
        <v>3</v>
      </c>
      <c r="G94">
        <v>2</v>
      </c>
      <c r="H94">
        <v>4</v>
      </c>
      <c r="I94">
        <v>3</v>
      </c>
      <c r="J94" s="8">
        <v>55</v>
      </c>
      <c r="K94" t="str">
        <f t="shared" si="2"/>
        <v>Средне</v>
      </c>
      <c r="L94" t="str">
        <f t="shared" si="3"/>
        <v>Редко</v>
      </c>
    </row>
    <row r="95" spans="1:12" x14ac:dyDescent="0.2">
      <c r="A95" t="s">
        <v>117</v>
      </c>
      <c r="B95">
        <v>8</v>
      </c>
      <c r="C95">
        <v>1</v>
      </c>
      <c r="D95">
        <v>1</v>
      </c>
      <c r="E95">
        <v>3</v>
      </c>
      <c r="F95">
        <v>3</v>
      </c>
      <c r="G95">
        <v>1</v>
      </c>
      <c r="H95">
        <v>1</v>
      </c>
      <c r="I95">
        <v>4</v>
      </c>
      <c r="J95" s="8">
        <v>55</v>
      </c>
      <c r="K95" t="str">
        <f t="shared" si="2"/>
        <v>Средне</v>
      </c>
      <c r="L95" t="str">
        <f t="shared" si="3"/>
        <v>Редко</v>
      </c>
    </row>
    <row r="96" spans="1:12" x14ac:dyDescent="0.2">
      <c r="A96" t="s">
        <v>117</v>
      </c>
      <c r="B96">
        <v>1</v>
      </c>
      <c r="C96">
        <v>1</v>
      </c>
      <c r="D96">
        <v>1</v>
      </c>
      <c r="E96">
        <v>4</v>
      </c>
      <c r="F96">
        <v>4</v>
      </c>
      <c r="G96">
        <v>2</v>
      </c>
      <c r="H96">
        <v>4</v>
      </c>
      <c r="I96">
        <v>2</v>
      </c>
      <c r="J96" s="8">
        <v>55</v>
      </c>
      <c r="K96" t="str">
        <f t="shared" si="2"/>
        <v>Средне</v>
      </c>
      <c r="L96" t="str">
        <f t="shared" si="3"/>
        <v>Редко</v>
      </c>
    </row>
    <row r="97" spans="1:12" x14ac:dyDescent="0.2">
      <c r="A97" t="s">
        <v>117</v>
      </c>
      <c r="B97">
        <v>3</v>
      </c>
      <c r="C97">
        <v>2</v>
      </c>
      <c r="D97">
        <v>1</v>
      </c>
      <c r="E97">
        <v>3</v>
      </c>
      <c r="F97">
        <v>4</v>
      </c>
      <c r="G97">
        <v>1</v>
      </c>
      <c r="H97">
        <v>1</v>
      </c>
      <c r="I97">
        <v>1</v>
      </c>
      <c r="J97" s="8">
        <v>55</v>
      </c>
      <c r="K97" t="str">
        <f t="shared" si="2"/>
        <v>Средне</v>
      </c>
      <c r="L97" t="str">
        <f t="shared" si="3"/>
        <v>Редко</v>
      </c>
    </row>
    <row r="98" spans="1:12" x14ac:dyDescent="0.2">
      <c r="A98" t="s">
        <v>116</v>
      </c>
      <c r="B98">
        <v>10</v>
      </c>
      <c r="C98">
        <v>5</v>
      </c>
      <c r="D98">
        <v>1</v>
      </c>
      <c r="E98">
        <v>4</v>
      </c>
      <c r="F98">
        <v>3</v>
      </c>
      <c r="G98">
        <v>1</v>
      </c>
      <c r="H98">
        <v>1</v>
      </c>
      <c r="I98">
        <v>1</v>
      </c>
      <c r="J98" s="8">
        <v>45</v>
      </c>
      <c r="K98" t="str">
        <f t="shared" si="2"/>
        <v>Средне</v>
      </c>
      <c r="L98" t="str">
        <f t="shared" si="3"/>
        <v>Часто</v>
      </c>
    </row>
    <row r="99" spans="1:12" x14ac:dyDescent="0.2">
      <c r="A99" t="s">
        <v>117</v>
      </c>
      <c r="B99">
        <v>2</v>
      </c>
      <c r="C99">
        <v>3</v>
      </c>
      <c r="D99">
        <v>1</v>
      </c>
      <c r="E99">
        <v>3</v>
      </c>
      <c r="F99">
        <v>3</v>
      </c>
      <c r="G99">
        <v>1</v>
      </c>
      <c r="H99">
        <v>4</v>
      </c>
      <c r="I99">
        <v>5</v>
      </c>
      <c r="J99" s="8">
        <v>45</v>
      </c>
      <c r="K99" t="str">
        <f t="shared" si="2"/>
        <v>Средне</v>
      </c>
      <c r="L99" t="str">
        <f t="shared" si="3"/>
        <v>Часто</v>
      </c>
    </row>
    <row r="100" spans="1:12" x14ac:dyDescent="0.2">
      <c r="A100" t="s">
        <v>116</v>
      </c>
      <c r="B100">
        <v>4</v>
      </c>
      <c r="C100">
        <v>3</v>
      </c>
      <c r="D100">
        <v>1</v>
      </c>
      <c r="E100">
        <v>2</v>
      </c>
      <c r="F100">
        <v>5</v>
      </c>
      <c r="G100">
        <v>1</v>
      </c>
      <c r="H100">
        <v>1</v>
      </c>
      <c r="I100">
        <v>2</v>
      </c>
      <c r="J100" s="8">
        <v>50</v>
      </c>
      <c r="K100" t="str">
        <f t="shared" si="2"/>
        <v>Средне</v>
      </c>
      <c r="L100" t="str">
        <f t="shared" si="3"/>
        <v>Часто</v>
      </c>
    </row>
    <row r="101" spans="1:12" x14ac:dyDescent="0.2">
      <c r="A101" t="s">
        <v>116</v>
      </c>
      <c r="B101">
        <v>1</v>
      </c>
      <c r="C101">
        <v>4</v>
      </c>
      <c r="D101">
        <v>1</v>
      </c>
      <c r="E101">
        <v>2</v>
      </c>
      <c r="F101">
        <v>5</v>
      </c>
      <c r="G101">
        <v>1</v>
      </c>
      <c r="H101">
        <v>1</v>
      </c>
      <c r="I101">
        <v>1</v>
      </c>
      <c r="J101" s="8">
        <v>50</v>
      </c>
      <c r="K101" t="str">
        <f t="shared" si="2"/>
        <v>Средне</v>
      </c>
      <c r="L101" t="str">
        <f t="shared" si="3"/>
        <v>Часто</v>
      </c>
    </row>
    <row r="102" spans="1:12" x14ac:dyDescent="0.2">
      <c r="A102" t="s">
        <v>116</v>
      </c>
      <c r="B102">
        <v>1</v>
      </c>
      <c r="C102">
        <v>5</v>
      </c>
      <c r="D102">
        <v>1</v>
      </c>
      <c r="E102">
        <v>3</v>
      </c>
      <c r="F102">
        <v>3</v>
      </c>
      <c r="G102">
        <v>1</v>
      </c>
      <c r="H102">
        <v>3</v>
      </c>
      <c r="I102">
        <v>1</v>
      </c>
      <c r="J102" s="8">
        <v>50</v>
      </c>
      <c r="K102" t="str">
        <f t="shared" si="2"/>
        <v>Средне</v>
      </c>
      <c r="L102" t="str">
        <f t="shared" si="3"/>
        <v>Часто</v>
      </c>
    </row>
    <row r="103" spans="1:12" x14ac:dyDescent="0.2">
      <c r="A103" t="s">
        <v>117</v>
      </c>
      <c r="B103">
        <v>2</v>
      </c>
      <c r="C103">
        <v>3</v>
      </c>
      <c r="D103">
        <v>1</v>
      </c>
      <c r="E103">
        <v>2</v>
      </c>
      <c r="F103">
        <v>2</v>
      </c>
      <c r="G103">
        <v>1</v>
      </c>
      <c r="H103">
        <v>4</v>
      </c>
      <c r="I103">
        <v>2</v>
      </c>
      <c r="J103" s="8">
        <v>50</v>
      </c>
      <c r="K103" t="str">
        <f t="shared" si="2"/>
        <v>Средне</v>
      </c>
      <c r="L103" t="str">
        <f t="shared" si="3"/>
        <v>Часто</v>
      </c>
    </row>
    <row r="104" spans="1:12" x14ac:dyDescent="0.2">
      <c r="A104" t="s">
        <v>117</v>
      </c>
      <c r="B104">
        <v>2</v>
      </c>
      <c r="C104">
        <v>3</v>
      </c>
      <c r="D104">
        <v>1</v>
      </c>
      <c r="E104">
        <v>2</v>
      </c>
      <c r="F104">
        <v>4</v>
      </c>
      <c r="G104">
        <v>1</v>
      </c>
      <c r="H104">
        <v>3</v>
      </c>
      <c r="I104">
        <v>3</v>
      </c>
      <c r="J104" s="8">
        <v>50</v>
      </c>
      <c r="K104" t="str">
        <f t="shared" si="2"/>
        <v>Средне</v>
      </c>
      <c r="L104" t="str">
        <f t="shared" si="3"/>
        <v>Часто</v>
      </c>
    </row>
    <row r="105" spans="1:12" x14ac:dyDescent="0.2">
      <c r="A105" t="s">
        <v>117</v>
      </c>
      <c r="B105">
        <v>10</v>
      </c>
      <c r="C105">
        <v>4</v>
      </c>
      <c r="D105">
        <v>1</v>
      </c>
      <c r="E105">
        <v>2</v>
      </c>
      <c r="F105">
        <v>5</v>
      </c>
      <c r="G105">
        <v>1</v>
      </c>
      <c r="H105">
        <v>4</v>
      </c>
      <c r="I105">
        <v>3</v>
      </c>
      <c r="J105" s="8">
        <v>50</v>
      </c>
      <c r="K105" t="str">
        <f t="shared" si="2"/>
        <v>Средне</v>
      </c>
      <c r="L105" t="str">
        <f t="shared" si="3"/>
        <v>Часто</v>
      </c>
    </row>
    <row r="106" spans="1:12" x14ac:dyDescent="0.2">
      <c r="A106" t="s">
        <v>117</v>
      </c>
      <c r="B106">
        <v>1</v>
      </c>
      <c r="C106">
        <v>4</v>
      </c>
      <c r="D106">
        <v>1</v>
      </c>
      <c r="E106">
        <v>3</v>
      </c>
      <c r="F106">
        <v>3</v>
      </c>
      <c r="G106">
        <v>1</v>
      </c>
      <c r="H106">
        <v>2</v>
      </c>
      <c r="I106">
        <v>3</v>
      </c>
      <c r="J106" s="8">
        <v>50</v>
      </c>
      <c r="K106" t="str">
        <f t="shared" si="2"/>
        <v>Средне</v>
      </c>
      <c r="L106" t="str">
        <f t="shared" si="3"/>
        <v>Часто</v>
      </c>
    </row>
    <row r="107" spans="1:12" x14ac:dyDescent="0.2">
      <c r="A107" t="s">
        <v>117</v>
      </c>
      <c r="B107">
        <v>3</v>
      </c>
      <c r="C107">
        <v>4</v>
      </c>
      <c r="D107">
        <v>1</v>
      </c>
      <c r="E107">
        <v>3</v>
      </c>
      <c r="F107">
        <v>3</v>
      </c>
      <c r="G107">
        <v>1</v>
      </c>
      <c r="H107">
        <v>3</v>
      </c>
      <c r="I107">
        <v>3</v>
      </c>
      <c r="J107" s="8">
        <v>50</v>
      </c>
      <c r="K107" t="str">
        <f t="shared" si="2"/>
        <v>Средне</v>
      </c>
      <c r="L107" t="str">
        <f t="shared" si="3"/>
        <v>Часто</v>
      </c>
    </row>
    <row r="108" spans="1:12" x14ac:dyDescent="0.2">
      <c r="A108" t="s">
        <v>117</v>
      </c>
      <c r="B108">
        <v>4</v>
      </c>
      <c r="C108">
        <v>1</v>
      </c>
      <c r="D108">
        <v>1</v>
      </c>
      <c r="E108">
        <v>4</v>
      </c>
      <c r="F108">
        <v>4</v>
      </c>
      <c r="G108">
        <v>2</v>
      </c>
      <c r="H108">
        <v>1</v>
      </c>
      <c r="I108">
        <v>3</v>
      </c>
      <c r="J108" s="8">
        <v>56</v>
      </c>
      <c r="K108" t="str">
        <f t="shared" si="2"/>
        <v>Средне</v>
      </c>
      <c r="L108" t="str">
        <f t="shared" si="3"/>
        <v>Редко</v>
      </c>
    </row>
    <row r="109" spans="1:12" x14ac:dyDescent="0.2">
      <c r="A109" t="s">
        <v>117</v>
      </c>
      <c r="B109">
        <v>4</v>
      </c>
      <c r="C109">
        <v>5</v>
      </c>
      <c r="D109">
        <v>1</v>
      </c>
      <c r="E109">
        <v>1</v>
      </c>
      <c r="F109">
        <v>3</v>
      </c>
      <c r="G109">
        <v>1</v>
      </c>
      <c r="H109">
        <v>1</v>
      </c>
      <c r="I109">
        <v>1</v>
      </c>
      <c r="J109" s="8">
        <v>50.6</v>
      </c>
      <c r="K109" t="str">
        <f t="shared" si="2"/>
        <v>Средне</v>
      </c>
      <c r="L109" t="str">
        <f t="shared" si="3"/>
        <v>Часто</v>
      </c>
    </row>
    <row r="110" spans="1:12" x14ac:dyDescent="0.2">
      <c r="A110" t="s">
        <v>116</v>
      </c>
      <c r="B110">
        <v>3</v>
      </c>
      <c r="C110">
        <v>3</v>
      </c>
      <c r="D110">
        <v>1</v>
      </c>
      <c r="E110">
        <v>3</v>
      </c>
      <c r="F110">
        <v>3</v>
      </c>
      <c r="G110">
        <v>1</v>
      </c>
      <c r="H110">
        <v>1</v>
      </c>
      <c r="I110">
        <v>1</v>
      </c>
      <c r="J110" s="8">
        <v>53</v>
      </c>
      <c r="K110" t="str">
        <f t="shared" si="2"/>
        <v>Средне</v>
      </c>
      <c r="L110" t="str">
        <f t="shared" si="3"/>
        <v>Часто</v>
      </c>
    </row>
    <row r="111" spans="1:12" x14ac:dyDescent="0.2">
      <c r="A111" t="s">
        <v>116</v>
      </c>
      <c r="B111">
        <v>4</v>
      </c>
      <c r="C111">
        <v>3</v>
      </c>
      <c r="D111">
        <v>1</v>
      </c>
      <c r="E111">
        <v>4</v>
      </c>
      <c r="F111">
        <v>3</v>
      </c>
      <c r="G111">
        <v>1</v>
      </c>
      <c r="H111">
        <v>1</v>
      </c>
      <c r="I111">
        <v>2</v>
      </c>
      <c r="J111" s="8">
        <v>53</v>
      </c>
      <c r="K111" t="str">
        <f t="shared" si="2"/>
        <v>Средне</v>
      </c>
      <c r="L111" t="str">
        <f t="shared" si="3"/>
        <v>Часто</v>
      </c>
    </row>
    <row r="112" spans="1:12" x14ac:dyDescent="0.2">
      <c r="A112" t="s">
        <v>116</v>
      </c>
      <c r="B112">
        <v>2</v>
      </c>
      <c r="C112">
        <v>2</v>
      </c>
      <c r="D112">
        <v>1</v>
      </c>
      <c r="E112">
        <v>4</v>
      </c>
      <c r="F112">
        <v>4</v>
      </c>
      <c r="G112">
        <v>1</v>
      </c>
      <c r="H112">
        <v>1</v>
      </c>
      <c r="I112">
        <v>1</v>
      </c>
      <c r="J112" s="8">
        <v>57.75</v>
      </c>
      <c r="K112" t="str">
        <f t="shared" si="2"/>
        <v>Средне</v>
      </c>
      <c r="L112" t="str">
        <f t="shared" si="3"/>
        <v>Редко</v>
      </c>
    </row>
    <row r="113" spans="1:12" x14ac:dyDescent="0.2">
      <c r="A113" t="s">
        <v>116</v>
      </c>
      <c r="B113">
        <v>3</v>
      </c>
      <c r="C113">
        <v>0</v>
      </c>
      <c r="D113">
        <v>0</v>
      </c>
      <c r="E113">
        <v>3</v>
      </c>
      <c r="F113">
        <v>2</v>
      </c>
      <c r="G113">
        <v>2</v>
      </c>
      <c r="H113">
        <v>0</v>
      </c>
      <c r="I113">
        <v>0</v>
      </c>
      <c r="J113" s="8">
        <v>59</v>
      </c>
      <c r="K113" t="str">
        <f t="shared" si="2"/>
        <v>Средне</v>
      </c>
      <c r="L113" t="str">
        <f t="shared" si="3"/>
        <v>Редко</v>
      </c>
    </row>
    <row r="114" spans="1:12" x14ac:dyDescent="0.2">
      <c r="A114" t="s">
        <v>117</v>
      </c>
      <c r="B114">
        <v>4</v>
      </c>
      <c r="C114">
        <v>0</v>
      </c>
      <c r="D114">
        <v>0</v>
      </c>
      <c r="E114">
        <v>4</v>
      </c>
      <c r="F114">
        <v>5</v>
      </c>
      <c r="G114">
        <v>2</v>
      </c>
      <c r="H114">
        <v>0</v>
      </c>
      <c r="I114">
        <v>0</v>
      </c>
      <c r="J114" s="8">
        <v>59.69</v>
      </c>
      <c r="K114" t="str">
        <f t="shared" si="2"/>
        <v>Средне</v>
      </c>
      <c r="L114" t="str">
        <f t="shared" si="3"/>
        <v>Редко</v>
      </c>
    </row>
    <row r="115" spans="1:12" x14ac:dyDescent="0.2">
      <c r="A115" t="s">
        <v>116</v>
      </c>
      <c r="B115">
        <v>3</v>
      </c>
      <c r="C115">
        <v>0</v>
      </c>
      <c r="D115">
        <v>0</v>
      </c>
      <c r="E115">
        <v>3</v>
      </c>
      <c r="F115">
        <v>5</v>
      </c>
      <c r="G115">
        <v>2</v>
      </c>
      <c r="H115">
        <v>0</v>
      </c>
      <c r="I115">
        <v>0</v>
      </c>
      <c r="J115" s="8">
        <v>60</v>
      </c>
      <c r="K115" t="str">
        <f t="shared" si="2"/>
        <v>Средне</v>
      </c>
      <c r="L115" t="str">
        <f t="shared" si="3"/>
        <v>Редко</v>
      </c>
    </row>
    <row r="116" spans="1:12" x14ac:dyDescent="0.2">
      <c r="A116" t="s">
        <v>116</v>
      </c>
      <c r="B116">
        <v>2</v>
      </c>
      <c r="C116">
        <v>0</v>
      </c>
      <c r="D116">
        <v>0</v>
      </c>
      <c r="E116">
        <v>4</v>
      </c>
      <c r="F116">
        <v>4</v>
      </c>
      <c r="G116">
        <v>2</v>
      </c>
      <c r="H116">
        <v>0</v>
      </c>
      <c r="I116">
        <v>0</v>
      </c>
      <c r="J116" s="8">
        <v>60</v>
      </c>
      <c r="K116" t="str">
        <f t="shared" si="2"/>
        <v>Средне</v>
      </c>
      <c r="L116" t="str">
        <f t="shared" si="3"/>
        <v>Редко</v>
      </c>
    </row>
    <row r="117" spans="1:12" x14ac:dyDescent="0.2">
      <c r="A117" t="s">
        <v>116</v>
      </c>
      <c r="B117">
        <v>2</v>
      </c>
      <c r="C117">
        <v>1</v>
      </c>
      <c r="D117">
        <v>1</v>
      </c>
      <c r="E117">
        <v>2</v>
      </c>
      <c r="F117">
        <v>2</v>
      </c>
      <c r="G117">
        <v>1</v>
      </c>
      <c r="H117">
        <v>1</v>
      </c>
      <c r="I117">
        <v>1</v>
      </c>
      <c r="J117" s="8">
        <v>60</v>
      </c>
      <c r="K117" t="str">
        <f t="shared" si="2"/>
        <v>Средне</v>
      </c>
      <c r="L117" t="str">
        <f t="shared" si="3"/>
        <v>Редко</v>
      </c>
    </row>
    <row r="118" spans="1:12" x14ac:dyDescent="0.2">
      <c r="A118" t="s">
        <v>116</v>
      </c>
      <c r="B118">
        <v>4</v>
      </c>
      <c r="C118">
        <v>1</v>
      </c>
      <c r="D118">
        <v>1</v>
      </c>
      <c r="E118">
        <v>4</v>
      </c>
      <c r="F118">
        <v>3</v>
      </c>
      <c r="G118">
        <v>2</v>
      </c>
      <c r="H118">
        <v>2</v>
      </c>
      <c r="I118">
        <v>2</v>
      </c>
      <c r="J118" s="8">
        <v>60</v>
      </c>
      <c r="K118" t="str">
        <f t="shared" si="2"/>
        <v>Средне</v>
      </c>
      <c r="L118" t="str">
        <f t="shared" si="3"/>
        <v>Редко</v>
      </c>
    </row>
    <row r="119" spans="1:12" x14ac:dyDescent="0.2">
      <c r="A119" t="s">
        <v>116</v>
      </c>
      <c r="B119">
        <v>4</v>
      </c>
      <c r="C119">
        <v>2</v>
      </c>
      <c r="D119">
        <v>1</v>
      </c>
      <c r="E119">
        <v>3</v>
      </c>
      <c r="F119">
        <v>3</v>
      </c>
      <c r="G119">
        <v>1</v>
      </c>
      <c r="H119">
        <v>2</v>
      </c>
      <c r="I119">
        <v>2</v>
      </c>
      <c r="J119" s="8">
        <v>60</v>
      </c>
      <c r="K119" t="str">
        <f t="shared" si="2"/>
        <v>Средне</v>
      </c>
      <c r="L119" t="str">
        <f t="shared" si="3"/>
        <v>Редко</v>
      </c>
    </row>
    <row r="120" spans="1:12" x14ac:dyDescent="0.2">
      <c r="A120" t="s">
        <v>116</v>
      </c>
      <c r="B120">
        <v>2</v>
      </c>
      <c r="C120">
        <v>2</v>
      </c>
      <c r="D120">
        <v>1</v>
      </c>
      <c r="E120">
        <v>3</v>
      </c>
      <c r="F120">
        <v>3</v>
      </c>
      <c r="G120">
        <v>2</v>
      </c>
      <c r="H120">
        <v>2</v>
      </c>
      <c r="I120">
        <v>2</v>
      </c>
      <c r="J120" s="8">
        <v>60</v>
      </c>
      <c r="K120" t="str">
        <f t="shared" si="2"/>
        <v>Средне</v>
      </c>
      <c r="L120" t="str">
        <f t="shared" si="3"/>
        <v>Редко</v>
      </c>
    </row>
    <row r="121" spans="1:12" x14ac:dyDescent="0.2">
      <c r="A121" t="s">
        <v>116</v>
      </c>
      <c r="B121">
        <v>3</v>
      </c>
      <c r="C121">
        <v>2</v>
      </c>
      <c r="D121">
        <v>1</v>
      </c>
      <c r="E121">
        <v>4</v>
      </c>
      <c r="F121">
        <v>2</v>
      </c>
      <c r="G121">
        <v>1</v>
      </c>
      <c r="H121">
        <v>1</v>
      </c>
      <c r="I121">
        <v>1</v>
      </c>
      <c r="J121" s="8">
        <v>60</v>
      </c>
      <c r="K121" t="str">
        <f t="shared" si="2"/>
        <v>Средне</v>
      </c>
      <c r="L121" t="str">
        <f t="shared" si="3"/>
        <v>Редко</v>
      </c>
    </row>
    <row r="122" spans="1:12" x14ac:dyDescent="0.2">
      <c r="A122" t="s">
        <v>116</v>
      </c>
      <c r="B122">
        <v>1</v>
      </c>
      <c r="C122">
        <v>2</v>
      </c>
      <c r="D122">
        <v>1</v>
      </c>
      <c r="E122">
        <v>4</v>
      </c>
      <c r="F122">
        <v>4</v>
      </c>
      <c r="G122">
        <v>2</v>
      </c>
      <c r="H122">
        <v>1</v>
      </c>
      <c r="I122">
        <v>1</v>
      </c>
      <c r="J122" s="8">
        <v>60</v>
      </c>
      <c r="K122" t="str">
        <f t="shared" si="2"/>
        <v>Средне</v>
      </c>
      <c r="L122" t="str">
        <f t="shared" si="3"/>
        <v>Редко</v>
      </c>
    </row>
    <row r="123" spans="1:12" x14ac:dyDescent="0.2">
      <c r="A123" t="s">
        <v>116</v>
      </c>
      <c r="B123">
        <v>2</v>
      </c>
      <c r="C123">
        <v>3</v>
      </c>
      <c r="D123">
        <v>1</v>
      </c>
      <c r="E123">
        <v>2</v>
      </c>
      <c r="F123">
        <v>4</v>
      </c>
      <c r="G123">
        <v>1</v>
      </c>
      <c r="H123">
        <v>2</v>
      </c>
      <c r="I123">
        <v>1</v>
      </c>
      <c r="J123" s="8">
        <v>55</v>
      </c>
      <c r="K123" t="str">
        <f t="shared" si="2"/>
        <v>Средне</v>
      </c>
      <c r="L123" t="str">
        <f t="shared" si="3"/>
        <v>Часто</v>
      </c>
    </row>
    <row r="124" spans="1:12" x14ac:dyDescent="0.2">
      <c r="A124" t="s">
        <v>116</v>
      </c>
      <c r="B124">
        <v>3</v>
      </c>
      <c r="C124">
        <v>3</v>
      </c>
      <c r="D124">
        <v>1</v>
      </c>
      <c r="E124">
        <v>3</v>
      </c>
      <c r="F124">
        <v>4</v>
      </c>
      <c r="G124">
        <v>1</v>
      </c>
      <c r="H124">
        <v>3</v>
      </c>
      <c r="I124">
        <v>2</v>
      </c>
      <c r="J124" s="8">
        <v>55</v>
      </c>
      <c r="K124" t="str">
        <f t="shared" si="2"/>
        <v>Средне</v>
      </c>
      <c r="L124" t="str">
        <f t="shared" si="3"/>
        <v>Часто</v>
      </c>
    </row>
    <row r="125" spans="1:12" x14ac:dyDescent="0.2">
      <c r="A125" t="s">
        <v>117</v>
      </c>
      <c r="B125">
        <v>8</v>
      </c>
      <c r="C125">
        <v>3</v>
      </c>
      <c r="D125">
        <v>1</v>
      </c>
      <c r="E125">
        <v>3</v>
      </c>
      <c r="F125">
        <v>3</v>
      </c>
      <c r="G125">
        <v>1</v>
      </c>
      <c r="H125">
        <v>2</v>
      </c>
      <c r="I125">
        <v>2</v>
      </c>
      <c r="J125" s="8">
        <v>55</v>
      </c>
      <c r="K125" t="str">
        <f t="shared" si="2"/>
        <v>Средне</v>
      </c>
      <c r="L125" t="str">
        <f t="shared" si="3"/>
        <v>Часто</v>
      </c>
    </row>
    <row r="126" spans="1:12" x14ac:dyDescent="0.2">
      <c r="A126" t="s">
        <v>117</v>
      </c>
      <c r="B126">
        <v>4</v>
      </c>
      <c r="C126">
        <v>4</v>
      </c>
      <c r="D126">
        <v>1</v>
      </c>
      <c r="E126">
        <v>3</v>
      </c>
      <c r="F126">
        <v>3</v>
      </c>
      <c r="G126">
        <v>1</v>
      </c>
      <c r="H126">
        <v>3</v>
      </c>
      <c r="I126">
        <v>3</v>
      </c>
      <c r="J126" s="8">
        <v>55</v>
      </c>
      <c r="K126" t="str">
        <f t="shared" si="2"/>
        <v>Средне</v>
      </c>
      <c r="L126" t="str">
        <f t="shared" si="3"/>
        <v>Часто</v>
      </c>
    </row>
    <row r="127" spans="1:12" x14ac:dyDescent="0.2">
      <c r="A127" t="s">
        <v>117</v>
      </c>
      <c r="B127">
        <v>1</v>
      </c>
      <c r="C127">
        <v>0</v>
      </c>
      <c r="D127">
        <v>0</v>
      </c>
      <c r="E127">
        <v>1</v>
      </c>
      <c r="F127">
        <v>2</v>
      </c>
      <c r="G127">
        <v>1</v>
      </c>
      <c r="H127">
        <v>0</v>
      </c>
      <c r="I127">
        <v>0</v>
      </c>
      <c r="J127" s="8">
        <v>60</v>
      </c>
      <c r="K127" t="str">
        <f t="shared" si="2"/>
        <v>Средне</v>
      </c>
      <c r="L127" t="str">
        <f t="shared" si="3"/>
        <v>Редко</v>
      </c>
    </row>
    <row r="128" spans="1:12" x14ac:dyDescent="0.2">
      <c r="A128" t="s">
        <v>117</v>
      </c>
      <c r="B128">
        <v>8</v>
      </c>
      <c r="C128">
        <v>0</v>
      </c>
      <c r="D128">
        <v>0</v>
      </c>
      <c r="E128">
        <v>1</v>
      </c>
      <c r="F128">
        <v>3</v>
      </c>
      <c r="G128">
        <v>1</v>
      </c>
      <c r="H128">
        <v>0</v>
      </c>
      <c r="I128">
        <v>0</v>
      </c>
      <c r="J128" s="8">
        <v>60</v>
      </c>
      <c r="K128" t="str">
        <f t="shared" si="2"/>
        <v>Средне</v>
      </c>
      <c r="L128" t="str">
        <f t="shared" si="3"/>
        <v>Редко</v>
      </c>
    </row>
    <row r="129" spans="1:12" x14ac:dyDescent="0.2">
      <c r="A129" t="s">
        <v>117</v>
      </c>
      <c r="B129">
        <v>8</v>
      </c>
      <c r="C129">
        <v>0</v>
      </c>
      <c r="D129">
        <v>0</v>
      </c>
      <c r="E129">
        <v>2</v>
      </c>
      <c r="F129">
        <v>2</v>
      </c>
      <c r="G129">
        <v>1</v>
      </c>
      <c r="H129">
        <v>0</v>
      </c>
      <c r="I129">
        <v>0</v>
      </c>
      <c r="J129" s="8">
        <v>60</v>
      </c>
      <c r="K129" t="str">
        <f t="shared" si="2"/>
        <v>Средне</v>
      </c>
      <c r="L129" t="str">
        <f t="shared" si="3"/>
        <v>Редко</v>
      </c>
    </row>
    <row r="130" spans="1:12" x14ac:dyDescent="0.2">
      <c r="A130" t="s">
        <v>117</v>
      </c>
      <c r="B130">
        <v>4</v>
      </c>
      <c r="C130">
        <v>0</v>
      </c>
      <c r="D130">
        <v>0</v>
      </c>
      <c r="E130">
        <v>3</v>
      </c>
      <c r="F130">
        <v>3</v>
      </c>
      <c r="G130">
        <v>1</v>
      </c>
      <c r="H130">
        <v>0</v>
      </c>
      <c r="I130">
        <v>0</v>
      </c>
      <c r="J130" s="8">
        <v>60</v>
      </c>
      <c r="K130" t="str">
        <f t="shared" si="2"/>
        <v>Средне</v>
      </c>
      <c r="L130" t="str">
        <f t="shared" si="3"/>
        <v>Редко</v>
      </c>
    </row>
    <row r="131" spans="1:12" x14ac:dyDescent="0.2">
      <c r="A131" t="s">
        <v>117</v>
      </c>
      <c r="B131">
        <v>1</v>
      </c>
      <c r="C131">
        <v>0</v>
      </c>
      <c r="D131">
        <v>0</v>
      </c>
      <c r="E131">
        <v>4</v>
      </c>
      <c r="F131">
        <v>5</v>
      </c>
      <c r="G131">
        <v>3</v>
      </c>
      <c r="H131">
        <v>0</v>
      </c>
      <c r="I131">
        <v>0</v>
      </c>
      <c r="J131" s="8">
        <v>60</v>
      </c>
      <c r="K131" t="str">
        <f t="shared" ref="K131:K194" si="4">IF(J131&gt;20,IF(J131&gt;40,IF(J131&gt;60,IF(J131&gt;80,"Отлично","Хорошо"),"Средне"),"Плохо"),"Ужасно")</f>
        <v>Средне</v>
      </c>
      <c r="L131" t="str">
        <f t="shared" ref="L131:L194" si="5">IF(C131&gt;2,"Часто","Редко")</f>
        <v>Редко</v>
      </c>
    </row>
    <row r="132" spans="1:12" x14ac:dyDescent="0.2">
      <c r="A132" t="s">
        <v>117</v>
      </c>
      <c r="B132">
        <v>8</v>
      </c>
      <c r="C132">
        <v>0</v>
      </c>
      <c r="D132">
        <v>0</v>
      </c>
      <c r="E132">
        <v>5</v>
      </c>
      <c r="F132">
        <v>4</v>
      </c>
      <c r="G132">
        <v>2</v>
      </c>
      <c r="H132">
        <v>0</v>
      </c>
      <c r="I132">
        <v>0</v>
      </c>
      <c r="J132" s="8">
        <v>60</v>
      </c>
      <c r="K132" t="str">
        <f t="shared" si="4"/>
        <v>Средне</v>
      </c>
      <c r="L132" t="str">
        <f t="shared" si="5"/>
        <v>Редко</v>
      </c>
    </row>
    <row r="133" spans="1:12" x14ac:dyDescent="0.2">
      <c r="A133" t="s">
        <v>117</v>
      </c>
      <c r="B133">
        <v>4</v>
      </c>
      <c r="C133">
        <v>1</v>
      </c>
      <c r="D133">
        <v>1</v>
      </c>
      <c r="E133">
        <v>2</v>
      </c>
      <c r="F133">
        <v>4</v>
      </c>
      <c r="G133">
        <v>2</v>
      </c>
      <c r="H133">
        <v>3</v>
      </c>
      <c r="I133">
        <v>3</v>
      </c>
      <c r="J133" s="8">
        <v>60</v>
      </c>
      <c r="K133" t="str">
        <f t="shared" si="4"/>
        <v>Средне</v>
      </c>
      <c r="L133" t="str">
        <f t="shared" si="5"/>
        <v>Редко</v>
      </c>
    </row>
    <row r="134" spans="1:12" x14ac:dyDescent="0.2">
      <c r="A134" t="s">
        <v>117</v>
      </c>
      <c r="B134">
        <v>1</v>
      </c>
      <c r="C134">
        <v>1</v>
      </c>
      <c r="D134">
        <v>1</v>
      </c>
      <c r="E134">
        <v>2</v>
      </c>
      <c r="F134">
        <v>3</v>
      </c>
      <c r="G134">
        <v>3</v>
      </c>
      <c r="H134">
        <v>4</v>
      </c>
      <c r="I134">
        <v>2</v>
      </c>
      <c r="J134" s="8">
        <v>60</v>
      </c>
      <c r="K134" t="str">
        <f t="shared" si="4"/>
        <v>Средне</v>
      </c>
      <c r="L134" t="str">
        <f t="shared" si="5"/>
        <v>Редко</v>
      </c>
    </row>
    <row r="135" spans="1:12" x14ac:dyDescent="0.2">
      <c r="A135" t="s">
        <v>117</v>
      </c>
      <c r="B135">
        <v>9</v>
      </c>
      <c r="C135">
        <v>1</v>
      </c>
      <c r="D135">
        <v>1</v>
      </c>
      <c r="E135">
        <v>3</v>
      </c>
      <c r="F135">
        <v>3</v>
      </c>
      <c r="G135">
        <v>0</v>
      </c>
      <c r="H135">
        <v>4</v>
      </c>
      <c r="I135">
        <v>2</v>
      </c>
      <c r="J135" s="8">
        <v>60</v>
      </c>
      <c r="K135" t="str">
        <f t="shared" si="4"/>
        <v>Средне</v>
      </c>
      <c r="L135" t="str">
        <f t="shared" si="5"/>
        <v>Редко</v>
      </c>
    </row>
    <row r="136" spans="1:12" x14ac:dyDescent="0.2">
      <c r="A136" t="s">
        <v>117</v>
      </c>
      <c r="B136">
        <v>4</v>
      </c>
      <c r="C136">
        <v>1</v>
      </c>
      <c r="D136">
        <v>1</v>
      </c>
      <c r="E136">
        <v>4</v>
      </c>
      <c r="F136">
        <v>3</v>
      </c>
      <c r="G136">
        <v>3</v>
      </c>
      <c r="H136">
        <v>3</v>
      </c>
      <c r="I136">
        <v>4</v>
      </c>
      <c r="J136" s="8">
        <v>60</v>
      </c>
      <c r="K136" t="str">
        <f t="shared" si="4"/>
        <v>Средне</v>
      </c>
      <c r="L136" t="str">
        <f t="shared" si="5"/>
        <v>Редко</v>
      </c>
    </row>
    <row r="137" spans="1:12" x14ac:dyDescent="0.2">
      <c r="A137" t="s">
        <v>117</v>
      </c>
      <c r="B137">
        <v>4</v>
      </c>
      <c r="C137">
        <v>1</v>
      </c>
      <c r="D137">
        <v>1</v>
      </c>
      <c r="E137">
        <v>4</v>
      </c>
      <c r="F137">
        <v>3</v>
      </c>
      <c r="G137">
        <v>3</v>
      </c>
      <c r="H137">
        <v>4</v>
      </c>
      <c r="I137">
        <v>2</v>
      </c>
      <c r="J137" s="8">
        <v>60</v>
      </c>
      <c r="K137" t="str">
        <f t="shared" si="4"/>
        <v>Средне</v>
      </c>
      <c r="L137" t="str">
        <f t="shared" si="5"/>
        <v>Редко</v>
      </c>
    </row>
    <row r="138" spans="1:12" x14ac:dyDescent="0.2">
      <c r="A138" t="s">
        <v>117</v>
      </c>
      <c r="B138">
        <v>8</v>
      </c>
      <c r="C138">
        <v>1</v>
      </c>
      <c r="D138">
        <v>1</v>
      </c>
      <c r="E138">
        <v>4</v>
      </c>
      <c r="F138">
        <v>5</v>
      </c>
      <c r="G138">
        <v>4</v>
      </c>
      <c r="H138">
        <v>3</v>
      </c>
      <c r="I138">
        <v>4</v>
      </c>
      <c r="J138" s="8">
        <v>60</v>
      </c>
      <c r="K138" t="str">
        <f t="shared" si="4"/>
        <v>Средне</v>
      </c>
      <c r="L138" t="str">
        <f t="shared" si="5"/>
        <v>Редко</v>
      </c>
    </row>
    <row r="139" spans="1:12" x14ac:dyDescent="0.2">
      <c r="A139" t="s">
        <v>117</v>
      </c>
      <c r="B139">
        <v>1</v>
      </c>
      <c r="C139">
        <v>1</v>
      </c>
      <c r="D139">
        <v>1</v>
      </c>
      <c r="E139">
        <v>5</v>
      </c>
      <c r="F139">
        <v>3</v>
      </c>
      <c r="G139">
        <v>3</v>
      </c>
      <c r="H139">
        <v>2</v>
      </c>
      <c r="I139">
        <v>1</v>
      </c>
      <c r="J139" s="8">
        <v>60</v>
      </c>
      <c r="K139" t="str">
        <f t="shared" si="4"/>
        <v>Средне</v>
      </c>
      <c r="L139" t="str">
        <f t="shared" si="5"/>
        <v>Редко</v>
      </c>
    </row>
    <row r="140" spans="1:12" x14ac:dyDescent="0.2">
      <c r="A140" t="s">
        <v>117</v>
      </c>
      <c r="B140">
        <v>1</v>
      </c>
      <c r="C140">
        <v>2</v>
      </c>
      <c r="D140">
        <v>1</v>
      </c>
      <c r="E140">
        <v>3</v>
      </c>
      <c r="F140">
        <v>4</v>
      </c>
      <c r="G140">
        <v>1</v>
      </c>
      <c r="H140">
        <v>4</v>
      </c>
      <c r="I140">
        <v>2</v>
      </c>
      <c r="J140" s="8">
        <v>60</v>
      </c>
      <c r="K140" t="str">
        <f t="shared" si="4"/>
        <v>Средне</v>
      </c>
      <c r="L140" t="str">
        <f t="shared" si="5"/>
        <v>Редко</v>
      </c>
    </row>
    <row r="141" spans="1:12" x14ac:dyDescent="0.2">
      <c r="A141" t="s">
        <v>117</v>
      </c>
      <c r="B141">
        <v>4</v>
      </c>
      <c r="C141">
        <v>2</v>
      </c>
      <c r="D141">
        <v>1</v>
      </c>
      <c r="E141">
        <v>4</v>
      </c>
      <c r="F141">
        <v>4</v>
      </c>
      <c r="G141">
        <v>4</v>
      </c>
      <c r="H141">
        <v>4</v>
      </c>
      <c r="I141">
        <v>5</v>
      </c>
      <c r="J141" s="8">
        <v>60</v>
      </c>
      <c r="K141" t="str">
        <f t="shared" si="4"/>
        <v>Средне</v>
      </c>
      <c r="L141" t="str">
        <f t="shared" si="5"/>
        <v>Редко</v>
      </c>
    </row>
    <row r="142" spans="1:12" x14ac:dyDescent="0.2">
      <c r="A142" t="s">
        <v>117</v>
      </c>
      <c r="B142">
        <v>4</v>
      </c>
      <c r="C142">
        <v>2</v>
      </c>
      <c r="D142">
        <v>1</v>
      </c>
      <c r="E142">
        <v>5</v>
      </c>
      <c r="F142">
        <v>4</v>
      </c>
      <c r="G142">
        <v>2</v>
      </c>
      <c r="H142">
        <v>4</v>
      </c>
      <c r="I142">
        <v>5</v>
      </c>
      <c r="J142" s="8">
        <v>60</v>
      </c>
      <c r="K142" t="str">
        <f t="shared" si="4"/>
        <v>Средне</v>
      </c>
      <c r="L142" t="str">
        <f t="shared" si="5"/>
        <v>Редко</v>
      </c>
    </row>
    <row r="143" spans="1:12" x14ac:dyDescent="0.2">
      <c r="A143" t="s">
        <v>117</v>
      </c>
      <c r="B143">
        <v>2</v>
      </c>
      <c r="C143">
        <v>5</v>
      </c>
      <c r="D143">
        <v>1</v>
      </c>
      <c r="E143">
        <v>4</v>
      </c>
      <c r="F143">
        <v>3</v>
      </c>
      <c r="G143">
        <v>1</v>
      </c>
      <c r="H143">
        <v>1</v>
      </c>
      <c r="I143">
        <v>1</v>
      </c>
      <c r="J143" s="8">
        <v>55</v>
      </c>
      <c r="K143" t="str">
        <f t="shared" si="4"/>
        <v>Средне</v>
      </c>
      <c r="L143" t="str">
        <f t="shared" si="5"/>
        <v>Часто</v>
      </c>
    </row>
    <row r="144" spans="1:12" x14ac:dyDescent="0.2">
      <c r="A144" t="s">
        <v>116</v>
      </c>
      <c r="B144">
        <v>4</v>
      </c>
      <c r="C144">
        <v>5</v>
      </c>
      <c r="D144">
        <v>1</v>
      </c>
      <c r="E144">
        <v>4</v>
      </c>
      <c r="F144">
        <v>4</v>
      </c>
      <c r="G144">
        <v>1</v>
      </c>
      <c r="H144">
        <v>3</v>
      </c>
      <c r="I144">
        <v>1</v>
      </c>
      <c r="J144" s="8">
        <v>55.5</v>
      </c>
      <c r="K144" t="str">
        <f t="shared" si="4"/>
        <v>Средне</v>
      </c>
      <c r="L144" t="str">
        <f t="shared" si="5"/>
        <v>Часто</v>
      </c>
    </row>
    <row r="145" spans="1:12" x14ac:dyDescent="0.2">
      <c r="A145" t="s">
        <v>116</v>
      </c>
      <c r="B145">
        <v>8</v>
      </c>
      <c r="C145">
        <v>5</v>
      </c>
      <c r="D145">
        <v>1</v>
      </c>
      <c r="E145">
        <v>2</v>
      </c>
      <c r="F145">
        <v>4</v>
      </c>
      <c r="G145">
        <v>1</v>
      </c>
      <c r="H145">
        <v>1</v>
      </c>
      <c r="I145">
        <v>1</v>
      </c>
      <c r="J145" s="8">
        <v>56</v>
      </c>
      <c r="K145" t="str">
        <f t="shared" si="4"/>
        <v>Средне</v>
      </c>
      <c r="L145" t="str">
        <f t="shared" si="5"/>
        <v>Часто</v>
      </c>
    </row>
    <row r="146" spans="1:12" x14ac:dyDescent="0.2">
      <c r="A146" t="s">
        <v>116</v>
      </c>
      <c r="B146">
        <v>3</v>
      </c>
      <c r="C146">
        <v>4</v>
      </c>
      <c r="D146">
        <v>1</v>
      </c>
      <c r="E146">
        <v>3</v>
      </c>
      <c r="F146">
        <v>3</v>
      </c>
      <c r="G146">
        <v>1</v>
      </c>
      <c r="H146">
        <v>3</v>
      </c>
      <c r="I146">
        <v>3</v>
      </c>
      <c r="J146" s="8">
        <v>60</v>
      </c>
      <c r="K146" t="str">
        <f t="shared" si="4"/>
        <v>Средне</v>
      </c>
      <c r="L146" t="str">
        <f t="shared" si="5"/>
        <v>Часто</v>
      </c>
    </row>
    <row r="147" spans="1:12" x14ac:dyDescent="0.2">
      <c r="A147" t="s">
        <v>117</v>
      </c>
      <c r="B147">
        <v>8</v>
      </c>
      <c r="C147">
        <v>4</v>
      </c>
      <c r="D147">
        <v>1</v>
      </c>
      <c r="E147">
        <v>1</v>
      </c>
      <c r="F147">
        <v>3</v>
      </c>
      <c r="G147">
        <v>1</v>
      </c>
      <c r="H147">
        <v>1</v>
      </c>
      <c r="I147">
        <v>2</v>
      </c>
      <c r="J147" s="8">
        <v>60</v>
      </c>
      <c r="K147" t="str">
        <f t="shared" si="4"/>
        <v>Средне</v>
      </c>
      <c r="L147" t="str">
        <f t="shared" si="5"/>
        <v>Часто</v>
      </c>
    </row>
    <row r="148" spans="1:12" x14ac:dyDescent="0.2">
      <c r="A148" t="s">
        <v>117</v>
      </c>
      <c r="B148">
        <v>3</v>
      </c>
      <c r="C148">
        <v>5</v>
      </c>
      <c r="D148">
        <v>1</v>
      </c>
      <c r="E148">
        <v>2</v>
      </c>
      <c r="F148">
        <v>2</v>
      </c>
      <c r="G148">
        <v>1</v>
      </c>
      <c r="H148">
        <v>1</v>
      </c>
      <c r="I148">
        <v>2</v>
      </c>
      <c r="J148" s="8">
        <v>60</v>
      </c>
      <c r="K148" t="str">
        <f t="shared" si="4"/>
        <v>Средне</v>
      </c>
      <c r="L148" t="str">
        <f t="shared" si="5"/>
        <v>Часто</v>
      </c>
    </row>
    <row r="149" spans="1:12" x14ac:dyDescent="0.2">
      <c r="A149" t="s">
        <v>116</v>
      </c>
      <c r="B149">
        <v>4</v>
      </c>
      <c r="C149">
        <v>4</v>
      </c>
      <c r="D149">
        <v>1</v>
      </c>
      <c r="E149">
        <v>2</v>
      </c>
      <c r="F149">
        <v>2</v>
      </c>
      <c r="G149">
        <v>1</v>
      </c>
      <c r="H149">
        <v>1</v>
      </c>
      <c r="I149">
        <v>2</v>
      </c>
      <c r="J149" s="8">
        <v>60.5</v>
      </c>
      <c r="K149" t="str">
        <f t="shared" si="4"/>
        <v>Хорошо</v>
      </c>
      <c r="L149" t="str">
        <f t="shared" si="5"/>
        <v>Часто</v>
      </c>
    </row>
    <row r="150" spans="1:12" x14ac:dyDescent="0.2">
      <c r="A150" t="s">
        <v>116</v>
      </c>
      <c r="B150">
        <v>11</v>
      </c>
      <c r="C150">
        <v>1</v>
      </c>
      <c r="D150">
        <v>1</v>
      </c>
      <c r="E150">
        <v>2</v>
      </c>
      <c r="F150">
        <v>2</v>
      </c>
      <c r="G150">
        <v>1</v>
      </c>
      <c r="H150">
        <v>4</v>
      </c>
      <c r="I150">
        <v>4</v>
      </c>
      <c r="J150" s="8">
        <v>60.5</v>
      </c>
      <c r="K150" t="str">
        <f t="shared" si="4"/>
        <v>Хорошо</v>
      </c>
      <c r="L150" t="str">
        <f t="shared" si="5"/>
        <v>Редко</v>
      </c>
    </row>
    <row r="151" spans="1:12" x14ac:dyDescent="0.2">
      <c r="A151" t="s">
        <v>116</v>
      </c>
      <c r="B151">
        <v>4</v>
      </c>
      <c r="C151">
        <v>3</v>
      </c>
      <c r="D151">
        <v>1</v>
      </c>
      <c r="E151">
        <v>4</v>
      </c>
      <c r="F151">
        <v>2</v>
      </c>
      <c r="G151">
        <v>1</v>
      </c>
      <c r="H151">
        <v>1</v>
      </c>
      <c r="I151">
        <v>2</v>
      </c>
      <c r="J151" s="8">
        <v>62</v>
      </c>
      <c r="K151" t="str">
        <f t="shared" si="4"/>
        <v>Хорошо</v>
      </c>
      <c r="L151" t="str">
        <f t="shared" si="5"/>
        <v>Часто</v>
      </c>
    </row>
    <row r="152" spans="1:12" x14ac:dyDescent="0.2">
      <c r="A152" t="s">
        <v>116</v>
      </c>
      <c r="B152">
        <v>4</v>
      </c>
      <c r="C152">
        <v>1</v>
      </c>
      <c r="D152">
        <v>1</v>
      </c>
      <c r="E152">
        <v>4</v>
      </c>
      <c r="F152">
        <v>4</v>
      </c>
      <c r="G152">
        <v>1</v>
      </c>
      <c r="H152">
        <v>4</v>
      </c>
      <c r="I152">
        <v>2</v>
      </c>
      <c r="J152" s="8">
        <v>61</v>
      </c>
      <c r="K152" t="str">
        <f t="shared" si="4"/>
        <v>Хорошо</v>
      </c>
      <c r="L152" t="str">
        <f t="shared" si="5"/>
        <v>Редко</v>
      </c>
    </row>
    <row r="153" spans="1:12" x14ac:dyDescent="0.2">
      <c r="A153" t="s">
        <v>117</v>
      </c>
      <c r="B153">
        <v>1</v>
      </c>
      <c r="C153">
        <v>2</v>
      </c>
      <c r="D153">
        <v>1</v>
      </c>
      <c r="E153">
        <v>2</v>
      </c>
      <c r="F153">
        <v>4</v>
      </c>
      <c r="G153">
        <v>2</v>
      </c>
      <c r="H153">
        <v>2</v>
      </c>
      <c r="I153">
        <v>1</v>
      </c>
      <c r="J153" s="8">
        <v>61</v>
      </c>
      <c r="K153" t="str">
        <f t="shared" si="4"/>
        <v>Хорошо</v>
      </c>
      <c r="L153" t="str">
        <f t="shared" si="5"/>
        <v>Редко</v>
      </c>
    </row>
    <row r="154" spans="1:12" x14ac:dyDescent="0.2">
      <c r="A154" t="s">
        <v>116</v>
      </c>
      <c r="B154">
        <v>10</v>
      </c>
      <c r="C154">
        <v>0</v>
      </c>
      <c r="D154">
        <v>0</v>
      </c>
      <c r="E154">
        <v>3</v>
      </c>
      <c r="F154">
        <v>3</v>
      </c>
      <c r="G154">
        <v>3</v>
      </c>
      <c r="H154">
        <v>0</v>
      </c>
      <c r="I154">
        <v>0</v>
      </c>
      <c r="J154" s="8">
        <v>62</v>
      </c>
      <c r="K154" t="str">
        <f t="shared" si="4"/>
        <v>Хорошо</v>
      </c>
      <c r="L154" t="str">
        <f t="shared" si="5"/>
        <v>Редко</v>
      </c>
    </row>
    <row r="155" spans="1:12" x14ac:dyDescent="0.2">
      <c r="A155" t="s">
        <v>116</v>
      </c>
      <c r="B155">
        <v>4</v>
      </c>
      <c r="C155">
        <v>0</v>
      </c>
      <c r="D155">
        <v>0</v>
      </c>
      <c r="E155">
        <v>4</v>
      </c>
      <c r="F155">
        <v>4</v>
      </c>
      <c r="G155">
        <v>1</v>
      </c>
      <c r="H155">
        <v>0</v>
      </c>
      <c r="I155">
        <v>0</v>
      </c>
      <c r="J155" s="8">
        <v>62</v>
      </c>
      <c r="K155" t="str">
        <f t="shared" si="4"/>
        <v>Хорошо</v>
      </c>
      <c r="L155" t="str">
        <f t="shared" si="5"/>
        <v>Редко</v>
      </c>
    </row>
    <row r="156" spans="1:12" x14ac:dyDescent="0.2">
      <c r="A156" t="s">
        <v>116</v>
      </c>
      <c r="B156">
        <v>2</v>
      </c>
      <c r="C156">
        <v>3</v>
      </c>
      <c r="D156">
        <v>1</v>
      </c>
      <c r="E156">
        <v>4</v>
      </c>
      <c r="F156">
        <v>3</v>
      </c>
      <c r="G156">
        <v>1</v>
      </c>
      <c r="H156">
        <v>1</v>
      </c>
      <c r="I156">
        <v>1</v>
      </c>
      <c r="J156" s="8">
        <v>62</v>
      </c>
      <c r="K156" t="str">
        <f t="shared" si="4"/>
        <v>Хорошо</v>
      </c>
      <c r="L156" t="str">
        <f t="shared" si="5"/>
        <v>Часто</v>
      </c>
    </row>
    <row r="157" spans="1:12" x14ac:dyDescent="0.2">
      <c r="A157" t="s">
        <v>117</v>
      </c>
      <c r="B157">
        <v>2</v>
      </c>
      <c r="C157">
        <v>3</v>
      </c>
      <c r="D157">
        <v>1</v>
      </c>
      <c r="E157">
        <v>3</v>
      </c>
      <c r="F157">
        <v>3</v>
      </c>
      <c r="G157">
        <v>1</v>
      </c>
      <c r="H157">
        <v>2</v>
      </c>
      <c r="I157">
        <v>3</v>
      </c>
      <c r="J157" s="8">
        <v>63</v>
      </c>
      <c r="K157" t="str">
        <f t="shared" si="4"/>
        <v>Хорошо</v>
      </c>
      <c r="L157" t="str">
        <f t="shared" si="5"/>
        <v>Часто</v>
      </c>
    </row>
    <row r="158" spans="1:12" x14ac:dyDescent="0.2">
      <c r="A158" t="s">
        <v>117</v>
      </c>
      <c r="B158">
        <v>4</v>
      </c>
      <c r="C158">
        <v>1</v>
      </c>
      <c r="D158">
        <v>1</v>
      </c>
      <c r="E158">
        <v>5</v>
      </c>
      <c r="F158">
        <v>5</v>
      </c>
      <c r="G158">
        <v>2</v>
      </c>
      <c r="H158">
        <v>3</v>
      </c>
      <c r="I158">
        <v>1</v>
      </c>
      <c r="J158" s="8">
        <v>62</v>
      </c>
      <c r="K158" t="str">
        <f t="shared" si="4"/>
        <v>Хорошо</v>
      </c>
      <c r="L158" t="str">
        <f t="shared" si="5"/>
        <v>Редко</v>
      </c>
    </row>
    <row r="159" spans="1:12" x14ac:dyDescent="0.2">
      <c r="A159" t="s">
        <v>116</v>
      </c>
      <c r="B159">
        <v>11</v>
      </c>
      <c r="C159">
        <v>3</v>
      </c>
      <c r="D159">
        <v>1</v>
      </c>
      <c r="E159">
        <v>4</v>
      </c>
      <c r="F159">
        <v>2</v>
      </c>
      <c r="G159">
        <v>1</v>
      </c>
      <c r="H159">
        <v>1</v>
      </c>
      <c r="I159">
        <v>1</v>
      </c>
      <c r="J159" s="8">
        <v>65</v>
      </c>
      <c r="K159" t="str">
        <f t="shared" si="4"/>
        <v>Хорошо</v>
      </c>
      <c r="L159" t="str">
        <f t="shared" si="5"/>
        <v>Часто</v>
      </c>
    </row>
    <row r="160" spans="1:12" x14ac:dyDescent="0.2">
      <c r="A160" t="s">
        <v>116</v>
      </c>
      <c r="B160">
        <v>10</v>
      </c>
      <c r="C160">
        <v>0</v>
      </c>
      <c r="D160">
        <v>0</v>
      </c>
      <c r="E160">
        <v>1</v>
      </c>
      <c r="F160">
        <v>3</v>
      </c>
      <c r="G160">
        <v>1</v>
      </c>
      <c r="H160">
        <v>0</v>
      </c>
      <c r="I160">
        <v>0</v>
      </c>
      <c r="J160" s="8">
        <v>63</v>
      </c>
      <c r="K160" t="str">
        <f t="shared" si="4"/>
        <v>Хорошо</v>
      </c>
      <c r="L160" t="str">
        <f t="shared" si="5"/>
        <v>Редко</v>
      </c>
    </row>
    <row r="161" spans="1:12" x14ac:dyDescent="0.2">
      <c r="A161" t="s">
        <v>117</v>
      </c>
      <c r="B161">
        <v>10</v>
      </c>
      <c r="C161">
        <v>1</v>
      </c>
      <c r="D161">
        <v>1</v>
      </c>
      <c r="E161">
        <v>2</v>
      </c>
      <c r="F161">
        <v>4</v>
      </c>
      <c r="G161">
        <v>3</v>
      </c>
      <c r="H161">
        <v>4</v>
      </c>
      <c r="I161">
        <v>2</v>
      </c>
      <c r="J161" s="8">
        <v>63</v>
      </c>
      <c r="K161" t="str">
        <f t="shared" si="4"/>
        <v>Хорошо</v>
      </c>
      <c r="L161" t="str">
        <f t="shared" si="5"/>
        <v>Редко</v>
      </c>
    </row>
    <row r="162" spans="1:12" x14ac:dyDescent="0.2">
      <c r="A162" t="s">
        <v>117</v>
      </c>
      <c r="B162">
        <v>11</v>
      </c>
      <c r="C162">
        <v>1</v>
      </c>
      <c r="D162">
        <v>1</v>
      </c>
      <c r="E162">
        <v>3</v>
      </c>
      <c r="F162">
        <v>3</v>
      </c>
      <c r="G162">
        <v>2</v>
      </c>
      <c r="H162">
        <v>2</v>
      </c>
      <c r="I162">
        <v>2</v>
      </c>
      <c r="J162" s="8">
        <v>63</v>
      </c>
      <c r="K162" t="str">
        <f t="shared" si="4"/>
        <v>Хорошо</v>
      </c>
      <c r="L162" t="str">
        <f t="shared" si="5"/>
        <v>Редко</v>
      </c>
    </row>
    <row r="163" spans="1:12" x14ac:dyDescent="0.2">
      <c r="A163" t="s">
        <v>117</v>
      </c>
      <c r="B163">
        <v>2</v>
      </c>
      <c r="C163">
        <v>1</v>
      </c>
      <c r="D163">
        <v>1</v>
      </c>
      <c r="E163">
        <v>3</v>
      </c>
      <c r="F163">
        <v>3</v>
      </c>
      <c r="G163">
        <v>3</v>
      </c>
      <c r="H163">
        <v>1</v>
      </c>
      <c r="I163">
        <v>2</v>
      </c>
      <c r="J163" s="8">
        <v>63</v>
      </c>
      <c r="K163" t="str">
        <f t="shared" si="4"/>
        <v>Хорошо</v>
      </c>
      <c r="L163" t="str">
        <f t="shared" si="5"/>
        <v>Редко</v>
      </c>
    </row>
    <row r="164" spans="1:12" x14ac:dyDescent="0.2">
      <c r="A164" t="s">
        <v>116</v>
      </c>
      <c r="B164">
        <v>10</v>
      </c>
      <c r="C164">
        <v>3</v>
      </c>
      <c r="D164">
        <v>1</v>
      </c>
      <c r="E164">
        <v>4</v>
      </c>
      <c r="F164">
        <v>3</v>
      </c>
      <c r="G164">
        <v>1</v>
      </c>
      <c r="H164">
        <v>4</v>
      </c>
      <c r="I164">
        <v>1</v>
      </c>
      <c r="J164" s="8">
        <v>65</v>
      </c>
      <c r="K164" t="str">
        <f t="shared" si="4"/>
        <v>Хорошо</v>
      </c>
      <c r="L164" t="str">
        <f t="shared" si="5"/>
        <v>Часто</v>
      </c>
    </row>
    <row r="165" spans="1:12" x14ac:dyDescent="0.2">
      <c r="A165" t="s">
        <v>117</v>
      </c>
      <c r="B165">
        <v>4</v>
      </c>
      <c r="C165">
        <v>1</v>
      </c>
      <c r="D165">
        <v>1</v>
      </c>
      <c r="E165">
        <v>4</v>
      </c>
      <c r="F165">
        <v>6</v>
      </c>
      <c r="G165">
        <v>3</v>
      </c>
      <c r="H165">
        <v>1</v>
      </c>
      <c r="I165">
        <v>3</v>
      </c>
      <c r="J165" s="8">
        <v>64</v>
      </c>
      <c r="K165" t="str">
        <f t="shared" si="4"/>
        <v>Хорошо</v>
      </c>
      <c r="L165" t="str">
        <f t="shared" si="5"/>
        <v>Редко</v>
      </c>
    </row>
    <row r="166" spans="1:12" x14ac:dyDescent="0.2">
      <c r="A166" t="s">
        <v>117</v>
      </c>
      <c r="B166">
        <v>3</v>
      </c>
      <c r="C166">
        <v>3</v>
      </c>
      <c r="D166">
        <v>1</v>
      </c>
      <c r="E166">
        <v>1</v>
      </c>
      <c r="F166">
        <v>4</v>
      </c>
      <c r="G166">
        <v>1</v>
      </c>
      <c r="H166">
        <v>1</v>
      </c>
      <c r="I166">
        <v>1</v>
      </c>
      <c r="J166" s="8">
        <v>65</v>
      </c>
      <c r="K166" t="str">
        <f t="shared" si="4"/>
        <v>Хорошо</v>
      </c>
      <c r="L166" t="str">
        <f t="shared" si="5"/>
        <v>Часто</v>
      </c>
    </row>
    <row r="167" spans="1:12" x14ac:dyDescent="0.2">
      <c r="A167" t="s">
        <v>117</v>
      </c>
      <c r="B167">
        <v>1</v>
      </c>
      <c r="C167">
        <v>0</v>
      </c>
      <c r="D167">
        <v>0</v>
      </c>
      <c r="E167">
        <v>2</v>
      </c>
      <c r="F167">
        <v>3</v>
      </c>
      <c r="G167">
        <v>2</v>
      </c>
      <c r="H167">
        <v>0</v>
      </c>
      <c r="I167">
        <v>0</v>
      </c>
      <c r="J167" s="8">
        <v>64.75</v>
      </c>
      <c r="K167" t="str">
        <f t="shared" si="4"/>
        <v>Хорошо</v>
      </c>
      <c r="L167" t="str">
        <f t="shared" si="5"/>
        <v>Редко</v>
      </c>
    </row>
    <row r="168" spans="1:12" x14ac:dyDescent="0.2">
      <c r="A168" t="s">
        <v>116</v>
      </c>
      <c r="B168">
        <v>3</v>
      </c>
      <c r="C168">
        <v>0</v>
      </c>
      <c r="D168">
        <v>0</v>
      </c>
      <c r="E168">
        <v>2</v>
      </c>
      <c r="F168">
        <v>3</v>
      </c>
      <c r="G168">
        <v>2</v>
      </c>
      <c r="H168">
        <v>0</v>
      </c>
      <c r="I168">
        <v>0</v>
      </c>
      <c r="J168" s="8">
        <v>65</v>
      </c>
      <c r="K168" t="str">
        <f t="shared" si="4"/>
        <v>Хорошо</v>
      </c>
      <c r="L168" t="str">
        <f t="shared" si="5"/>
        <v>Редко</v>
      </c>
    </row>
    <row r="169" spans="1:12" x14ac:dyDescent="0.2">
      <c r="A169" t="s">
        <v>116</v>
      </c>
      <c r="B169">
        <v>3</v>
      </c>
      <c r="C169">
        <v>0</v>
      </c>
      <c r="D169">
        <v>0</v>
      </c>
      <c r="E169">
        <v>3</v>
      </c>
      <c r="F169">
        <v>2</v>
      </c>
      <c r="G169">
        <v>1</v>
      </c>
      <c r="H169">
        <v>0</v>
      </c>
      <c r="I169">
        <v>0</v>
      </c>
      <c r="J169" s="8">
        <v>65</v>
      </c>
      <c r="K169" t="str">
        <f t="shared" si="4"/>
        <v>Хорошо</v>
      </c>
      <c r="L169" t="str">
        <f t="shared" si="5"/>
        <v>Редко</v>
      </c>
    </row>
    <row r="170" spans="1:12" x14ac:dyDescent="0.2">
      <c r="A170" t="s">
        <v>116</v>
      </c>
      <c r="B170">
        <v>8</v>
      </c>
      <c r="C170">
        <v>0</v>
      </c>
      <c r="D170">
        <v>0</v>
      </c>
      <c r="E170">
        <v>4</v>
      </c>
      <c r="F170">
        <v>4</v>
      </c>
      <c r="G170">
        <v>2</v>
      </c>
      <c r="H170">
        <v>0</v>
      </c>
      <c r="I170">
        <v>0</v>
      </c>
      <c r="J170" s="8">
        <v>65</v>
      </c>
      <c r="K170" t="str">
        <f t="shared" si="4"/>
        <v>Хорошо</v>
      </c>
      <c r="L170" t="str">
        <f t="shared" si="5"/>
        <v>Редко</v>
      </c>
    </row>
    <row r="171" spans="1:12" x14ac:dyDescent="0.2">
      <c r="A171" t="s">
        <v>116</v>
      </c>
      <c r="B171">
        <v>8</v>
      </c>
      <c r="C171">
        <v>0</v>
      </c>
      <c r="D171">
        <v>0</v>
      </c>
      <c r="E171">
        <v>4</v>
      </c>
      <c r="F171">
        <v>4</v>
      </c>
      <c r="G171">
        <v>3</v>
      </c>
      <c r="H171">
        <v>0</v>
      </c>
      <c r="I171">
        <v>0</v>
      </c>
      <c r="J171" s="8">
        <v>65</v>
      </c>
      <c r="K171" t="str">
        <f t="shared" si="4"/>
        <v>Хорошо</v>
      </c>
      <c r="L171" t="str">
        <f t="shared" si="5"/>
        <v>Редко</v>
      </c>
    </row>
    <row r="172" spans="1:12" x14ac:dyDescent="0.2">
      <c r="A172" t="s">
        <v>116</v>
      </c>
      <c r="B172">
        <v>8</v>
      </c>
      <c r="C172">
        <v>1</v>
      </c>
      <c r="D172">
        <v>1</v>
      </c>
      <c r="E172">
        <v>3</v>
      </c>
      <c r="F172">
        <v>2</v>
      </c>
      <c r="G172">
        <v>3</v>
      </c>
      <c r="H172">
        <v>3</v>
      </c>
      <c r="I172">
        <v>3</v>
      </c>
      <c r="J172" s="8">
        <v>65</v>
      </c>
      <c r="K172" t="str">
        <f t="shared" si="4"/>
        <v>Хорошо</v>
      </c>
      <c r="L172" t="str">
        <f t="shared" si="5"/>
        <v>Редко</v>
      </c>
    </row>
    <row r="173" spans="1:12" x14ac:dyDescent="0.2">
      <c r="A173" t="s">
        <v>116</v>
      </c>
      <c r="B173">
        <v>3</v>
      </c>
      <c r="C173">
        <v>2</v>
      </c>
      <c r="D173">
        <v>1</v>
      </c>
      <c r="E173">
        <v>1</v>
      </c>
      <c r="F173">
        <v>3</v>
      </c>
      <c r="G173">
        <v>1</v>
      </c>
      <c r="H173">
        <v>1</v>
      </c>
      <c r="I173">
        <v>1</v>
      </c>
      <c r="J173" s="8">
        <v>65</v>
      </c>
      <c r="K173" t="str">
        <f t="shared" si="4"/>
        <v>Хорошо</v>
      </c>
      <c r="L173" t="str">
        <f t="shared" si="5"/>
        <v>Редко</v>
      </c>
    </row>
    <row r="174" spans="1:12" x14ac:dyDescent="0.2">
      <c r="A174" t="s">
        <v>116</v>
      </c>
      <c r="B174">
        <v>3</v>
      </c>
      <c r="C174">
        <v>2</v>
      </c>
      <c r="D174">
        <v>1</v>
      </c>
      <c r="E174">
        <v>2</v>
      </c>
      <c r="F174">
        <v>3</v>
      </c>
      <c r="G174">
        <v>2</v>
      </c>
      <c r="H174">
        <v>1</v>
      </c>
      <c r="I174">
        <v>1</v>
      </c>
      <c r="J174" s="8">
        <v>65</v>
      </c>
      <c r="K174" t="str">
        <f t="shared" si="4"/>
        <v>Хорошо</v>
      </c>
      <c r="L174" t="str">
        <f t="shared" si="5"/>
        <v>Редко</v>
      </c>
    </row>
    <row r="175" spans="1:12" x14ac:dyDescent="0.2">
      <c r="A175" t="s">
        <v>116</v>
      </c>
      <c r="B175">
        <v>1</v>
      </c>
      <c r="C175">
        <v>2</v>
      </c>
      <c r="D175">
        <v>1</v>
      </c>
      <c r="E175">
        <v>3</v>
      </c>
      <c r="F175">
        <v>2</v>
      </c>
      <c r="G175">
        <v>1</v>
      </c>
      <c r="H175">
        <v>2</v>
      </c>
      <c r="I175">
        <v>2</v>
      </c>
      <c r="J175" s="8">
        <v>65</v>
      </c>
      <c r="K175" t="str">
        <f t="shared" si="4"/>
        <v>Хорошо</v>
      </c>
      <c r="L175" t="str">
        <f t="shared" si="5"/>
        <v>Редко</v>
      </c>
    </row>
    <row r="176" spans="1:12" x14ac:dyDescent="0.2">
      <c r="A176" t="s">
        <v>117</v>
      </c>
      <c r="B176">
        <v>1</v>
      </c>
      <c r="C176">
        <v>3</v>
      </c>
      <c r="D176">
        <v>1</v>
      </c>
      <c r="E176">
        <v>4</v>
      </c>
      <c r="F176">
        <v>4</v>
      </c>
      <c r="G176">
        <v>1</v>
      </c>
      <c r="H176">
        <v>4</v>
      </c>
      <c r="I176">
        <v>1</v>
      </c>
      <c r="J176" s="8">
        <v>65</v>
      </c>
      <c r="K176" t="str">
        <f t="shared" si="4"/>
        <v>Хорошо</v>
      </c>
      <c r="L176" t="str">
        <f t="shared" si="5"/>
        <v>Часто</v>
      </c>
    </row>
    <row r="177" spans="1:12" x14ac:dyDescent="0.2">
      <c r="A177" t="s">
        <v>117</v>
      </c>
      <c r="B177">
        <v>4</v>
      </c>
      <c r="C177">
        <v>5</v>
      </c>
      <c r="D177">
        <v>1</v>
      </c>
      <c r="E177">
        <v>4</v>
      </c>
      <c r="F177">
        <v>3</v>
      </c>
      <c r="G177">
        <v>1</v>
      </c>
      <c r="H177">
        <v>2</v>
      </c>
      <c r="I177">
        <v>1</v>
      </c>
      <c r="J177" s="8">
        <v>65</v>
      </c>
      <c r="K177" t="str">
        <f t="shared" si="4"/>
        <v>Хорошо</v>
      </c>
      <c r="L177" t="str">
        <f t="shared" si="5"/>
        <v>Часто</v>
      </c>
    </row>
    <row r="178" spans="1:12" x14ac:dyDescent="0.2">
      <c r="A178" t="s">
        <v>116</v>
      </c>
      <c r="B178">
        <v>2</v>
      </c>
      <c r="C178">
        <v>3</v>
      </c>
      <c r="D178">
        <v>1</v>
      </c>
      <c r="E178">
        <v>3</v>
      </c>
      <c r="F178">
        <v>2</v>
      </c>
      <c r="G178">
        <v>1</v>
      </c>
      <c r="H178">
        <v>2</v>
      </c>
      <c r="I178">
        <v>2</v>
      </c>
      <c r="J178" s="8">
        <v>65.5</v>
      </c>
      <c r="K178" t="str">
        <f t="shared" si="4"/>
        <v>Хорошо</v>
      </c>
      <c r="L178" t="str">
        <f t="shared" si="5"/>
        <v>Часто</v>
      </c>
    </row>
    <row r="179" spans="1:12" x14ac:dyDescent="0.2">
      <c r="A179" t="s">
        <v>116</v>
      </c>
      <c r="B179">
        <v>2</v>
      </c>
      <c r="C179">
        <v>3</v>
      </c>
      <c r="D179">
        <v>1</v>
      </c>
      <c r="E179">
        <v>3</v>
      </c>
      <c r="F179">
        <v>1</v>
      </c>
      <c r="G179">
        <v>1</v>
      </c>
      <c r="H179">
        <v>1</v>
      </c>
      <c r="I179">
        <v>2</v>
      </c>
      <c r="J179" s="8">
        <v>66</v>
      </c>
      <c r="K179" t="str">
        <f t="shared" si="4"/>
        <v>Хорошо</v>
      </c>
      <c r="L179" t="str">
        <f t="shared" si="5"/>
        <v>Часто</v>
      </c>
    </row>
    <row r="180" spans="1:12" x14ac:dyDescent="0.2">
      <c r="A180" t="s">
        <v>116</v>
      </c>
      <c r="B180">
        <v>2</v>
      </c>
      <c r="C180">
        <v>5</v>
      </c>
      <c r="D180">
        <v>1</v>
      </c>
      <c r="E180">
        <v>2</v>
      </c>
      <c r="F180">
        <v>4</v>
      </c>
      <c r="G180">
        <v>1</v>
      </c>
      <c r="H180">
        <v>4</v>
      </c>
      <c r="I180">
        <v>1</v>
      </c>
      <c r="J180" s="8">
        <v>67</v>
      </c>
      <c r="K180" t="str">
        <f t="shared" si="4"/>
        <v>Хорошо</v>
      </c>
      <c r="L180" t="str">
        <f t="shared" si="5"/>
        <v>Часто</v>
      </c>
    </row>
    <row r="181" spans="1:12" x14ac:dyDescent="0.2">
      <c r="A181" t="s">
        <v>116</v>
      </c>
      <c r="B181">
        <v>2</v>
      </c>
      <c r="C181">
        <v>3</v>
      </c>
      <c r="D181">
        <v>1</v>
      </c>
      <c r="E181">
        <v>2</v>
      </c>
      <c r="F181">
        <v>4</v>
      </c>
      <c r="G181">
        <v>1</v>
      </c>
      <c r="H181">
        <v>2</v>
      </c>
      <c r="I181">
        <v>2</v>
      </c>
      <c r="J181" s="8">
        <v>70</v>
      </c>
      <c r="K181" t="str">
        <f t="shared" si="4"/>
        <v>Хорошо</v>
      </c>
      <c r="L181" t="str">
        <f t="shared" si="5"/>
        <v>Часто</v>
      </c>
    </row>
    <row r="182" spans="1:12" x14ac:dyDescent="0.2">
      <c r="A182" t="s">
        <v>116</v>
      </c>
      <c r="B182">
        <v>2</v>
      </c>
      <c r="C182">
        <v>3</v>
      </c>
      <c r="D182">
        <v>1</v>
      </c>
      <c r="E182">
        <v>3</v>
      </c>
      <c r="F182">
        <v>3</v>
      </c>
      <c r="G182">
        <v>1</v>
      </c>
      <c r="H182">
        <v>2</v>
      </c>
      <c r="I182">
        <v>2</v>
      </c>
      <c r="J182" s="8">
        <v>70</v>
      </c>
      <c r="K182" t="str">
        <f t="shared" si="4"/>
        <v>Хорошо</v>
      </c>
      <c r="L182" t="str">
        <f t="shared" si="5"/>
        <v>Часто</v>
      </c>
    </row>
    <row r="183" spans="1:12" x14ac:dyDescent="0.2">
      <c r="A183" t="s">
        <v>116</v>
      </c>
      <c r="B183">
        <v>2</v>
      </c>
      <c r="C183">
        <v>3</v>
      </c>
      <c r="D183">
        <v>1</v>
      </c>
      <c r="E183">
        <v>5</v>
      </c>
      <c r="F183">
        <v>4</v>
      </c>
      <c r="G183">
        <v>1</v>
      </c>
      <c r="H183">
        <v>1</v>
      </c>
      <c r="I183">
        <v>1</v>
      </c>
      <c r="J183" s="8">
        <v>70</v>
      </c>
      <c r="K183" t="str">
        <f t="shared" si="4"/>
        <v>Хорошо</v>
      </c>
      <c r="L183" t="str">
        <f t="shared" si="5"/>
        <v>Часто</v>
      </c>
    </row>
    <row r="184" spans="1:12" x14ac:dyDescent="0.2">
      <c r="A184" t="s">
        <v>117</v>
      </c>
      <c r="B184">
        <v>3</v>
      </c>
      <c r="C184">
        <v>0</v>
      </c>
      <c r="D184">
        <v>0</v>
      </c>
      <c r="E184">
        <v>3</v>
      </c>
      <c r="F184">
        <v>1</v>
      </c>
      <c r="G184">
        <v>2</v>
      </c>
      <c r="H184">
        <v>0</v>
      </c>
      <c r="I184">
        <v>0</v>
      </c>
      <c r="J184" s="8">
        <v>65</v>
      </c>
      <c r="K184" t="str">
        <f t="shared" si="4"/>
        <v>Хорошо</v>
      </c>
      <c r="L184" t="str">
        <f t="shared" si="5"/>
        <v>Редко</v>
      </c>
    </row>
    <row r="185" spans="1:12" x14ac:dyDescent="0.2">
      <c r="A185" t="s">
        <v>117</v>
      </c>
      <c r="B185">
        <v>3</v>
      </c>
      <c r="C185">
        <v>0</v>
      </c>
      <c r="D185">
        <v>0</v>
      </c>
      <c r="E185">
        <v>3</v>
      </c>
      <c r="F185">
        <v>3</v>
      </c>
      <c r="G185">
        <v>2</v>
      </c>
      <c r="H185">
        <v>0</v>
      </c>
      <c r="I185">
        <v>0</v>
      </c>
      <c r="J185" s="8">
        <v>65</v>
      </c>
      <c r="K185" t="str">
        <f t="shared" si="4"/>
        <v>Хорошо</v>
      </c>
      <c r="L185" t="str">
        <f t="shared" si="5"/>
        <v>Редко</v>
      </c>
    </row>
    <row r="186" spans="1:12" x14ac:dyDescent="0.2">
      <c r="A186" t="s">
        <v>117</v>
      </c>
      <c r="B186">
        <v>3</v>
      </c>
      <c r="C186">
        <v>0</v>
      </c>
      <c r="D186">
        <v>0</v>
      </c>
      <c r="E186">
        <v>3</v>
      </c>
      <c r="F186">
        <v>3</v>
      </c>
      <c r="G186">
        <v>4</v>
      </c>
      <c r="H186">
        <v>0</v>
      </c>
      <c r="I186">
        <v>0</v>
      </c>
      <c r="J186" s="8">
        <v>65</v>
      </c>
      <c r="K186" t="str">
        <f t="shared" si="4"/>
        <v>Хорошо</v>
      </c>
      <c r="L186" t="str">
        <f t="shared" si="5"/>
        <v>Редко</v>
      </c>
    </row>
    <row r="187" spans="1:12" x14ac:dyDescent="0.2">
      <c r="A187" t="s">
        <v>117</v>
      </c>
      <c r="B187">
        <v>3</v>
      </c>
      <c r="C187">
        <v>0</v>
      </c>
      <c r="D187">
        <v>0</v>
      </c>
      <c r="E187">
        <v>4</v>
      </c>
      <c r="F187">
        <v>4</v>
      </c>
      <c r="G187">
        <v>1</v>
      </c>
      <c r="H187">
        <v>0</v>
      </c>
      <c r="I187">
        <v>0</v>
      </c>
      <c r="J187" s="8">
        <v>65</v>
      </c>
      <c r="K187" t="str">
        <f t="shared" si="4"/>
        <v>Хорошо</v>
      </c>
      <c r="L187" t="str">
        <f t="shared" si="5"/>
        <v>Редко</v>
      </c>
    </row>
    <row r="188" spans="1:12" x14ac:dyDescent="0.2">
      <c r="A188" t="s">
        <v>117</v>
      </c>
      <c r="B188">
        <v>11</v>
      </c>
      <c r="C188">
        <v>1</v>
      </c>
      <c r="D188">
        <v>1</v>
      </c>
      <c r="E188">
        <v>2</v>
      </c>
      <c r="F188">
        <v>2</v>
      </c>
      <c r="G188">
        <v>1</v>
      </c>
      <c r="H188">
        <v>4</v>
      </c>
      <c r="I188">
        <v>1</v>
      </c>
      <c r="J188" s="8">
        <v>65</v>
      </c>
      <c r="K188" t="str">
        <f t="shared" si="4"/>
        <v>Хорошо</v>
      </c>
      <c r="L188" t="str">
        <f t="shared" si="5"/>
        <v>Редко</v>
      </c>
    </row>
    <row r="189" spans="1:12" x14ac:dyDescent="0.2">
      <c r="A189" t="s">
        <v>117</v>
      </c>
      <c r="B189">
        <v>11</v>
      </c>
      <c r="C189">
        <v>1</v>
      </c>
      <c r="D189">
        <v>1</v>
      </c>
      <c r="E189">
        <v>2</v>
      </c>
      <c r="F189">
        <v>3</v>
      </c>
      <c r="G189">
        <v>1</v>
      </c>
      <c r="H189">
        <v>4</v>
      </c>
      <c r="I189">
        <v>2</v>
      </c>
      <c r="J189" s="8">
        <v>65</v>
      </c>
      <c r="K189" t="str">
        <f t="shared" si="4"/>
        <v>Хорошо</v>
      </c>
      <c r="L189" t="str">
        <f t="shared" si="5"/>
        <v>Редко</v>
      </c>
    </row>
    <row r="190" spans="1:12" x14ac:dyDescent="0.2">
      <c r="A190" t="s">
        <v>117</v>
      </c>
      <c r="B190">
        <v>8</v>
      </c>
      <c r="C190">
        <v>1</v>
      </c>
      <c r="D190">
        <v>1</v>
      </c>
      <c r="E190">
        <v>3</v>
      </c>
      <c r="F190">
        <v>4</v>
      </c>
      <c r="G190">
        <v>2</v>
      </c>
      <c r="H190">
        <v>1</v>
      </c>
      <c r="I190">
        <v>1</v>
      </c>
      <c r="J190" s="8">
        <v>65</v>
      </c>
      <c r="K190" t="str">
        <f t="shared" si="4"/>
        <v>Хорошо</v>
      </c>
      <c r="L190" t="str">
        <f t="shared" si="5"/>
        <v>Редко</v>
      </c>
    </row>
    <row r="191" spans="1:12" x14ac:dyDescent="0.2">
      <c r="A191" t="s">
        <v>117</v>
      </c>
      <c r="B191">
        <v>4</v>
      </c>
      <c r="C191">
        <v>1</v>
      </c>
      <c r="D191">
        <v>1</v>
      </c>
      <c r="E191">
        <v>3</v>
      </c>
      <c r="F191">
        <v>4</v>
      </c>
      <c r="G191">
        <v>2</v>
      </c>
      <c r="H191">
        <v>4</v>
      </c>
      <c r="I191">
        <v>3</v>
      </c>
      <c r="J191" s="8">
        <v>65</v>
      </c>
      <c r="K191" t="str">
        <f t="shared" si="4"/>
        <v>Хорошо</v>
      </c>
      <c r="L191" t="str">
        <f t="shared" si="5"/>
        <v>Редко</v>
      </c>
    </row>
    <row r="192" spans="1:12" x14ac:dyDescent="0.2">
      <c r="A192" t="s">
        <v>117</v>
      </c>
      <c r="B192">
        <v>1</v>
      </c>
      <c r="C192">
        <v>1</v>
      </c>
      <c r="D192">
        <v>1</v>
      </c>
      <c r="E192">
        <v>4</v>
      </c>
      <c r="F192">
        <v>4</v>
      </c>
      <c r="G192">
        <v>3</v>
      </c>
      <c r="H192">
        <v>3</v>
      </c>
      <c r="I192">
        <v>3</v>
      </c>
      <c r="J192" s="8">
        <v>65</v>
      </c>
      <c r="K192" t="str">
        <f t="shared" si="4"/>
        <v>Хорошо</v>
      </c>
      <c r="L192" t="str">
        <f t="shared" si="5"/>
        <v>Редко</v>
      </c>
    </row>
    <row r="193" spans="1:12" x14ac:dyDescent="0.2">
      <c r="A193" t="s">
        <v>117</v>
      </c>
      <c r="B193">
        <v>1</v>
      </c>
      <c r="C193">
        <v>2</v>
      </c>
      <c r="D193">
        <v>1</v>
      </c>
      <c r="E193">
        <v>2</v>
      </c>
      <c r="F193">
        <v>2</v>
      </c>
      <c r="G193">
        <v>2</v>
      </c>
      <c r="H193">
        <v>2</v>
      </c>
      <c r="I193">
        <v>1</v>
      </c>
      <c r="J193" s="8">
        <v>65</v>
      </c>
      <c r="K193" t="str">
        <f t="shared" si="4"/>
        <v>Хорошо</v>
      </c>
      <c r="L193" t="str">
        <f t="shared" si="5"/>
        <v>Редко</v>
      </c>
    </row>
    <row r="194" spans="1:12" x14ac:dyDescent="0.2">
      <c r="A194" t="s">
        <v>116</v>
      </c>
      <c r="B194">
        <v>2</v>
      </c>
      <c r="C194">
        <v>4</v>
      </c>
      <c r="D194">
        <v>1</v>
      </c>
      <c r="E194">
        <v>1</v>
      </c>
      <c r="F194">
        <v>2</v>
      </c>
      <c r="G194">
        <v>1</v>
      </c>
      <c r="H194">
        <v>1</v>
      </c>
      <c r="I194">
        <v>1</v>
      </c>
      <c r="J194" s="8">
        <v>70</v>
      </c>
      <c r="K194" t="str">
        <f t="shared" si="4"/>
        <v>Хорошо</v>
      </c>
      <c r="L194" t="str">
        <f t="shared" si="5"/>
        <v>Часто</v>
      </c>
    </row>
    <row r="195" spans="1:12" x14ac:dyDescent="0.2">
      <c r="A195" t="s">
        <v>116</v>
      </c>
      <c r="B195">
        <v>1</v>
      </c>
      <c r="C195">
        <v>4</v>
      </c>
      <c r="D195">
        <v>1</v>
      </c>
      <c r="E195">
        <v>1</v>
      </c>
      <c r="F195">
        <v>3</v>
      </c>
      <c r="G195">
        <v>1</v>
      </c>
      <c r="H195">
        <v>1</v>
      </c>
      <c r="I195">
        <v>3</v>
      </c>
      <c r="J195" s="8">
        <v>70</v>
      </c>
      <c r="K195" t="str">
        <f t="shared" ref="K195:K258" si="6">IF(J195&gt;20,IF(J195&gt;40,IF(J195&gt;60,IF(J195&gt;80,"Отлично","Хорошо"),"Средне"),"Плохо"),"Ужасно")</f>
        <v>Хорошо</v>
      </c>
      <c r="L195" t="str">
        <f t="shared" ref="L195:L258" si="7">IF(C195&gt;2,"Часто","Редко")</f>
        <v>Часто</v>
      </c>
    </row>
    <row r="196" spans="1:12" x14ac:dyDescent="0.2">
      <c r="A196" t="s">
        <v>116</v>
      </c>
      <c r="B196">
        <v>3</v>
      </c>
      <c r="C196">
        <v>4</v>
      </c>
      <c r="D196">
        <v>1</v>
      </c>
      <c r="E196">
        <v>2</v>
      </c>
      <c r="F196">
        <v>2</v>
      </c>
      <c r="G196">
        <v>1</v>
      </c>
      <c r="H196">
        <v>2</v>
      </c>
      <c r="I196">
        <v>2</v>
      </c>
      <c r="J196" s="8">
        <v>70</v>
      </c>
      <c r="K196" t="str">
        <f t="shared" si="6"/>
        <v>Хорошо</v>
      </c>
      <c r="L196" t="str">
        <f t="shared" si="7"/>
        <v>Часто</v>
      </c>
    </row>
    <row r="197" spans="1:12" x14ac:dyDescent="0.2">
      <c r="A197" t="s">
        <v>116</v>
      </c>
      <c r="B197">
        <v>2</v>
      </c>
      <c r="C197">
        <v>4</v>
      </c>
      <c r="D197">
        <v>1</v>
      </c>
      <c r="E197">
        <v>3</v>
      </c>
      <c r="F197">
        <v>4</v>
      </c>
      <c r="G197">
        <v>1</v>
      </c>
      <c r="H197">
        <v>1</v>
      </c>
      <c r="I197">
        <v>1</v>
      </c>
      <c r="J197" s="8">
        <v>70</v>
      </c>
      <c r="K197" t="str">
        <f t="shared" si="6"/>
        <v>Хорошо</v>
      </c>
      <c r="L197" t="str">
        <f t="shared" si="7"/>
        <v>Часто</v>
      </c>
    </row>
    <row r="198" spans="1:12" x14ac:dyDescent="0.2">
      <c r="A198" t="s">
        <v>116</v>
      </c>
      <c r="B198">
        <v>2</v>
      </c>
      <c r="C198">
        <v>4</v>
      </c>
      <c r="D198">
        <v>1</v>
      </c>
      <c r="E198">
        <v>4</v>
      </c>
      <c r="F198">
        <v>4</v>
      </c>
      <c r="G198">
        <v>1</v>
      </c>
      <c r="H198">
        <v>1</v>
      </c>
      <c r="I198">
        <v>1</v>
      </c>
      <c r="J198" s="8">
        <v>70</v>
      </c>
      <c r="K198" t="str">
        <f t="shared" si="6"/>
        <v>Хорошо</v>
      </c>
      <c r="L198" t="str">
        <f t="shared" si="7"/>
        <v>Часто</v>
      </c>
    </row>
    <row r="199" spans="1:12" x14ac:dyDescent="0.2">
      <c r="A199" t="s">
        <v>116</v>
      </c>
      <c r="B199">
        <v>3</v>
      </c>
      <c r="C199">
        <v>5</v>
      </c>
      <c r="D199">
        <v>1</v>
      </c>
      <c r="E199">
        <v>2</v>
      </c>
      <c r="F199">
        <v>1</v>
      </c>
      <c r="G199">
        <v>1</v>
      </c>
      <c r="H199">
        <v>1</v>
      </c>
      <c r="I199">
        <v>1</v>
      </c>
      <c r="J199" s="8">
        <v>70</v>
      </c>
      <c r="K199" t="str">
        <f t="shared" si="6"/>
        <v>Хорошо</v>
      </c>
      <c r="L199" t="str">
        <f t="shared" si="7"/>
        <v>Часто</v>
      </c>
    </row>
    <row r="200" spans="1:12" x14ac:dyDescent="0.2">
      <c r="A200" t="s">
        <v>116</v>
      </c>
      <c r="B200">
        <v>2</v>
      </c>
      <c r="C200">
        <v>5</v>
      </c>
      <c r="D200">
        <v>1</v>
      </c>
      <c r="E200">
        <v>2</v>
      </c>
      <c r="F200">
        <v>2</v>
      </c>
      <c r="G200">
        <v>1</v>
      </c>
      <c r="H200">
        <v>1</v>
      </c>
      <c r="I200">
        <v>1</v>
      </c>
      <c r="J200" s="8">
        <v>70</v>
      </c>
      <c r="K200" t="str">
        <f t="shared" si="6"/>
        <v>Хорошо</v>
      </c>
      <c r="L200" t="str">
        <f t="shared" si="7"/>
        <v>Часто</v>
      </c>
    </row>
    <row r="201" spans="1:12" x14ac:dyDescent="0.2">
      <c r="A201" t="s">
        <v>117</v>
      </c>
      <c r="B201">
        <v>1</v>
      </c>
      <c r="C201">
        <v>3</v>
      </c>
      <c r="D201">
        <v>1</v>
      </c>
      <c r="E201">
        <v>1</v>
      </c>
      <c r="F201">
        <v>2</v>
      </c>
      <c r="G201">
        <v>1</v>
      </c>
      <c r="H201">
        <v>1</v>
      </c>
      <c r="I201">
        <v>2</v>
      </c>
      <c r="J201" s="8">
        <v>70</v>
      </c>
      <c r="K201" t="str">
        <f t="shared" si="6"/>
        <v>Хорошо</v>
      </c>
      <c r="L201" t="str">
        <f t="shared" si="7"/>
        <v>Часто</v>
      </c>
    </row>
    <row r="202" spans="1:12" x14ac:dyDescent="0.2">
      <c r="A202" t="s">
        <v>117</v>
      </c>
      <c r="B202">
        <v>4</v>
      </c>
      <c r="C202">
        <v>3</v>
      </c>
      <c r="D202">
        <v>1</v>
      </c>
      <c r="E202">
        <v>3</v>
      </c>
      <c r="F202">
        <v>3</v>
      </c>
      <c r="G202">
        <v>1</v>
      </c>
      <c r="H202">
        <v>4</v>
      </c>
      <c r="I202">
        <v>3</v>
      </c>
      <c r="J202" s="8">
        <v>70</v>
      </c>
      <c r="K202" t="str">
        <f t="shared" si="6"/>
        <v>Хорошо</v>
      </c>
      <c r="L202" t="str">
        <f t="shared" si="7"/>
        <v>Часто</v>
      </c>
    </row>
    <row r="203" spans="1:12" x14ac:dyDescent="0.2">
      <c r="A203" t="s">
        <v>117</v>
      </c>
      <c r="B203">
        <v>1</v>
      </c>
      <c r="C203">
        <v>4</v>
      </c>
      <c r="D203">
        <v>1</v>
      </c>
      <c r="E203">
        <v>2</v>
      </c>
      <c r="F203">
        <v>3</v>
      </c>
      <c r="G203">
        <v>1</v>
      </c>
      <c r="H203">
        <v>1</v>
      </c>
      <c r="I203">
        <v>1</v>
      </c>
      <c r="J203" s="8">
        <v>70</v>
      </c>
      <c r="K203" t="str">
        <f t="shared" si="6"/>
        <v>Хорошо</v>
      </c>
      <c r="L203" t="str">
        <f t="shared" si="7"/>
        <v>Часто</v>
      </c>
    </row>
    <row r="204" spans="1:12" x14ac:dyDescent="0.2">
      <c r="A204" t="s">
        <v>117</v>
      </c>
      <c r="B204">
        <v>3</v>
      </c>
      <c r="C204">
        <v>4</v>
      </c>
      <c r="D204">
        <v>1</v>
      </c>
      <c r="E204">
        <v>4</v>
      </c>
      <c r="F204">
        <v>3</v>
      </c>
      <c r="G204">
        <v>1</v>
      </c>
      <c r="H204">
        <v>1</v>
      </c>
      <c r="I204">
        <v>2</v>
      </c>
      <c r="J204" s="8">
        <v>70</v>
      </c>
      <c r="K204" t="str">
        <f t="shared" si="6"/>
        <v>Хорошо</v>
      </c>
      <c r="L204" t="str">
        <f t="shared" si="7"/>
        <v>Часто</v>
      </c>
    </row>
    <row r="205" spans="1:12" x14ac:dyDescent="0.2">
      <c r="A205" t="s">
        <v>117</v>
      </c>
      <c r="B205">
        <v>2</v>
      </c>
      <c r="C205">
        <v>5</v>
      </c>
      <c r="D205">
        <v>1</v>
      </c>
      <c r="E205">
        <v>2</v>
      </c>
      <c r="F205">
        <v>2</v>
      </c>
      <c r="G205">
        <v>1</v>
      </c>
      <c r="H205">
        <v>1</v>
      </c>
      <c r="I205">
        <v>1</v>
      </c>
      <c r="J205" s="8">
        <v>70</v>
      </c>
      <c r="K205" t="str">
        <f t="shared" si="6"/>
        <v>Хорошо</v>
      </c>
      <c r="L205" t="str">
        <f t="shared" si="7"/>
        <v>Часто</v>
      </c>
    </row>
    <row r="206" spans="1:12" x14ac:dyDescent="0.2">
      <c r="A206" t="s">
        <v>116</v>
      </c>
      <c r="B206">
        <v>2</v>
      </c>
      <c r="C206">
        <v>2</v>
      </c>
      <c r="D206">
        <v>1</v>
      </c>
      <c r="E206">
        <v>2</v>
      </c>
      <c r="F206">
        <v>4</v>
      </c>
      <c r="G206">
        <v>1</v>
      </c>
      <c r="H206">
        <v>1</v>
      </c>
      <c r="I206">
        <v>1</v>
      </c>
      <c r="J206" s="8">
        <v>65.5</v>
      </c>
      <c r="K206" t="str">
        <f t="shared" si="6"/>
        <v>Хорошо</v>
      </c>
      <c r="L206" t="str">
        <f t="shared" si="7"/>
        <v>Редко</v>
      </c>
    </row>
    <row r="207" spans="1:12" x14ac:dyDescent="0.2">
      <c r="A207" t="s">
        <v>116</v>
      </c>
      <c r="B207">
        <v>8</v>
      </c>
      <c r="C207">
        <v>5</v>
      </c>
      <c r="D207">
        <v>1</v>
      </c>
      <c r="E207">
        <v>3</v>
      </c>
      <c r="F207">
        <v>4</v>
      </c>
      <c r="G207">
        <v>1</v>
      </c>
      <c r="H207">
        <v>1</v>
      </c>
      <c r="I207">
        <v>1</v>
      </c>
      <c r="J207" s="8">
        <v>72.5</v>
      </c>
      <c r="K207" t="str">
        <f t="shared" si="6"/>
        <v>Хорошо</v>
      </c>
      <c r="L207" t="str">
        <f t="shared" si="7"/>
        <v>Часто</v>
      </c>
    </row>
    <row r="208" spans="1:12" x14ac:dyDescent="0.2">
      <c r="A208" t="s">
        <v>116</v>
      </c>
      <c r="B208">
        <v>1</v>
      </c>
      <c r="C208">
        <v>4</v>
      </c>
      <c r="D208">
        <v>1</v>
      </c>
      <c r="E208">
        <v>2</v>
      </c>
      <c r="F208">
        <v>2</v>
      </c>
      <c r="G208">
        <v>1</v>
      </c>
      <c r="H208">
        <v>1</v>
      </c>
      <c r="I208">
        <v>3</v>
      </c>
      <c r="J208" s="8">
        <v>75</v>
      </c>
      <c r="K208" t="str">
        <f t="shared" si="6"/>
        <v>Хорошо</v>
      </c>
      <c r="L208" t="str">
        <f t="shared" si="7"/>
        <v>Часто</v>
      </c>
    </row>
    <row r="209" spans="1:12" x14ac:dyDescent="0.2">
      <c r="A209" t="s">
        <v>117</v>
      </c>
      <c r="B209">
        <v>8</v>
      </c>
      <c r="C209">
        <v>1</v>
      </c>
      <c r="D209">
        <v>1</v>
      </c>
      <c r="E209">
        <v>3</v>
      </c>
      <c r="F209">
        <v>2</v>
      </c>
      <c r="G209">
        <v>1</v>
      </c>
      <c r="H209">
        <v>4</v>
      </c>
      <c r="I209">
        <v>5</v>
      </c>
      <c r="J209" s="8">
        <v>66</v>
      </c>
      <c r="K209" t="str">
        <f t="shared" si="6"/>
        <v>Хорошо</v>
      </c>
      <c r="L209" t="str">
        <f t="shared" si="7"/>
        <v>Редко</v>
      </c>
    </row>
    <row r="210" spans="1:12" x14ac:dyDescent="0.2">
      <c r="A210" t="s">
        <v>116</v>
      </c>
      <c r="B210">
        <v>1</v>
      </c>
      <c r="C210">
        <v>0</v>
      </c>
      <c r="D210">
        <v>0</v>
      </c>
      <c r="E210">
        <v>3</v>
      </c>
      <c r="F210">
        <v>2</v>
      </c>
      <c r="G210">
        <v>1</v>
      </c>
      <c r="H210">
        <v>0</v>
      </c>
      <c r="I210">
        <v>0</v>
      </c>
      <c r="J210" s="8">
        <v>67</v>
      </c>
      <c r="K210" t="str">
        <f t="shared" si="6"/>
        <v>Хорошо</v>
      </c>
      <c r="L210" t="str">
        <f t="shared" si="7"/>
        <v>Редко</v>
      </c>
    </row>
    <row r="211" spans="1:12" x14ac:dyDescent="0.2">
      <c r="A211" t="s">
        <v>116</v>
      </c>
      <c r="B211">
        <v>10</v>
      </c>
      <c r="C211">
        <v>0</v>
      </c>
      <c r="D211">
        <v>0</v>
      </c>
      <c r="E211">
        <v>4</v>
      </c>
      <c r="F211">
        <v>4</v>
      </c>
      <c r="G211">
        <v>2</v>
      </c>
      <c r="H211">
        <v>0</v>
      </c>
      <c r="I211">
        <v>0</v>
      </c>
      <c r="J211" s="8">
        <v>67</v>
      </c>
      <c r="K211" t="str">
        <f t="shared" si="6"/>
        <v>Хорошо</v>
      </c>
      <c r="L211" t="str">
        <f t="shared" si="7"/>
        <v>Редко</v>
      </c>
    </row>
    <row r="212" spans="1:12" x14ac:dyDescent="0.2">
      <c r="A212" t="s">
        <v>116</v>
      </c>
      <c r="B212">
        <v>4</v>
      </c>
      <c r="C212">
        <v>5</v>
      </c>
      <c r="D212">
        <v>1</v>
      </c>
      <c r="E212">
        <v>2</v>
      </c>
      <c r="F212">
        <v>2</v>
      </c>
      <c r="G212">
        <v>1</v>
      </c>
      <c r="H212">
        <v>1</v>
      </c>
      <c r="I212">
        <v>2</v>
      </c>
      <c r="J212" s="8">
        <v>75</v>
      </c>
      <c r="K212" t="str">
        <f t="shared" si="6"/>
        <v>Хорошо</v>
      </c>
      <c r="L212" t="str">
        <f t="shared" si="7"/>
        <v>Часто</v>
      </c>
    </row>
    <row r="213" spans="1:12" x14ac:dyDescent="0.2">
      <c r="A213" t="s">
        <v>117</v>
      </c>
      <c r="B213">
        <v>8</v>
      </c>
      <c r="C213">
        <v>3</v>
      </c>
      <c r="D213">
        <v>1</v>
      </c>
      <c r="E213">
        <v>3</v>
      </c>
      <c r="F213">
        <v>3</v>
      </c>
      <c r="G213">
        <v>1</v>
      </c>
      <c r="H213">
        <v>1</v>
      </c>
      <c r="I213">
        <v>1</v>
      </c>
      <c r="J213" s="8">
        <v>75</v>
      </c>
      <c r="K213" t="str">
        <f t="shared" si="6"/>
        <v>Хорошо</v>
      </c>
      <c r="L213" t="str">
        <f t="shared" si="7"/>
        <v>Часто</v>
      </c>
    </row>
    <row r="214" spans="1:12" x14ac:dyDescent="0.2">
      <c r="A214" t="s">
        <v>117</v>
      </c>
      <c r="B214">
        <v>2</v>
      </c>
      <c r="C214">
        <v>4</v>
      </c>
      <c r="D214">
        <v>1</v>
      </c>
      <c r="E214">
        <v>3</v>
      </c>
      <c r="F214">
        <v>2</v>
      </c>
      <c r="G214">
        <v>1</v>
      </c>
      <c r="H214">
        <v>1</v>
      </c>
      <c r="I214">
        <v>1</v>
      </c>
      <c r="J214" s="8">
        <v>75</v>
      </c>
      <c r="K214" t="str">
        <f t="shared" si="6"/>
        <v>Хорошо</v>
      </c>
      <c r="L214" t="str">
        <f t="shared" si="7"/>
        <v>Часто</v>
      </c>
    </row>
    <row r="215" spans="1:12" x14ac:dyDescent="0.2">
      <c r="A215" t="s">
        <v>117</v>
      </c>
      <c r="B215">
        <v>8</v>
      </c>
      <c r="C215">
        <v>0</v>
      </c>
      <c r="D215">
        <v>0</v>
      </c>
      <c r="E215">
        <v>2</v>
      </c>
      <c r="F215">
        <v>4</v>
      </c>
      <c r="G215">
        <v>1</v>
      </c>
      <c r="H215">
        <v>0</v>
      </c>
      <c r="I215">
        <v>0</v>
      </c>
      <c r="J215" s="8">
        <v>67</v>
      </c>
      <c r="K215" t="str">
        <f t="shared" si="6"/>
        <v>Хорошо</v>
      </c>
      <c r="L215" t="str">
        <f t="shared" si="7"/>
        <v>Редко</v>
      </c>
    </row>
    <row r="216" spans="1:12" x14ac:dyDescent="0.2">
      <c r="A216" t="s">
        <v>117</v>
      </c>
      <c r="B216">
        <v>11</v>
      </c>
      <c r="C216">
        <v>5</v>
      </c>
      <c r="D216">
        <v>1</v>
      </c>
      <c r="E216">
        <v>4</v>
      </c>
      <c r="F216">
        <v>2</v>
      </c>
      <c r="G216">
        <v>1</v>
      </c>
      <c r="H216">
        <v>1</v>
      </c>
      <c r="I216">
        <v>1</v>
      </c>
      <c r="J216" s="8">
        <v>75</v>
      </c>
      <c r="K216" t="str">
        <f t="shared" si="6"/>
        <v>Хорошо</v>
      </c>
      <c r="L216" t="str">
        <f t="shared" si="7"/>
        <v>Часто</v>
      </c>
    </row>
    <row r="217" spans="1:12" x14ac:dyDescent="0.2">
      <c r="A217" t="s">
        <v>116</v>
      </c>
      <c r="B217">
        <v>11</v>
      </c>
      <c r="C217">
        <v>5</v>
      </c>
      <c r="D217">
        <v>1</v>
      </c>
      <c r="E217">
        <v>2</v>
      </c>
      <c r="F217">
        <v>2</v>
      </c>
      <c r="G217">
        <v>1</v>
      </c>
      <c r="H217">
        <v>1</v>
      </c>
      <c r="I217">
        <v>1</v>
      </c>
      <c r="J217" s="8">
        <v>75.5</v>
      </c>
      <c r="K217" t="str">
        <f t="shared" si="6"/>
        <v>Хорошо</v>
      </c>
      <c r="L217" t="str">
        <f t="shared" si="7"/>
        <v>Часто</v>
      </c>
    </row>
    <row r="218" spans="1:12" x14ac:dyDescent="0.2">
      <c r="A218" t="s">
        <v>116</v>
      </c>
      <c r="B218">
        <v>8</v>
      </c>
      <c r="C218">
        <v>2</v>
      </c>
      <c r="D218">
        <v>1</v>
      </c>
      <c r="E218">
        <v>3</v>
      </c>
      <c r="F218">
        <v>4</v>
      </c>
      <c r="G218">
        <v>2</v>
      </c>
      <c r="H218">
        <v>2</v>
      </c>
      <c r="I218">
        <v>2</v>
      </c>
      <c r="J218" s="8">
        <v>67.5</v>
      </c>
      <c r="K218" t="str">
        <f t="shared" si="6"/>
        <v>Хорошо</v>
      </c>
      <c r="L218" t="str">
        <f t="shared" si="7"/>
        <v>Редко</v>
      </c>
    </row>
    <row r="219" spans="1:12" x14ac:dyDescent="0.2">
      <c r="A219" t="s">
        <v>117</v>
      </c>
      <c r="B219">
        <v>8</v>
      </c>
      <c r="C219">
        <v>0</v>
      </c>
      <c r="D219">
        <v>0</v>
      </c>
      <c r="E219">
        <v>4</v>
      </c>
      <c r="F219">
        <v>4</v>
      </c>
      <c r="G219">
        <v>3</v>
      </c>
      <c r="H219">
        <v>0</v>
      </c>
      <c r="I219">
        <v>0</v>
      </c>
      <c r="J219" s="8">
        <v>67.5</v>
      </c>
      <c r="K219" t="str">
        <f t="shared" si="6"/>
        <v>Хорошо</v>
      </c>
      <c r="L219" t="str">
        <f t="shared" si="7"/>
        <v>Редко</v>
      </c>
    </row>
    <row r="220" spans="1:12" x14ac:dyDescent="0.2">
      <c r="A220" t="s">
        <v>117</v>
      </c>
      <c r="B220">
        <v>2</v>
      </c>
      <c r="C220">
        <v>2</v>
      </c>
      <c r="D220">
        <v>1</v>
      </c>
      <c r="E220">
        <v>3</v>
      </c>
      <c r="F220">
        <v>3</v>
      </c>
      <c r="G220">
        <v>1</v>
      </c>
      <c r="H220">
        <v>1</v>
      </c>
      <c r="I220">
        <v>4</v>
      </c>
      <c r="J220" s="8">
        <v>67.5</v>
      </c>
      <c r="K220" t="str">
        <f t="shared" si="6"/>
        <v>Хорошо</v>
      </c>
      <c r="L220" t="str">
        <f t="shared" si="7"/>
        <v>Редко</v>
      </c>
    </row>
    <row r="221" spans="1:12" x14ac:dyDescent="0.2">
      <c r="A221" t="s">
        <v>116</v>
      </c>
      <c r="B221">
        <v>3</v>
      </c>
      <c r="C221">
        <v>0</v>
      </c>
      <c r="D221">
        <v>0</v>
      </c>
      <c r="E221">
        <v>2</v>
      </c>
      <c r="F221">
        <v>4</v>
      </c>
      <c r="G221">
        <v>2</v>
      </c>
      <c r="H221">
        <v>0</v>
      </c>
      <c r="I221">
        <v>0</v>
      </c>
      <c r="J221" s="8">
        <v>68</v>
      </c>
      <c r="K221" t="str">
        <f t="shared" si="6"/>
        <v>Хорошо</v>
      </c>
      <c r="L221" t="str">
        <f t="shared" si="7"/>
        <v>Редко</v>
      </c>
    </row>
    <row r="222" spans="1:12" x14ac:dyDescent="0.2">
      <c r="A222" t="s">
        <v>117</v>
      </c>
      <c r="B222">
        <v>10</v>
      </c>
      <c r="C222">
        <v>5</v>
      </c>
      <c r="D222">
        <v>1</v>
      </c>
      <c r="E222">
        <v>3</v>
      </c>
      <c r="F222">
        <v>4</v>
      </c>
      <c r="G222">
        <v>1</v>
      </c>
      <c r="H222">
        <v>3</v>
      </c>
      <c r="I222">
        <v>2</v>
      </c>
      <c r="J222" s="8">
        <v>77</v>
      </c>
      <c r="K222" t="str">
        <f t="shared" si="6"/>
        <v>Хорошо</v>
      </c>
      <c r="L222" t="str">
        <f t="shared" si="7"/>
        <v>Часто</v>
      </c>
    </row>
    <row r="223" spans="1:12" x14ac:dyDescent="0.2">
      <c r="A223" t="s">
        <v>117</v>
      </c>
      <c r="B223">
        <v>1</v>
      </c>
      <c r="C223">
        <v>1</v>
      </c>
      <c r="D223">
        <v>1</v>
      </c>
      <c r="E223">
        <v>3</v>
      </c>
      <c r="F223">
        <v>2</v>
      </c>
      <c r="G223">
        <v>2</v>
      </c>
      <c r="H223">
        <v>1</v>
      </c>
      <c r="I223">
        <v>2</v>
      </c>
      <c r="J223" s="8">
        <v>68</v>
      </c>
      <c r="K223" t="str">
        <f t="shared" si="6"/>
        <v>Хорошо</v>
      </c>
      <c r="L223" t="str">
        <f t="shared" si="7"/>
        <v>Редко</v>
      </c>
    </row>
    <row r="224" spans="1:12" x14ac:dyDescent="0.2">
      <c r="A224" t="s">
        <v>117</v>
      </c>
      <c r="B224">
        <v>4</v>
      </c>
      <c r="C224">
        <v>1</v>
      </c>
      <c r="D224">
        <v>1</v>
      </c>
      <c r="E224">
        <v>5</v>
      </c>
      <c r="F224">
        <v>5</v>
      </c>
      <c r="G224">
        <v>3</v>
      </c>
      <c r="H224">
        <v>1</v>
      </c>
      <c r="I224">
        <v>2</v>
      </c>
      <c r="J224" s="8">
        <v>68</v>
      </c>
      <c r="K224" t="str">
        <f t="shared" si="6"/>
        <v>Хорошо</v>
      </c>
      <c r="L224" t="str">
        <f t="shared" si="7"/>
        <v>Редко</v>
      </c>
    </row>
    <row r="225" spans="1:12" x14ac:dyDescent="0.2">
      <c r="A225" t="s">
        <v>117</v>
      </c>
      <c r="B225">
        <v>2</v>
      </c>
      <c r="C225">
        <v>2</v>
      </c>
      <c r="D225">
        <v>1</v>
      </c>
      <c r="E225">
        <v>3</v>
      </c>
      <c r="F225">
        <v>2</v>
      </c>
      <c r="G225">
        <v>3</v>
      </c>
      <c r="H225">
        <v>1</v>
      </c>
      <c r="I225">
        <v>1</v>
      </c>
      <c r="J225" s="8">
        <v>68</v>
      </c>
      <c r="K225" t="str">
        <f t="shared" si="6"/>
        <v>Хорошо</v>
      </c>
      <c r="L225" t="str">
        <f t="shared" si="7"/>
        <v>Редко</v>
      </c>
    </row>
    <row r="226" spans="1:12" x14ac:dyDescent="0.2">
      <c r="A226" t="s">
        <v>117</v>
      </c>
      <c r="B226">
        <v>8</v>
      </c>
      <c r="C226">
        <v>2</v>
      </c>
      <c r="D226">
        <v>1</v>
      </c>
      <c r="E226">
        <v>4</v>
      </c>
      <c r="F226">
        <v>4</v>
      </c>
      <c r="G226">
        <v>2</v>
      </c>
      <c r="H226">
        <v>1</v>
      </c>
      <c r="I226">
        <v>2</v>
      </c>
      <c r="J226" s="8">
        <v>68</v>
      </c>
      <c r="K226" t="str">
        <f t="shared" si="6"/>
        <v>Хорошо</v>
      </c>
      <c r="L226" t="str">
        <f t="shared" si="7"/>
        <v>Редко</v>
      </c>
    </row>
    <row r="227" spans="1:12" x14ac:dyDescent="0.2">
      <c r="A227" t="s">
        <v>117</v>
      </c>
      <c r="B227">
        <v>1</v>
      </c>
      <c r="C227">
        <v>1</v>
      </c>
      <c r="D227">
        <v>1</v>
      </c>
      <c r="E227">
        <v>5</v>
      </c>
      <c r="F227">
        <v>4</v>
      </c>
      <c r="G227">
        <v>2</v>
      </c>
      <c r="H227">
        <v>4</v>
      </c>
      <c r="I227">
        <v>3</v>
      </c>
      <c r="J227" s="8">
        <v>69</v>
      </c>
      <c r="K227" t="str">
        <f t="shared" si="6"/>
        <v>Хорошо</v>
      </c>
      <c r="L227" t="str">
        <f t="shared" si="7"/>
        <v>Редко</v>
      </c>
    </row>
    <row r="228" spans="1:12" x14ac:dyDescent="0.2">
      <c r="A228" t="s">
        <v>116</v>
      </c>
      <c r="B228">
        <v>11</v>
      </c>
      <c r="C228">
        <v>0</v>
      </c>
      <c r="D228">
        <v>0</v>
      </c>
      <c r="E228">
        <v>1</v>
      </c>
      <c r="F228">
        <v>3</v>
      </c>
      <c r="G228">
        <v>2</v>
      </c>
      <c r="H228">
        <v>0</v>
      </c>
      <c r="I228">
        <v>0</v>
      </c>
      <c r="J228" s="8">
        <v>70</v>
      </c>
      <c r="K228" t="str">
        <f t="shared" si="6"/>
        <v>Хорошо</v>
      </c>
      <c r="L228" t="str">
        <f t="shared" si="7"/>
        <v>Редко</v>
      </c>
    </row>
    <row r="229" spans="1:12" x14ac:dyDescent="0.2">
      <c r="A229" t="s">
        <v>116</v>
      </c>
      <c r="B229">
        <v>2</v>
      </c>
      <c r="C229">
        <v>0</v>
      </c>
      <c r="D229">
        <v>0</v>
      </c>
      <c r="E229">
        <v>2</v>
      </c>
      <c r="F229">
        <v>3</v>
      </c>
      <c r="G229">
        <v>1</v>
      </c>
      <c r="H229">
        <v>0</v>
      </c>
      <c r="I229">
        <v>0</v>
      </c>
      <c r="J229" s="8">
        <v>70</v>
      </c>
      <c r="K229" t="str">
        <f t="shared" si="6"/>
        <v>Хорошо</v>
      </c>
      <c r="L229" t="str">
        <f t="shared" si="7"/>
        <v>Редко</v>
      </c>
    </row>
    <row r="230" spans="1:12" x14ac:dyDescent="0.2">
      <c r="A230" t="s">
        <v>116</v>
      </c>
      <c r="B230">
        <v>4</v>
      </c>
      <c r="C230">
        <v>0</v>
      </c>
      <c r="D230">
        <v>0</v>
      </c>
      <c r="E230">
        <v>2</v>
      </c>
      <c r="F230">
        <v>3</v>
      </c>
      <c r="G230">
        <v>1</v>
      </c>
      <c r="H230">
        <v>0</v>
      </c>
      <c r="I230">
        <v>0</v>
      </c>
      <c r="J230" s="8">
        <v>70</v>
      </c>
      <c r="K230" t="str">
        <f t="shared" si="6"/>
        <v>Хорошо</v>
      </c>
      <c r="L230" t="str">
        <f t="shared" si="7"/>
        <v>Редко</v>
      </c>
    </row>
    <row r="231" spans="1:12" x14ac:dyDescent="0.2">
      <c r="A231" t="s">
        <v>116</v>
      </c>
      <c r="B231">
        <v>4</v>
      </c>
      <c r="C231">
        <v>0</v>
      </c>
      <c r="D231">
        <v>0</v>
      </c>
      <c r="E231">
        <v>2</v>
      </c>
      <c r="F231">
        <v>3</v>
      </c>
      <c r="G231">
        <v>1</v>
      </c>
      <c r="H231">
        <v>0</v>
      </c>
      <c r="I231">
        <v>0</v>
      </c>
      <c r="J231" s="8">
        <v>70</v>
      </c>
      <c r="K231" t="str">
        <f t="shared" si="6"/>
        <v>Хорошо</v>
      </c>
      <c r="L231" t="str">
        <f t="shared" si="7"/>
        <v>Редко</v>
      </c>
    </row>
    <row r="232" spans="1:12" x14ac:dyDescent="0.2">
      <c r="A232" t="s">
        <v>116</v>
      </c>
      <c r="B232">
        <v>1</v>
      </c>
      <c r="C232">
        <v>0</v>
      </c>
      <c r="D232">
        <v>0</v>
      </c>
      <c r="E232">
        <v>4</v>
      </c>
      <c r="F232">
        <v>4</v>
      </c>
      <c r="G232">
        <v>1</v>
      </c>
      <c r="H232">
        <v>0</v>
      </c>
      <c r="I232">
        <v>0</v>
      </c>
      <c r="J232" s="8">
        <v>70</v>
      </c>
      <c r="K232" t="str">
        <f t="shared" si="6"/>
        <v>Хорошо</v>
      </c>
      <c r="L232" t="str">
        <f t="shared" si="7"/>
        <v>Редко</v>
      </c>
    </row>
    <row r="233" spans="1:12" x14ac:dyDescent="0.2">
      <c r="A233" t="s">
        <v>116</v>
      </c>
      <c r="B233">
        <v>4</v>
      </c>
      <c r="C233">
        <v>0</v>
      </c>
      <c r="D233">
        <v>0</v>
      </c>
      <c r="E233">
        <v>4</v>
      </c>
      <c r="F233">
        <v>4</v>
      </c>
      <c r="G233">
        <v>1</v>
      </c>
      <c r="H233">
        <v>0</v>
      </c>
      <c r="I233">
        <v>0</v>
      </c>
      <c r="J233" s="8">
        <v>70</v>
      </c>
      <c r="K233" t="str">
        <f t="shared" si="6"/>
        <v>Хорошо</v>
      </c>
      <c r="L233" t="str">
        <f t="shared" si="7"/>
        <v>Редко</v>
      </c>
    </row>
    <row r="234" spans="1:12" x14ac:dyDescent="0.2">
      <c r="A234" t="s">
        <v>116</v>
      </c>
      <c r="B234">
        <v>4</v>
      </c>
      <c r="C234">
        <v>0</v>
      </c>
      <c r="D234">
        <v>0</v>
      </c>
      <c r="E234">
        <v>4</v>
      </c>
      <c r="F234">
        <v>3</v>
      </c>
      <c r="G234">
        <v>2</v>
      </c>
      <c r="H234">
        <v>0</v>
      </c>
      <c r="I234">
        <v>0</v>
      </c>
      <c r="J234" s="8">
        <v>70</v>
      </c>
      <c r="K234" t="str">
        <f t="shared" si="6"/>
        <v>Хорошо</v>
      </c>
      <c r="L234" t="str">
        <f t="shared" si="7"/>
        <v>Редко</v>
      </c>
    </row>
    <row r="235" spans="1:12" x14ac:dyDescent="0.2">
      <c r="A235" t="s">
        <v>116</v>
      </c>
      <c r="B235">
        <v>4</v>
      </c>
      <c r="C235">
        <v>0</v>
      </c>
      <c r="D235">
        <v>0</v>
      </c>
      <c r="E235">
        <v>4</v>
      </c>
      <c r="F235">
        <v>3</v>
      </c>
      <c r="G235">
        <v>2</v>
      </c>
      <c r="H235">
        <v>0</v>
      </c>
      <c r="I235">
        <v>0</v>
      </c>
      <c r="J235" s="8">
        <v>70</v>
      </c>
      <c r="K235" t="str">
        <f t="shared" si="6"/>
        <v>Хорошо</v>
      </c>
      <c r="L235" t="str">
        <f t="shared" si="7"/>
        <v>Редко</v>
      </c>
    </row>
    <row r="236" spans="1:12" x14ac:dyDescent="0.2">
      <c r="A236" t="s">
        <v>116</v>
      </c>
      <c r="B236">
        <v>4</v>
      </c>
      <c r="C236">
        <v>0</v>
      </c>
      <c r="D236">
        <v>0</v>
      </c>
      <c r="E236">
        <v>4</v>
      </c>
      <c r="F236">
        <v>4</v>
      </c>
      <c r="G236">
        <v>2</v>
      </c>
      <c r="H236">
        <v>0</v>
      </c>
      <c r="I236">
        <v>0</v>
      </c>
      <c r="J236" s="8">
        <v>70</v>
      </c>
      <c r="K236" t="str">
        <f t="shared" si="6"/>
        <v>Хорошо</v>
      </c>
      <c r="L236" t="str">
        <f t="shared" si="7"/>
        <v>Редко</v>
      </c>
    </row>
    <row r="237" spans="1:12" x14ac:dyDescent="0.2">
      <c r="A237" t="s">
        <v>116</v>
      </c>
      <c r="B237">
        <v>3</v>
      </c>
      <c r="C237">
        <v>0</v>
      </c>
      <c r="D237">
        <v>0</v>
      </c>
      <c r="E237">
        <v>5</v>
      </c>
      <c r="F237">
        <v>5</v>
      </c>
      <c r="G237">
        <v>2</v>
      </c>
      <c r="H237">
        <v>0</v>
      </c>
      <c r="I237">
        <v>0</v>
      </c>
      <c r="J237" s="8">
        <v>70</v>
      </c>
      <c r="K237" t="str">
        <f t="shared" si="6"/>
        <v>Хорошо</v>
      </c>
      <c r="L237" t="str">
        <f t="shared" si="7"/>
        <v>Редко</v>
      </c>
    </row>
    <row r="238" spans="1:12" x14ac:dyDescent="0.2">
      <c r="A238" t="s">
        <v>116</v>
      </c>
      <c r="B238">
        <v>4</v>
      </c>
      <c r="C238">
        <v>1</v>
      </c>
      <c r="D238">
        <v>1</v>
      </c>
      <c r="E238">
        <v>3</v>
      </c>
      <c r="F238">
        <v>3</v>
      </c>
      <c r="G238">
        <v>2</v>
      </c>
      <c r="H238">
        <v>2</v>
      </c>
      <c r="I238">
        <v>3</v>
      </c>
      <c r="J238" s="8">
        <v>70</v>
      </c>
      <c r="K238" t="str">
        <f t="shared" si="6"/>
        <v>Хорошо</v>
      </c>
      <c r="L238" t="str">
        <f t="shared" si="7"/>
        <v>Редко</v>
      </c>
    </row>
    <row r="239" spans="1:12" x14ac:dyDescent="0.2">
      <c r="A239" t="s">
        <v>116</v>
      </c>
      <c r="B239">
        <v>4</v>
      </c>
      <c r="C239">
        <v>2</v>
      </c>
      <c r="D239">
        <v>1</v>
      </c>
      <c r="E239">
        <v>4</v>
      </c>
      <c r="F239">
        <v>4</v>
      </c>
      <c r="G239">
        <v>3</v>
      </c>
      <c r="H239">
        <v>2</v>
      </c>
      <c r="I239">
        <v>1</v>
      </c>
      <c r="J239" s="8">
        <v>70</v>
      </c>
      <c r="K239" t="str">
        <f t="shared" si="6"/>
        <v>Хорошо</v>
      </c>
      <c r="L239" t="str">
        <f t="shared" si="7"/>
        <v>Редко</v>
      </c>
    </row>
    <row r="240" spans="1:12" x14ac:dyDescent="0.2">
      <c r="A240" t="s">
        <v>116</v>
      </c>
      <c r="B240">
        <v>1</v>
      </c>
      <c r="C240">
        <v>4</v>
      </c>
      <c r="D240">
        <v>1</v>
      </c>
      <c r="E240">
        <v>2</v>
      </c>
      <c r="F240">
        <v>2</v>
      </c>
      <c r="G240">
        <v>1</v>
      </c>
      <c r="H240">
        <v>1</v>
      </c>
      <c r="I240">
        <v>1</v>
      </c>
      <c r="J240" s="8">
        <v>80</v>
      </c>
      <c r="K240" t="str">
        <f t="shared" si="6"/>
        <v>Хорошо</v>
      </c>
      <c r="L240" t="str">
        <f t="shared" si="7"/>
        <v>Часто</v>
      </c>
    </row>
    <row r="241" spans="1:12" x14ac:dyDescent="0.2">
      <c r="A241" t="s">
        <v>116</v>
      </c>
      <c r="B241">
        <v>1</v>
      </c>
      <c r="C241">
        <v>5</v>
      </c>
      <c r="D241">
        <v>1</v>
      </c>
      <c r="E241">
        <v>2</v>
      </c>
      <c r="F241">
        <v>2</v>
      </c>
      <c r="G241">
        <v>1</v>
      </c>
      <c r="H241">
        <v>1</v>
      </c>
      <c r="I241">
        <v>1</v>
      </c>
      <c r="J241" s="8">
        <v>80</v>
      </c>
      <c r="K241" t="str">
        <f t="shared" si="6"/>
        <v>Хорошо</v>
      </c>
      <c r="L241" t="str">
        <f t="shared" si="7"/>
        <v>Часто</v>
      </c>
    </row>
    <row r="242" spans="1:12" x14ac:dyDescent="0.2">
      <c r="A242" t="s">
        <v>116</v>
      </c>
      <c r="B242">
        <v>8</v>
      </c>
      <c r="C242">
        <v>5</v>
      </c>
      <c r="D242">
        <v>1</v>
      </c>
      <c r="E242">
        <v>2</v>
      </c>
      <c r="F242">
        <v>3</v>
      </c>
      <c r="G242">
        <v>1</v>
      </c>
      <c r="H242">
        <v>1</v>
      </c>
      <c r="I242">
        <v>1</v>
      </c>
      <c r="J242" s="8">
        <v>80</v>
      </c>
      <c r="K242" t="str">
        <f t="shared" si="6"/>
        <v>Хорошо</v>
      </c>
      <c r="L242" t="str">
        <f t="shared" si="7"/>
        <v>Часто</v>
      </c>
    </row>
    <row r="243" spans="1:12" x14ac:dyDescent="0.2">
      <c r="A243" t="s">
        <v>117</v>
      </c>
      <c r="B243">
        <v>8</v>
      </c>
      <c r="C243">
        <v>5</v>
      </c>
      <c r="D243">
        <v>1</v>
      </c>
      <c r="E243">
        <v>1</v>
      </c>
      <c r="F243">
        <v>2</v>
      </c>
      <c r="G243">
        <v>1</v>
      </c>
      <c r="H243">
        <v>1</v>
      </c>
      <c r="I243">
        <v>1</v>
      </c>
      <c r="J243" s="8">
        <v>80</v>
      </c>
      <c r="K243" t="str">
        <f t="shared" si="6"/>
        <v>Хорошо</v>
      </c>
      <c r="L243" t="str">
        <f t="shared" si="7"/>
        <v>Часто</v>
      </c>
    </row>
    <row r="244" spans="1:12" x14ac:dyDescent="0.2">
      <c r="A244" t="s">
        <v>117</v>
      </c>
      <c r="B244">
        <v>10</v>
      </c>
      <c r="C244">
        <v>5</v>
      </c>
      <c r="D244">
        <v>1</v>
      </c>
      <c r="E244">
        <v>4</v>
      </c>
      <c r="F244">
        <v>3</v>
      </c>
      <c r="G244">
        <v>1</v>
      </c>
      <c r="H244">
        <v>3</v>
      </c>
      <c r="I244">
        <v>3</v>
      </c>
      <c r="J244" s="8">
        <v>80</v>
      </c>
      <c r="K244" t="str">
        <f t="shared" si="6"/>
        <v>Хорошо</v>
      </c>
      <c r="L244" t="str">
        <f t="shared" si="7"/>
        <v>Часто</v>
      </c>
    </row>
    <row r="245" spans="1:12" x14ac:dyDescent="0.2">
      <c r="A245" t="s">
        <v>116</v>
      </c>
      <c r="B245">
        <v>8</v>
      </c>
      <c r="C245">
        <v>5</v>
      </c>
      <c r="D245">
        <v>1</v>
      </c>
      <c r="E245">
        <v>2</v>
      </c>
      <c r="F245">
        <v>5</v>
      </c>
      <c r="G245">
        <v>1</v>
      </c>
      <c r="H245">
        <v>1</v>
      </c>
      <c r="I245">
        <v>1</v>
      </c>
      <c r="J245" s="8">
        <v>81</v>
      </c>
      <c r="K245" t="str">
        <f t="shared" si="6"/>
        <v>Отлично</v>
      </c>
      <c r="L245" t="str">
        <f t="shared" si="7"/>
        <v>Часто</v>
      </c>
    </row>
    <row r="246" spans="1:12" x14ac:dyDescent="0.2">
      <c r="A246" t="s">
        <v>117</v>
      </c>
      <c r="B246">
        <v>1</v>
      </c>
      <c r="C246">
        <v>3</v>
      </c>
      <c r="D246">
        <v>1</v>
      </c>
      <c r="E246">
        <v>3</v>
      </c>
      <c r="F246">
        <v>3</v>
      </c>
      <c r="G246">
        <v>1</v>
      </c>
      <c r="H246">
        <v>1</v>
      </c>
      <c r="I246">
        <v>1</v>
      </c>
      <c r="J246" s="8">
        <v>83</v>
      </c>
      <c r="K246" t="str">
        <f t="shared" si="6"/>
        <v>Отлично</v>
      </c>
      <c r="L246" t="str">
        <f t="shared" si="7"/>
        <v>Часто</v>
      </c>
    </row>
    <row r="247" spans="1:12" x14ac:dyDescent="0.2">
      <c r="A247" t="s">
        <v>116</v>
      </c>
      <c r="B247">
        <v>11</v>
      </c>
      <c r="C247">
        <v>3</v>
      </c>
      <c r="D247">
        <v>1</v>
      </c>
      <c r="E247">
        <v>3</v>
      </c>
      <c r="F247">
        <v>2</v>
      </c>
      <c r="G247">
        <v>1</v>
      </c>
      <c r="H247">
        <v>3</v>
      </c>
      <c r="I247">
        <v>2</v>
      </c>
      <c r="J247" s="8">
        <v>85</v>
      </c>
      <c r="K247" t="str">
        <f t="shared" si="6"/>
        <v>Отлично</v>
      </c>
      <c r="L247" t="str">
        <f t="shared" si="7"/>
        <v>Часто</v>
      </c>
    </row>
    <row r="248" spans="1:12" x14ac:dyDescent="0.2">
      <c r="A248" t="s">
        <v>117</v>
      </c>
      <c r="B248">
        <v>4</v>
      </c>
      <c r="C248">
        <v>3</v>
      </c>
      <c r="D248">
        <v>1</v>
      </c>
      <c r="E248">
        <v>4</v>
      </c>
      <c r="F248">
        <v>5</v>
      </c>
      <c r="G248">
        <v>1</v>
      </c>
      <c r="H248">
        <v>4</v>
      </c>
      <c r="I248">
        <v>3</v>
      </c>
      <c r="J248" s="8">
        <v>85</v>
      </c>
      <c r="K248" t="str">
        <f t="shared" si="6"/>
        <v>Отлично</v>
      </c>
      <c r="L248" t="str">
        <f t="shared" si="7"/>
        <v>Часто</v>
      </c>
    </row>
    <row r="249" spans="1:12" x14ac:dyDescent="0.2">
      <c r="A249" t="s">
        <v>117</v>
      </c>
      <c r="B249">
        <v>8</v>
      </c>
      <c r="C249">
        <v>4</v>
      </c>
      <c r="D249">
        <v>1</v>
      </c>
      <c r="E249">
        <v>3</v>
      </c>
      <c r="F249">
        <v>2</v>
      </c>
      <c r="G249">
        <v>1</v>
      </c>
      <c r="H249">
        <v>3</v>
      </c>
      <c r="I249">
        <v>4</v>
      </c>
      <c r="J249" s="8">
        <v>85</v>
      </c>
      <c r="K249" t="str">
        <f t="shared" si="6"/>
        <v>Отлично</v>
      </c>
      <c r="L249" t="str">
        <f t="shared" si="7"/>
        <v>Часто</v>
      </c>
    </row>
    <row r="250" spans="1:12" x14ac:dyDescent="0.2">
      <c r="A250" t="s">
        <v>117</v>
      </c>
      <c r="B250">
        <v>8</v>
      </c>
      <c r="C250">
        <v>5</v>
      </c>
      <c r="D250">
        <v>1</v>
      </c>
      <c r="E250">
        <v>2</v>
      </c>
      <c r="F250">
        <v>4</v>
      </c>
      <c r="G250">
        <v>1</v>
      </c>
      <c r="H250">
        <v>3</v>
      </c>
      <c r="I250">
        <v>2</v>
      </c>
      <c r="J250" s="8">
        <v>85.3</v>
      </c>
      <c r="K250" t="str">
        <f t="shared" si="6"/>
        <v>Отлично</v>
      </c>
      <c r="L250" t="str">
        <f t="shared" si="7"/>
        <v>Часто</v>
      </c>
    </row>
    <row r="251" spans="1:12" x14ac:dyDescent="0.2">
      <c r="A251" t="s">
        <v>116</v>
      </c>
      <c r="B251">
        <v>2</v>
      </c>
      <c r="C251">
        <v>5</v>
      </c>
      <c r="D251">
        <v>1</v>
      </c>
      <c r="E251">
        <v>3</v>
      </c>
      <c r="F251">
        <v>2</v>
      </c>
      <c r="G251">
        <v>1</v>
      </c>
      <c r="H251">
        <v>1</v>
      </c>
      <c r="I251">
        <v>1</v>
      </c>
      <c r="J251" s="8">
        <v>86</v>
      </c>
      <c r="K251" t="str">
        <f t="shared" si="6"/>
        <v>Отлично</v>
      </c>
      <c r="L251" t="str">
        <f t="shared" si="7"/>
        <v>Часто</v>
      </c>
    </row>
    <row r="252" spans="1:12" x14ac:dyDescent="0.2">
      <c r="A252" t="s">
        <v>116</v>
      </c>
      <c r="B252">
        <v>2</v>
      </c>
      <c r="C252">
        <v>5</v>
      </c>
      <c r="D252">
        <v>1</v>
      </c>
      <c r="E252">
        <v>5</v>
      </c>
      <c r="F252">
        <v>6</v>
      </c>
      <c r="G252">
        <v>1</v>
      </c>
      <c r="H252">
        <v>1</v>
      </c>
      <c r="I252">
        <v>2</v>
      </c>
      <c r="J252" s="8">
        <v>87</v>
      </c>
      <c r="K252" t="str">
        <f t="shared" si="6"/>
        <v>Отлично</v>
      </c>
      <c r="L252" t="str">
        <f t="shared" si="7"/>
        <v>Часто</v>
      </c>
    </row>
    <row r="253" spans="1:12" x14ac:dyDescent="0.2">
      <c r="A253" t="s">
        <v>116</v>
      </c>
      <c r="B253">
        <v>2</v>
      </c>
      <c r="C253">
        <v>4</v>
      </c>
      <c r="D253">
        <v>1</v>
      </c>
      <c r="E253">
        <v>2</v>
      </c>
      <c r="F253">
        <v>2</v>
      </c>
      <c r="G253">
        <v>1</v>
      </c>
      <c r="H253">
        <v>1</v>
      </c>
      <c r="I253">
        <v>2</v>
      </c>
      <c r="J253" s="8">
        <v>88</v>
      </c>
      <c r="K253" t="str">
        <f t="shared" si="6"/>
        <v>Отлично</v>
      </c>
      <c r="L253" t="str">
        <f t="shared" si="7"/>
        <v>Часто</v>
      </c>
    </row>
    <row r="254" spans="1:12" x14ac:dyDescent="0.2">
      <c r="A254" t="s">
        <v>116</v>
      </c>
      <c r="B254">
        <v>1</v>
      </c>
      <c r="C254">
        <v>5</v>
      </c>
      <c r="D254">
        <v>1</v>
      </c>
      <c r="E254">
        <v>4</v>
      </c>
      <c r="F254">
        <v>2</v>
      </c>
      <c r="G254">
        <v>1</v>
      </c>
      <c r="H254">
        <v>2</v>
      </c>
      <c r="I254">
        <v>2</v>
      </c>
      <c r="J254" s="8">
        <v>88</v>
      </c>
      <c r="K254" t="str">
        <f t="shared" si="6"/>
        <v>Отлично</v>
      </c>
      <c r="L254" t="str">
        <f t="shared" si="7"/>
        <v>Часто</v>
      </c>
    </row>
    <row r="255" spans="1:12" x14ac:dyDescent="0.2">
      <c r="A255" t="s">
        <v>116</v>
      </c>
      <c r="B255">
        <v>8</v>
      </c>
      <c r="C255">
        <v>5</v>
      </c>
      <c r="D255">
        <v>1</v>
      </c>
      <c r="E255">
        <v>2</v>
      </c>
      <c r="F255">
        <v>4</v>
      </c>
      <c r="G255">
        <v>1</v>
      </c>
      <c r="H255">
        <v>3</v>
      </c>
      <c r="I255">
        <v>1</v>
      </c>
      <c r="J255" s="8">
        <v>90</v>
      </c>
      <c r="K255" t="str">
        <f t="shared" si="6"/>
        <v>Отлично</v>
      </c>
      <c r="L255" t="str">
        <f t="shared" si="7"/>
        <v>Часто</v>
      </c>
    </row>
    <row r="256" spans="1:12" x14ac:dyDescent="0.2">
      <c r="A256" t="s">
        <v>116</v>
      </c>
      <c r="B256">
        <v>2</v>
      </c>
      <c r="C256">
        <v>5</v>
      </c>
      <c r="D256">
        <v>1</v>
      </c>
      <c r="E256">
        <v>5</v>
      </c>
      <c r="F256">
        <v>3</v>
      </c>
      <c r="G256">
        <v>1</v>
      </c>
      <c r="H256">
        <v>1</v>
      </c>
      <c r="I256">
        <v>2</v>
      </c>
      <c r="J256" s="8">
        <v>90</v>
      </c>
      <c r="K256" t="str">
        <f t="shared" si="6"/>
        <v>Отлично</v>
      </c>
      <c r="L256" t="str">
        <f t="shared" si="7"/>
        <v>Часто</v>
      </c>
    </row>
    <row r="257" spans="1:12" x14ac:dyDescent="0.2">
      <c r="A257" t="s">
        <v>117</v>
      </c>
      <c r="B257">
        <v>3</v>
      </c>
      <c r="C257">
        <v>0</v>
      </c>
      <c r="D257">
        <v>0</v>
      </c>
      <c r="E257">
        <v>2</v>
      </c>
      <c r="F257">
        <v>4</v>
      </c>
      <c r="G257">
        <v>1</v>
      </c>
      <c r="H257">
        <v>0</v>
      </c>
      <c r="I257">
        <v>0</v>
      </c>
      <c r="J257" s="8">
        <v>70</v>
      </c>
      <c r="K257" t="str">
        <f t="shared" si="6"/>
        <v>Хорошо</v>
      </c>
      <c r="L257" t="str">
        <f t="shared" si="7"/>
        <v>Редко</v>
      </c>
    </row>
    <row r="258" spans="1:12" x14ac:dyDescent="0.2">
      <c r="A258" t="s">
        <v>117</v>
      </c>
      <c r="B258">
        <v>4</v>
      </c>
      <c r="C258">
        <v>0</v>
      </c>
      <c r="D258">
        <v>0</v>
      </c>
      <c r="E258">
        <v>2</v>
      </c>
      <c r="F258">
        <v>2</v>
      </c>
      <c r="G258">
        <v>2</v>
      </c>
      <c r="H258">
        <v>0</v>
      </c>
      <c r="I258">
        <v>0</v>
      </c>
      <c r="J258" s="8">
        <v>70</v>
      </c>
      <c r="K258" t="str">
        <f t="shared" si="6"/>
        <v>Хорошо</v>
      </c>
      <c r="L258" t="str">
        <f t="shared" si="7"/>
        <v>Редко</v>
      </c>
    </row>
    <row r="259" spans="1:12" x14ac:dyDescent="0.2">
      <c r="A259" t="s">
        <v>117</v>
      </c>
      <c r="B259">
        <v>4</v>
      </c>
      <c r="C259">
        <v>0</v>
      </c>
      <c r="D259">
        <v>0</v>
      </c>
      <c r="E259">
        <v>3</v>
      </c>
      <c r="F259">
        <v>3</v>
      </c>
      <c r="G259">
        <v>1</v>
      </c>
      <c r="H259">
        <v>0</v>
      </c>
      <c r="I259">
        <v>0</v>
      </c>
      <c r="J259" s="8">
        <v>70</v>
      </c>
      <c r="K259" t="str">
        <f t="shared" ref="K259:K322" si="8">IF(J259&gt;20,IF(J259&gt;40,IF(J259&gt;60,IF(J259&gt;80,"Отлично","Хорошо"),"Средне"),"Плохо"),"Ужасно")</f>
        <v>Хорошо</v>
      </c>
      <c r="L259" t="str">
        <f t="shared" ref="L259:L322" si="9">IF(C259&gt;2,"Часто","Редко")</f>
        <v>Редко</v>
      </c>
    </row>
    <row r="260" spans="1:12" x14ac:dyDescent="0.2">
      <c r="A260" t="s">
        <v>117</v>
      </c>
      <c r="B260">
        <v>1</v>
      </c>
      <c r="C260">
        <v>0</v>
      </c>
      <c r="D260">
        <v>0</v>
      </c>
      <c r="E260">
        <v>3</v>
      </c>
      <c r="F260">
        <v>3</v>
      </c>
      <c r="G260">
        <v>3</v>
      </c>
      <c r="H260">
        <v>0</v>
      </c>
      <c r="I260">
        <v>0</v>
      </c>
      <c r="J260" s="8">
        <v>70</v>
      </c>
      <c r="K260" t="str">
        <f t="shared" si="8"/>
        <v>Хорошо</v>
      </c>
      <c r="L260" t="str">
        <f t="shared" si="9"/>
        <v>Редко</v>
      </c>
    </row>
    <row r="261" spans="1:12" x14ac:dyDescent="0.2">
      <c r="A261" t="s">
        <v>117</v>
      </c>
      <c r="B261">
        <v>8</v>
      </c>
      <c r="C261">
        <v>1</v>
      </c>
      <c r="D261">
        <v>1</v>
      </c>
      <c r="E261">
        <v>2</v>
      </c>
      <c r="F261">
        <v>2</v>
      </c>
      <c r="G261">
        <v>1</v>
      </c>
      <c r="H261">
        <v>4</v>
      </c>
      <c r="I261">
        <v>5</v>
      </c>
      <c r="J261" s="8">
        <v>70</v>
      </c>
      <c r="K261" t="str">
        <f t="shared" si="8"/>
        <v>Хорошо</v>
      </c>
      <c r="L261" t="str">
        <f t="shared" si="9"/>
        <v>Редко</v>
      </c>
    </row>
    <row r="262" spans="1:12" x14ac:dyDescent="0.2">
      <c r="A262" t="s">
        <v>117</v>
      </c>
      <c r="B262">
        <v>2</v>
      </c>
      <c r="C262">
        <v>1</v>
      </c>
      <c r="D262">
        <v>1</v>
      </c>
      <c r="E262">
        <v>2</v>
      </c>
      <c r="F262">
        <v>3</v>
      </c>
      <c r="G262">
        <v>2</v>
      </c>
      <c r="H262">
        <v>2</v>
      </c>
      <c r="I262">
        <v>3</v>
      </c>
      <c r="J262" s="8">
        <v>70</v>
      </c>
      <c r="K262" t="str">
        <f t="shared" si="8"/>
        <v>Хорошо</v>
      </c>
      <c r="L262" t="str">
        <f t="shared" si="9"/>
        <v>Редко</v>
      </c>
    </row>
    <row r="263" spans="1:12" x14ac:dyDescent="0.2">
      <c r="A263" t="s">
        <v>117</v>
      </c>
      <c r="B263">
        <v>2</v>
      </c>
      <c r="C263">
        <v>1</v>
      </c>
      <c r="D263">
        <v>1</v>
      </c>
      <c r="E263">
        <v>2</v>
      </c>
      <c r="F263">
        <v>4</v>
      </c>
      <c r="G263">
        <v>2</v>
      </c>
      <c r="H263">
        <v>3</v>
      </c>
      <c r="I263">
        <v>2</v>
      </c>
      <c r="J263" s="8">
        <v>70</v>
      </c>
      <c r="K263" t="str">
        <f t="shared" si="8"/>
        <v>Хорошо</v>
      </c>
      <c r="L263" t="str">
        <f t="shared" si="9"/>
        <v>Редко</v>
      </c>
    </row>
    <row r="264" spans="1:12" x14ac:dyDescent="0.2">
      <c r="A264" t="s">
        <v>117</v>
      </c>
      <c r="B264">
        <v>4</v>
      </c>
      <c r="C264">
        <v>1</v>
      </c>
      <c r="D264">
        <v>1</v>
      </c>
      <c r="E264">
        <v>3</v>
      </c>
      <c r="F264">
        <v>5</v>
      </c>
      <c r="G264">
        <v>2</v>
      </c>
      <c r="H264">
        <v>4</v>
      </c>
      <c r="I264">
        <v>5</v>
      </c>
      <c r="J264" s="8">
        <v>70</v>
      </c>
      <c r="K264" t="str">
        <f t="shared" si="8"/>
        <v>Хорошо</v>
      </c>
      <c r="L264" t="str">
        <f t="shared" si="9"/>
        <v>Редко</v>
      </c>
    </row>
    <row r="265" spans="1:12" x14ac:dyDescent="0.2">
      <c r="A265" t="s">
        <v>117</v>
      </c>
      <c r="B265">
        <v>4</v>
      </c>
      <c r="C265">
        <v>1</v>
      </c>
      <c r="D265">
        <v>1</v>
      </c>
      <c r="E265">
        <v>3</v>
      </c>
      <c r="F265">
        <v>3</v>
      </c>
      <c r="G265">
        <v>4</v>
      </c>
      <c r="H265">
        <v>3</v>
      </c>
      <c r="I265">
        <v>5</v>
      </c>
      <c r="J265" s="8">
        <v>70</v>
      </c>
      <c r="K265" t="str">
        <f t="shared" si="8"/>
        <v>Хорошо</v>
      </c>
      <c r="L265" t="str">
        <f t="shared" si="9"/>
        <v>Редко</v>
      </c>
    </row>
    <row r="266" spans="1:12" x14ac:dyDescent="0.2">
      <c r="A266" t="s">
        <v>117</v>
      </c>
      <c r="B266">
        <v>8</v>
      </c>
      <c r="C266">
        <v>1</v>
      </c>
      <c r="D266">
        <v>1</v>
      </c>
      <c r="E266">
        <v>3</v>
      </c>
      <c r="F266">
        <v>3</v>
      </c>
      <c r="G266">
        <v>4</v>
      </c>
      <c r="H266">
        <v>4</v>
      </c>
      <c r="I266">
        <v>2</v>
      </c>
      <c r="J266" s="8">
        <v>70</v>
      </c>
      <c r="K266" t="str">
        <f t="shared" si="8"/>
        <v>Хорошо</v>
      </c>
      <c r="L266" t="str">
        <f t="shared" si="9"/>
        <v>Редко</v>
      </c>
    </row>
    <row r="267" spans="1:12" x14ac:dyDescent="0.2">
      <c r="A267" t="s">
        <v>117</v>
      </c>
      <c r="B267">
        <v>8</v>
      </c>
      <c r="C267">
        <v>1</v>
      </c>
      <c r="D267">
        <v>1</v>
      </c>
      <c r="E267">
        <v>4</v>
      </c>
      <c r="F267">
        <v>3</v>
      </c>
      <c r="G267">
        <v>4</v>
      </c>
      <c r="H267">
        <v>4</v>
      </c>
      <c r="I267">
        <v>2</v>
      </c>
      <c r="J267" s="8">
        <v>70</v>
      </c>
      <c r="K267" t="str">
        <f t="shared" si="8"/>
        <v>Хорошо</v>
      </c>
      <c r="L267" t="str">
        <f t="shared" si="9"/>
        <v>Редко</v>
      </c>
    </row>
    <row r="268" spans="1:12" x14ac:dyDescent="0.2">
      <c r="A268" t="s">
        <v>117</v>
      </c>
      <c r="B268">
        <v>8</v>
      </c>
      <c r="C268">
        <v>1</v>
      </c>
      <c r="D268">
        <v>1</v>
      </c>
      <c r="E268">
        <v>4</v>
      </c>
      <c r="F268">
        <v>4</v>
      </c>
      <c r="G268">
        <v>4</v>
      </c>
      <c r="H268">
        <v>1</v>
      </c>
      <c r="I268">
        <v>1</v>
      </c>
      <c r="J268" s="8">
        <v>70</v>
      </c>
      <c r="K268" t="str">
        <f t="shared" si="8"/>
        <v>Хорошо</v>
      </c>
      <c r="L268" t="str">
        <f t="shared" si="9"/>
        <v>Редко</v>
      </c>
    </row>
    <row r="269" spans="1:12" x14ac:dyDescent="0.2">
      <c r="A269" t="s">
        <v>117</v>
      </c>
      <c r="B269">
        <v>9</v>
      </c>
      <c r="C269">
        <v>1</v>
      </c>
      <c r="D269">
        <v>1</v>
      </c>
      <c r="E269">
        <v>5</v>
      </c>
      <c r="F269">
        <v>5</v>
      </c>
      <c r="G269">
        <v>0</v>
      </c>
      <c r="H269">
        <v>3</v>
      </c>
      <c r="I269">
        <v>2</v>
      </c>
      <c r="J269" s="8">
        <v>70</v>
      </c>
      <c r="K269" t="str">
        <f t="shared" si="8"/>
        <v>Хорошо</v>
      </c>
      <c r="L269" t="str">
        <f t="shared" si="9"/>
        <v>Редко</v>
      </c>
    </row>
    <row r="270" spans="1:12" x14ac:dyDescent="0.2">
      <c r="A270" t="s">
        <v>117</v>
      </c>
      <c r="B270">
        <v>1</v>
      </c>
      <c r="C270">
        <v>2</v>
      </c>
      <c r="D270">
        <v>1</v>
      </c>
      <c r="E270">
        <v>2</v>
      </c>
      <c r="F270">
        <v>3</v>
      </c>
      <c r="G270">
        <v>1</v>
      </c>
      <c r="H270">
        <v>2</v>
      </c>
      <c r="I270">
        <v>1</v>
      </c>
      <c r="J270" s="8">
        <v>70</v>
      </c>
      <c r="K270" t="str">
        <f t="shared" si="8"/>
        <v>Хорошо</v>
      </c>
      <c r="L270" t="str">
        <f t="shared" si="9"/>
        <v>Редко</v>
      </c>
    </row>
    <row r="271" spans="1:12" x14ac:dyDescent="0.2">
      <c r="A271" t="s">
        <v>117</v>
      </c>
      <c r="B271">
        <v>10</v>
      </c>
      <c r="C271">
        <v>2</v>
      </c>
      <c r="D271">
        <v>1</v>
      </c>
      <c r="E271">
        <v>4</v>
      </c>
      <c r="F271">
        <v>5</v>
      </c>
      <c r="G271">
        <v>2</v>
      </c>
      <c r="H271">
        <v>1</v>
      </c>
      <c r="I271">
        <v>3</v>
      </c>
      <c r="J271" s="8">
        <v>70</v>
      </c>
      <c r="K271" t="str">
        <f t="shared" si="8"/>
        <v>Хорошо</v>
      </c>
      <c r="L271" t="str">
        <f t="shared" si="9"/>
        <v>Редко</v>
      </c>
    </row>
    <row r="272" spans="1:12" x14ac:dyDescent="0.2">
      <c r="A272" t="s">
        <v>117</v>
      </c>
      <c r="B272">
        <v>8</v>
      </c>
      <c r="C272">
        <v>3</v>
      </c>
      <c r="D272">
        <v>1</v>
      </c>
      <c r="E272">
        <v>3</v>
      </c>
      <c r="F272">
        <v>2</v>
      </c>
      <c r="G272">
        <v>1</v>
      </c>
      <c r="H272">
        <v>3</v>
      </c>
      <c r="I272">
        <v>2</v>
      </c>
      <c r="J272" s="8">
        <v>90</v>
      </c>
      <c r="K272" t="str">
        <f t="shared" si="8"/>
        <v>Отлично</v>
      </c>
      <c r="L272" t="str">
        <f t="shared" si="9"/>
        <v>Часто</v>
      </c>
    </row>
    <row r="273" spans="1:12" x14ac:dyDescent="0.2">
      <c r="A273" t="s">
        <v>117</v>
      </c>
      <c r="B273">
        <v>8</v>
      </c>
      <c r="C273">
        <v>4</v>
      </c>
      <c r="D273">
        <v>1</v>
      </c>
      <c r="E273">
        <v>3</v>
      </c>
      <c r="F273">
        <v>5</v>
      </c>
      <c r="G273">
        <v>1</v>
      </c>
      <c r="H273">
        <v>1</v>
      </c>
      <c r="I273">
        <v>1</v>
      </c>
      <c r="J273" s="8">
        <v>90</v>
      </c>
      <c r="K273" t="str">
        <f t="shared" si="8"/>
        <v>Отлично</v>
      </c>
      <c r="L273" t="str">
        <f t="shared" si="9"/>
        <v>Часто</v>
      </c>
    </row>
    <row r="274" spans="1:12" x14ac:dyDescent="0.2">
      <c r="A274" t="s">
        <v>116</v>
      </c>
      <c r="B274">
        <v>1</v>
      </c>
      <c r="C274">
        <v>5</v>
      </c>
      <c r="D274">
        <v>1</v>
      </c>
      <c r="E274">
        <v>1</v>
      </c>
      <c r="F274">
        <v>2</v>
      </c>
      <c r="G274">
        <v>1</v>
      </c>
      <c r="H274">
        <v>1</v>
      </c>
      <c r="I274">
        <v>1</v>
      </c>
      <c r="J274" s="8">
        <v>93</v>
      </c>
      <c r="K274" t="str">
        <f t="shared" si="8"/>
        <v>Отлично</v>
      </c>
      <c r="L274" t="str">
        <f t="shared" si="9"/>
        <v>Часто</v>
      </c>
    </row>
    <row r="275" spans="1:12" x14ac:dyDescent="0.2">
      <c r="A275" t="s">
        <v>117</v>
      </c>
      <c r="B275">
        <v>1</v>
      </c>
      <c r="C275">
        <v>4</v>
      </c>
      <c r="D275">
        <v>1</v>
      </c>
      <c r="E275">
        <v>3</v>
      </c>
      <c r="F275">
        <v>2</v>
      </c>
      <c r="G275">
        <v>1</v>
      </c>
      <c r="H275">
        <v>4</v>
      </c>
      <c r="I275">
        <v>2</v>
      </c>
      <c r="J275" s="8">
        <v>93</v>
      </c>
      <c r="K275" t="str">
        <f t="shared" si="8"/>
        <v>Отлично</v>
      </c>
      <c r="L275" t="str">
        <f t="shared" si="9"/>
        <v>Часто</v>
      </c>
    </row>
    <row r="276" spans="1:12" x14ac:dyDescent="0.2">
      <c r="A276" t="s">
        <v>116</v>
      </c>
      <c r="B276">
        <v>1</v>
      </c>
      <c r="C276">
        <v>5</v>
      </c>
      <c r="D276">
        <v>1</v>
      </c>
      <c r="E276">
        <v>5</v>
      </c>
      <c r="F276">
        <v>2</v>
      </c>
      <c r="G276">
        <v>1</v>
      </c>
      <c r="H276">
        <v>1</v>
      </c>
      <c r="I276">
        <v>1</v>
      </c>
      <c r="J276" s="8">
        <v>95</v>
      </c>
      <c r="K276" t="str">
        <f t="shared" si="8"/>
        <v>Отлично</v>
      </c>
      <c r="L276" t="str">
        <f t="shared" si="9"/>
        <v>Часто</v>
      </c>
    </row>
    <row r="277" spans="1:12" x14ac:dyDescent="0.2">
      <c r="A277" t="s">
        <v>116</v>
      </c>
      <c r="B277">
        <v>1</v>
      </c>
      <c r="C277">
        <v>5</v>
      </c>
      <c r="D277">
        <v>1</v>
      </c>
      <c r="E277">
        <v>1</v>
      </c>
      <c r="F277">
        <v>4</v>
      </c>
      <c r="G277">
        <v>1</v>
      </c>
      <c r="H277">
        <v>1</v>
      </c>
      <c r="I277">
        <v>1</v>
      </c>
      <c r="J277" s="8">
        <v>98</v>
      </c>
      <c r="K277" t="str">
        <f t="shared" si="8"/>
        <v>Отлично</v>
      </c>
      <c r="L277" t="str">
        <f t="shared" si="9"/>
        <v>Часто</v>
      </c>
    </row>
    <row r="278" spans="1:12" x14ac:dyDescent="0.2">
      <c r="A278" t="s">
        <v>117</v>
      </c>
      <c r="B278">
        <v>4</v>
      </c>
      <c r="C278">
        <v>4</v>
      </c>
      <c r="D278">
        <v>1</v>
      </c>
      <c r="E278">
        <v>4</v>
      </c>
      <c r="F278">
        <v>4</v>
      </c>
      <c r="G278">
        <v>2</v>
      </c>
      <c r="H278">
        <v>1</v>
      </c>
      <c r="I278">
        <v>1</v>
      </c>
      <c r="J278" s="8">
        <v>40</v>
      </c>
      <c r="K278" t="str">
        <f t="shared" si="8"/>
        <v>Плохо</v>
      </c>
      <c r="L278" t="str">
        <f t="shared" si="9"/>
        <v>Часто</v>
      </c>
    </row>
    <row r="279" spans="1:12" x14ac:dyDescent="0.2">
      <c r="A279" t="s">
        <v>117</v>
      </c>
      <c r="B279">
        <v>2</v>
      </c>
      <c r="C279">
        <v>5</v>
      </c>
      <c r="D279">
        <v>1</v>
      </c>
      <c r="E279">
        <v>3</v>
      </c>
      <c r="F279">
        <v>3</v>
      </c>
      <c r="G279">
        <v>2</v>
      </c>
      <c r="H279">
        <v>4</v>
      </c>
      <c r="I279">
        <v>2</v>
      </c>
      <c r="J279" s="8">
        <v>40</v>
      </c>
      <c r="K279" t="str">
        <f t="shared" si="8"/>
        <v>Плохо</v>
      </c>
      <c r="L279" t="str">
        <f t="shared" si="9"/>
        <v>Часто</v>
      </c>
    </row>
    <row r="280" spans="1:12" x14ac:dyDescent="0.2">
      <c r="A280" t="s">
        <v>117</v>
      </c>
      <c r="B280">
        <v>4</v>
      </c>
      <c r="C280">
        <v>4</v>
      </c>
      <c r="D280">
        <v>1</v>
      </c>
      <c r="E280">
        <v>3</v>
      </c>
      <c r="F280">
        <v>5</v>
      </c>
      <c r="G280">
        <v>2</v>
      </c>
      <c r="H280">
        <v>1</v>
      </c>
      <c r="I280">
        <v>1</v>
      </c>
      <c r="J280" s="8">
        <v>42.5</v>
      </c>
      <c r="K280" t="str">
        <f t="shared" si="8"/>
        <v>Средне</v>
      </c>
      <c r="L280" t="str">
        <f t="shared" si="9"/>
        <v>Часто</v>
      </c>
    </row>
    <row r="281" spans="1:12" x14ac:dyDescent="0.2">
      <c r="A281" t="s">
        <v>117</v>
      </c>
      <c r="B281">
        <v>4</v>
      </c>
      <c r="C281">
        <v>3</v>
      </c>
      <c r="D281">
        <v>1</v>
      </c>
      <c r="E281">
        <v>1</v>
      </c>
      <c r="F281">
        <v>3</v>
      </c>
      <c r="G281">
        <v>2</v>
      </c>
      <c r="H281">
        <v>2</v>
      </c>
      <c r="I281">
        <v>2</v>
      </c>
      <c r="J281" s="8">
        <v>43</v>
      </c>
      <c r="K281" t="str">
        <f t="shared" si="8"/>
        <v>Средне</v>
      </c>
      <c r="L281" t="str">
        <f t="shared" si="9"/>
        <v>Часто</v>
      </c>
    </row>
    <row r="282" spans="1:12" x14ac:dyDescent="0.2">
      <c r="A282" t="s">
        <v>116</v>
      </c>
      <c r="B282">
        <v>1</v>
      </c>
      <c r="C282">
        <v>5</v>
      </c>
      <c r="D282">
        <v>1</v>
      </c>
      <c r="E282">
        <v>3</v>
      </c>
      <c r="F282">
        <v>2</v>
      </c>
      <c r="G282">
        <v>2</v>
      </c>
      <c r="H282">
        <v>3</v>
      </c>
      <c r="I282">
        <v>1</v>
      </c>
      <c r="J282" s="8">
        <v>45</v>
      </c>
      <c r="K282" t="str">
        <f t="shared" si="8"/>
        <v>Средне</v>
      </c>
      <c r="L282" t="str">
        <f t="shared" si="9"/>
        <v>Часто</v>
      </c>
    </row>
    <row r="283" spans="1:12" x14ac:dyDescent="0.2">
      <c r="A283" t="s">
        <v>116</v>
      </c>
      <c r="B283">
        <v>2</v>
      </c>
      <c r="C283">
        <v>5</v>
      </c>
      <c r="D283">
        <v>1</v>
      </c>
      <c r="E283">
        <v>3</v>
      </c>
      <c r="F283">
        <v>4</v>
      </c>
      <c r="G283">
        <v>2</v>
      </c>
      <c r="H283">
        <v>2</v>
      </c>
      <c r="I283">
        <v>4</v>
      </c>
      <c r="J283" s="8">
        <v>45.5</v>
      </c>
      <c r="K283" t="str">
        <f t="shared" si="8"/>
        <v>Средне</v>
      </c>
      <c r="L283" t="str">
        <f t="shared" si="9"/>
        <v>Часто</v>
      </c>
    </row>
    <row r="284" spans="1:12" x14ac:dyDescent="0.2">
      <c r="A284" t="s">
        <v>117</v>
      </c>
      <c r="B284">
        <v>2</v>
      </c>
      <c r="C284">
        <v>5</v>
      </c>
      <c r="D284">
        <v>1</v>
      </c>
      <c r="E284">
        <v>3</v>
      </c>
      <c r="F284">
        <v>4</v>
      </c>
      <c r="G284">
        <v>2</v>
      </c>
      <c r="H284">
        <v>3</v>
      </c>
      <c r="I284">
        <v>3</v>
      </c>
      <c r="J284" s="8">
        <v>48</v>
      </c>
      <c r="K284" t="str">
        <f t="shared" si="8"/>
        <v>Средне</v>
      </c>
      <c r="L284" t="str">
        <f t="shared" si="9"/>
        <v>Часто</v>
      </c>
    </row>
    <row r="285" spans="1:12" x14ac:dyDescent="0.2">
      <c r="A285" t="s">
        <v>116</v>
      </c>
      <c r="B285">
        <v>3</v>
      </c>
      <c r="C285">
        <v>4</v>
      </c>
      <c r="D285">
        <v>1</v>
      </c>
      <c r="E285">
        <v>3</v>
      </c>
      <c r="F285">
        <v>3</v>
      </c>
      <c r="G285">
        <v>2</v>
      </c>
      <c r="H285">
        <v>2</v>
      </c>
      <c r="I285">
        <v>3</v>
      </c>
      <c r="J285" s="8">
        <v>50</v>
      </c>
      <c r="K285" t="str">
        <f t="shared" si="8"/>
        <v>Средне</v>
      </c>
      <c r="L285" t="str">
        <f t="shared" si="9"/>
        <v>Часто</v>
      </c>
    </row>
    <row r="286" spans="1:12" x14ac:dyDescent="0.2">
      <c r="A286" t="s">
        <v>116</v>
      </c>
      <c r="B286">
        <v>4</v>
      </c>
      <c r="C286">
        <v>4</v>
      </c>
      <c r="D286">
        <v>1</v>
      </c>
      <c r="E286">
        <v>4</v>
      </c>
      <c r="F286">
        <v>4</v>
      </c>
      <c r="G286">
        <v>2</v>
      </c>
      <c r="H286">
        <v>2</v>
      </c>
      <c r="I286">
        <v>2</v>
      </c>
      <c r="J286" s="8">
        <v>50</v>
      </c>
      <c r="K286" t="str">
        <f t="shared" si="8"/>
        <v>Средне</v>
      </c>
      <c r="L286" t="str">
        <f t="shared" si="9"/>
        <v>Часто</v>
      </c>
    </row>
    <row r="287" spans="1:12" x14ac:dyDescent="0.2">
      <c r="A287" t="s">
        <v>116</v>
      </c>
      <c r="B287">
        <v>1</v>
      </c>
      <c r="C287">
        <v>5</v>
      </c>
      <c r="D287">
        <v>1</v>
      </c>
      <c r="E287">
        <v>3</v>
      </c>
      <c r="F287">
        <v>2</v>
      </c>
      <c r="G287">
        <v>2</v>
      </c>
      <c r="H287">
        <v>1</v>
      </c>
      <c r="I287">
        <v>1</v>
      </c>
      <c r="J287" s="8">
        <v>50</v>
      </c>
      <c r="K287" t="str">
        <f t="shared" si="8"/>
        <v>Средне</v>
      </c>
      <c r="L287" t="str">
        <f t="shared" si="9"/>
        <v>Часто</v>
      </c>
    </row>
    <row r="288" spans="1:12" x14ac:dyDescent="0.2">
      <c r="A288" t="s">
        <v>117</v>
      </c>
      <c r="B288">
        <v>3</v>
      </c>
      <c r="C288">
        <v>3</v>
      </c>
      <c r="D288">
        <v>1</v>
      </c>
      <c r="E288">
        <v>4</v>
      </c>
      <c r="F288">
        <v>4</v>
      </c>
      <c r="G288">
        <v>2</v>
      </c>
      <c r="H288">
        <v>1</v>
      </c>
      <c r="I288">
        <v>1</v>
      </c>
      <c r="J288" s="8">
        <v>50</v>
      </c>
      <c r="K288" t="str">
        <f t="shared" si="8"/>
        <v>Средне</v>
      </c>
      <c r="L288" t="str">
        <f t="shared" si="9"/>
        <v>Часто</v>
      </c>
    </row>
    <row r="289" spans="1:12" x14ac:dyDescent="0.2">
      <c r="A289" t="s">
        <v>116</v>
      </c>
      <c r="B289">
        <v>8</v>
      </c>
      <c r="C289">
        <v>0</v>
      </c>
      <c r="D289">
        <v>0</v>
      </c>
      <c r="E289">
        <v>4</v>
      </c>
      <c r="F289">
        <v>4</v>
      </c>
      <c r="G289">
        <v>2</v>
      </c>
      <c r="H289">
        <v>0</v>
      </c>
      <c r="I289">
        <v>0</v>
      </c>
      <c r="J289" s="8">
        <v>70.5</v>
      </c>
      <c r="K289" t="str">
        <f t="shared" si="8"/>
        <v>Хорошо</v>
      </c>
      <c r="L289" t="str">
        <f t="shared" si="9"/>
        <v>Редко</v>
      </c>
    </row>
    <row r="290" spans="1:12" x14ac:dyDescent="0.2">
      <c r="A290" t="s">
        <v>116</v>
      </c>
      <c r="B290">
        <v>4</v>
      </c>
      <c r="C290">
        <v>0</v>
      </c>
      <c r="D290">
        <v>0</v>
      </c>
      <c r="E290">
        <v>5</v>
      </c>
      <c r="F290">
        <v>5</v>
      </c>
      <c r="G290">
        <v>2</v>
      </c>
      <c r="H290">
        <v>0</v>
      </c>
      <c r="I290">
        <v>0</v>
      </c>
      <c r="J290" s="8">
        <v>70.5</v>
      </c>
      <c r="K290" t="str">
        <f t="shared" si="8"/>
        <v>Хорошо</v>
      </c>
      <c r="L290" t="str">
        <f t="shared" si="9"/>
        <v>Редко</v>
      </c>
    </row>
    <row r="291" spans="1:12" x14ac:dyDescent="0.2">
      <c r="A291" t="s">
        <v>117</v>
      </c>
      <c r="B291">
        <v>3</v>
      </c>
      <c r="C291">
        <v>3</v>
      </c>
      <c r="D291">
        <v>1</v>
      </c>
      <c r="E291">
        <v>5</v>
      </c>
      <c r="F291">
        <v>4</v>
      </c>
      <c r="G291">
        <v>2</v>
      </c>
      <c r="H291">
        <v>3</v>
      </c>
      <c r="I291">
        <v>1</v>
      </c>
      <c r="J291" s="8">
        <v>50</v>
      </c>
      <c r="K291" t="str">
        <f t="shared" si="8"/>
        <v>Средне</v>
      </c>
      <c r="L291" t="str">
        <f t="shared" si="9"/>
        <v>Часто</v>
      </c>
    </row>
    <row r="292" spans="1:12" x14ac:dyDescent="0.2">
      <c r="A292" t="s">
        <v>117</v>
      </c>
      <c r="B292">
        <v>8</v>
      </c>
      <c r="C292">
        <v>4</v>
      </c>
      <c r="D292">
        <v>1</v>
      </c>
      <c r="E292">
        <v>2</v>
      </c>
      <c r="F292">
        <v>3</v>
      </c>
      <c r="G292">
        <v>2</v>
      </c>
      <c r="H292">
        <v>3</v>
      </c>
      <c r="I292">
        <v>3</v>
      </c>
      <c r="J292" s="8">
        <v>50</v>
      </c>
      <c r="K292" t="str">
        <f t="shared" si="8"/>
        <v>Средне</v>
      </c>
      <c r="L292" t="str">
        <f t="shared" si="9"/>
        <v>Часто</v>
      </c>
    </row>
    <row r="293" spans="1:12" x14ac:dyDescent="0.2">
      <c r="A293" t="s">
        <v>117</v>
      </c>
      <c r="B293">
        <v>2</v>
      </c>
      <c r="C293">
        <v>5</v>
      </c>
      <c r="D293">
        <v>1</v>
      </c>
      <c r="E293">
        <v>3</v>
      </c>
      <c r="F293">
        <v>2</v>
      </c>
      <c r="G293">
        <v>2</v>
      </c>
      <c r="H293">
        <v>1</v>
      </c>
      <c r="I293">
        <v>1</v>
      </c>
      <c r="J293" s="8">
        <v>50</v>
      </c>
      <c r="K293" t="str">
        <f t="shared" si="8"/>
        <v>Средне</v>
      </c>
      <c r="L293" t="str">
        <f t="shared" si="9"/>
        <v>Часто</v>
      </c>
    </row>
    <row r="294" spans="1:12" x14ac:dyDescent="0.2">
      <c r="A294" t="s">
        <v>116</v>
      </c>
      <c r="B294">
        <v>8</v>
      </c>
      <c r="C294">
        <v>0</v>
      </c>
      <c r="D294">
        <v>0</v>
      </c>
      <c r="E294">
        <v>4</v>
      </c>
      <c r="F294">
        <v>4</v>
      </c>
      <c r="G294">
        <v>2</v>
      </c>
      <c r="H294">
        <v>0</v>
      </c>
      <c r="I294">
        <v>0</v>
      </c>
      <c r="J294" s="8">
        <v>72</v>
      </c>
      <c r="K294" t="str">
        <f t="shared" si="8"/>
        <v>Хорошо</v>
      </c>
      <c r="L294" t="str">
        <f t="shared" si="9"/>
        <v>Редко</v>
      </c>
    </row>
    <row r="295" spans="1:12" x14ac:dyDescent="0.2">
      <c r="A295" t="s">
        <v>116</v>
      </c>
      <c r="B295">
        <v>4</v>
      </c>
      <c r="C295">
        <v>0</v>
      </c>
      <c r="D295">
        <v>0</v>
      </c>
      <c r="E295">
        <v>4</v>
      </c>
      <c r="F295">
        <v>5</v>
      </c>
      <c r="G295">
        <v>2</v>
      </c>
      <c r="H295">
        <v>0</v>
      </c>
      <c r="I295">
        <v>0</v>
      </c>
      <c r="J295" s="8">
        <v>72</v>
      </c>
      <c r="K295" t="str">
        <f t="shared" si="8"/>
        <v>Хорошо</v>
      </c>
      <c r="L295" t="str">
        <f t="shared" si="9"/>
        <v>Редко</v>
      </c>
    </row>
    <row r="296" spans="1:12" x14ac:dyDescent="0.2">
      <c r="A296" t="s">
        <v>116</v>
      </c>
      <c r="B296">
        <v>4</v>
      </c>
      <c r="C296">
        <v>2</v>
      </c>
      <c r="D296">
        <v>1</v>
      </c>
      <c r="E296">
        <v>2</v>
      </c>
      <c r="F296">
        <v>2</v>
      </c>
      <c r="G296">
        <v>1</v>
      </c>
      <c r="H296">
        <v>1</v>
      </c>
      <c r="I296">
        <v>2</v>
      </c>
      <c r="J296" s="8">
        <v>72</v>
      </c>
      <c r="K296" t="str">
        <f t="shared" si="8"/>
        <v>Хорошо</v>
      </c>
      <c r="L296" t="str">
        <f t="shared" si="9"/>
        <v>Редко</v>
      </c>
    </row>
    <row r="297" spans="1:12" x14ac:dyDescent="0.2">
      <c r="A297" t="s">
        <v>117</v>
      </c>
      <c r="B297">
        <v>8</v>
      </c>
      <c r="C297">
        <v>2</v>
      </c>
      <c r="D297">
        <v>1</v>
      </c>
      <c r="E297">
        <v>3</v>
      </c>
      <c r="F297">
        <v>3</v>
      </c>
      <c r="G297">
        <v>3</v>
      </c>
      <c r="H297">
        <v>3</v>
      </c>
      <c r="I297">
        <v>2</v>
      </c>
      <c r="J297" s="8">
        <v>72</v>
      </c>
      <c r="K297" t="str">
        <f t="shared" si="8"/>
        <v>Хорошо</v>
      </c>
      <c r="L297" t="str">
        <f t="shared" si="9"/>
        <v>Редко</v>
      </c>
    </row>
    <row r="298" spans="1:12" x14ac:dyDescent="0.2">
      <c r="A298" t="s">
        <v>116</v>
      </c>
      <c r="B298">
        <v>1</v>
      </c>
      <c r="C298">
        <v>5</v>
      </c>
      <c r="D298">
        <v>1</v>
      </c>
      <c r="E298">
        <v>2</v>
      </c>
      <c r="F298">
        <v>3</v>
      </c>
      <c r="G298">
        <v>2</v>
      </c>
      <c r="H298">
        <v>4</v>
      </c>
      <c r="I298">
        <v>2</v>
      </c>
      <c r="J298" s="8">
        <v>55</v>
      </c>
      <c r="K298" t="str">
        <f t="shared" si="8"/>
        <v>Средне</v>
      </c>
      <c r="L298" t="str">
        <f t="shared" si="9"/>
        <v>Часто</v>
      </c>
    </row>
    <row r="299" spans="1:12" x14ac:dyDescent="0.2">
      <c r="A299" t="s">
        <v>116</v>
      </c>
      <c r="B299">
        <v>1</v>
      </c>
      <c r="C299">
        <v>0</v>
      </c>
      <c r="D299">
        <v>0</v>
      </c>
      <c r="E299">
        <v>5</v>
      </c>
      <c r="F299">
        <v>5</v>
      </c>
      <c r="G299">
        <v>2</v>
      </c>
      <c r="H299">
        <v>0</v>
      </c>
      <c r="I299">
        <v>0</v>
      </c>
      <c r="J299" s="8">
        <v>72.5</v>
      </c>
      <c r="K299" t="str">
        <f t="shared" si="8"/>
        <v>Хорошо</v>
      </c>
      <c r="L299" t="str">
        <f t="shared" si="9"/>
        <v>Редко</v>
      </c>
    </row>
    <row r="300" spans="1:12" x14ac:dyDescent="0.2">
      <c r="A300" t="s">
        <v>117</v>
      </c>
      <c r="B300">
        <v>4</v>
      </c>
      <c r="C300">
        <v>3</v>
      </c>
      <c r="D300">
        <v>1</v>
      </c>
      <c r="E300">
        <v>3</v>
      </c>
      <c r="F300">
        <v>2</v>
      </c>
      <c r="G300">
        <v>2</v>
      </c>
      <c r="H300">
        <v>1</v>
      </c>
      <c r="I300">
        <v>2</v>
      </c>
      <c r="J300" s="8">
        <v>55</v>
      </c>
      <c r="K300" t="str">
        <f t="shared" si="8"/>
        <v>Средне</v>
      </c>
      <c r="L300" t="str">
        <f t="shared" si="9"/>
        <v>Часто</v>
      </c>
    </row>
    <row r="301" spans="1:12" x14ac:dyDescent="0.2">
      <c r="A301" t="s">
        <v>116</v>
      </c>
      <c r="B301">
        <v>4</v>
      </c>
      <c r="C301">
        <v>4</v>
      </c>
      <c r="D301">
        <v>1</v>
      </c>
      <c r="E301">
        <v>3</v>
      </c>
      <c r="F301">
        <v>3</v>
      </c>
      <c r="G301">
        <v>2</v>
      </c>
      <c r="H301">
        <v>4</v>
      </c>
      <c r="I301">
        <v>2</v>
      </c>
      <c r="J301" s="8">
        <v>55.3</v>
      </c>
      <c r="K301" t="str">
        <f t="shared" si="8"/>
        <v>Средне</v>
      </c>
      <c r="L301" t="str">
        <f t="shared" si="9"/>
        <v>Часто</v>
      </c>
    </row>
    <row r="302" spans="1:12" x14ac:dyDescent="0.2">
      <c r="A302" t="s">
        <v>116</v>
      </c>
      <c r="B302">
        <v>2</v>
      </c>
      <c r="C302">
        <v>3</v>
      </c>
      <c r="D302">
        <v>1</v>
      </c>
      <c r="E302">
        <v>2</v>
      </c>
      <c r="F302">
        <v>2</v>
      </c>
      <c r="G302">
        <v>2</v>
      </c>
      <c r="H302">
        <v>3</v>
      </c>
      <c r="I302">
        <v>3</v>
      </c>
      <c r="J302" s="8">
        <v>57</v>
      </c>
      <c r="K302" t="str">
        <f t="shared" si="8"/>
        <v>Средне</v>
      </c>
      <c r="L302" t="str">
        <f t="shared" si="9"/>
        <v>Часто</v>
      </c>
    </row>
    <row r="303" spans="1:12" x14ac:dyDescent="0.2">
      <c r="A303" t="s">
        <v>116</v>
      </c>
      <c r="B303">
        <v>2</v>
      </c>
      <c r="C303">
        <v>1</v>
      </c>
      <c r="D303">
        <v>1</v>
      </c>
      <c r="E303">
        <v>3</v>
      </c>
      <c r="F303">
        <v>4</v>
      </c>
      <c r="G303">
        <v>2</v>
      </c>
      <c r="H303">
        <v>4</v>
      </c>
      <c r="I303">
        <v>3</v>
      </c>
      <c r="J303" s="8">
        <v>73</v>
      </c>
      <c r="K303" t="str">
        <f t="shared" si="8"/>
        <v>Хорошо</v>
      </c>
      <c r="L303" t="str">
        <f t="shared" si="9"/>
        <v>Редко</v>
      </c>
    </row>
    <row r="304" spans="1:12" x14ac:dyDescent="0.2">
      <c r="A304" t="s">
        <v>116</v>
      </c>
      <c r="B304">
        <v>2</v>
      </c>
      <c r="C304">
        <v>1</v>
      </c>
      <c r="D304">
        <v>1</v>
      </c>
      <c r="E304">
        <v>4</v>
      </c>
      <c r="F304">
        <v>2</v>
      </c>
      <c r="G304">
        <v>2</v>
      </c>
      <c r="H304">
        <v>1</v>
      </c>
      <c r="I304">
        <v>3</v>
      </c>
      <c r="J304" s="8">
        <v>74</v>
      </c>
      <c r="K304" t="str">
        <f t="shared" si="8"/>
        <v>Хорошо</v>
      </c>
      <c r="L304" t="str">
        <f t="shared" si="9"/>
        <v>Редко</v>
      </c>
    </row>
    <row r="305" spans="1:12" x14ac:dyDescent="0.2">
      <c r="A305" t="s">
        <v>116</v>
      </c>
      <c r="B305">
        <v>8</v>
      </c>
      <c r="C305">
        <v>3</v>
      </c>
      <c r="D305">
        <v>1</v>
      </c>
      <c r="E305">
        <v>2</v>
      </c>
      <c r="F305">
        <v>3</v>
      </c>
      <c r="G305">
        <v>2</v>
      </c>
      <c r="H305">
        <v>2</v>
      </c>
      <c r="I305">
        <v>2</v>
      </c>
      <c r="J305" s="8">
        <v>60</v>
      </c>
      <c r="K305" t="str">
        <f t="shared" si="8"/>
        <v>Средне</v>
      </c>
      <c r="L305" t="str">
        <f t="shared" si="9"/>
        <v>Часто</v>
      </c>
    </row>
    <row r="306" spans="1:12" x14ac:dyDescent="0.2">
      <c r="A306" t="s">
        <v>117</v>
      </c>
      <c r="B306">
        <v>8</v>
      </c>
      <c r="C306">
        <v>0</v>
      </c>
      <c r="D306">
        <v>0</v>
      </c>
      <c r="E306">
        <v>2</v>
      </c>
      <c r="F306">
        <v>2</v>
      </c>
      <c r="G306">
        <v>2</v>
      </c>
      <c r="H306">
        <v>0</v>
      </c>
      <c r="I306">
        <v>0</v>
      </c>
      <c r="J306" s="8">
        <v>74</v>
      </c>
      <c r="K306" t="str">
        <f t="shared" si="8"/>
        <v>Хорошо</v>
      </c>
      <c r="L306" t="str">
        <f t="shared" si="9"/>
        <v>Редко</v>
      </c>
    </row>
    <row r="307" spans="1:12" x14ac:dyDescent="0.2">
      <c r="A307" t="s">
        <v>117</v>
      </c>
      <c r="B307">
        <v>1</v>
      </c>
      <c r="C307">
        <v>1</v>
      </c>
      <c r="D307">
        <v>1</v>
      </c>
      <c r="E307">
        <v>5</v>
      </c>
      <c r="F307">
        <v>5</v>
      </c>
      <c r="G307">
        <v>2</v>
      </c>
      <c r="H307">
        <v>4</v>
      </c>
      <c r="I307">
        <v>2</v>
      </c>
      <c r="J307" s="8">
        <v>74</v>
      </c>
      <c r="K307" t="str">
        <f t="shared" si="8"/>
        <v>Хорошо</v>
      </c>
      <c r="L307" t="str">
        <f t="shared" si="9"/>
        <v>Редко</v>
      </c>
    </row>
    <row r="308" spans="1:12" x14ac:dyDescent="0.2">
      <c r="A308" t="s">
        <v>116</v>
      </c>
      <c r="B308">
        <v>8</v>
      </c>
      <c r="C308">
        <v>0</v>
      </c>
      <c r="D308">
        <v>0</v>
      </c>
      <c r="E308">
        <v>1</v>
      </c>
      <c r="F308">
        <v>1</v>
      </c>
      <c r="G308">
        <v>1</v>
      </c>
      <c r="H308">
        <v>0</v>
      </c>
      <c r="I308">
        <v>0</v>
      </c>
      <c r="J308" s="8">
        <v>75</v>
      </c>
      <c r="K308" t="str">
        <f t="shared" si="8"/>
        <v>Хорошо</v>
      </c>
      <c r="L308" t="str">
        <f t="shared" si="9"/>
        <v>Редко</v>
      </c>
    </row>
    <row r="309" spans="1:12" x14ac:dyDescent="0.2">
      <c r="A309" t="s">
        <v>116</v>
      </c>
      <c r="B309">
        <v>8</v>
      </c>
      <c r="C309">
        <v>0</v>
      </c>
      <c r="D309">
        <v>0</v>
      </c>
      <c r="E309">
        <v>2</v>
      </c>
      <c r="F309">
        <v>2</v>
      </c>
      <c r="G309">
        <v>1</v>
      </c>
      <c r="H309">
        <v>0</v>
      </c>
      <c r="I309">
        <v>0</v>
      </c>
      <c r="J309" s="8">
        <v>75</v>
      </c>
      <c r="K309" t="str">
        <f t="shared" si="8"/>
        <v>Хорошо</v>
      </c>
      <c r="L309" t="str">
        <f t="shared" si="9"/>
        <v>Редко</v>
      </c>
    </row>
    <row r="310" spans="1:12" x14ac:dyDescent="0.2">
      <c r="A310" t="s">
        <v>116</v>
      </c>
      <c r="B310">
        <v>1</v>
      </c>
      <c r="C310">
        <v>0</v>
      </c>
      <c r="D310">
        <v>0</v>
      </c>
      <c r="E310">
        <v>2</v>
      </c>
      <c r="F310">
        <v>4</v>
      </c>
      <c r="G310">
        <v>3</v>
      </c>
      <c r="H310">
        <v>0</v>
      </c>
      <c r="I310">
        <v>0</v>
      </c>
      <c r="J310" s="8">
        <v>75</v>
      </c>
      <c r="K310" t="str">
        <f t="shared" si="8"/>
        <v>Хорошо</v>
      </c>
      <c r="L310" t="str">
        <f t="shared" si="9"/>
        <v>Редко</v>
      </c>
    </row>
    <row r="311" spans="1:12" x14ac:dyDescent="0.2">
      <c r="A311" t="s">
        <v>116</v>
      </c>
      <c r="B311">
        <v>4</v>
      </c>
      <c r="C311">
        <v>0</v>
      </c>
      <c r="D311">
        <v>0</v>
      </c>
      <c r="E311">
        <v>2</v>
      </c>
      <c r="F311">
        <v>4</v>
      </c>
      <c r="G311">
        <v>3</v>
      </c>
      <c r="H311">
        <v>0</v>
      </c>
      <c r="I311">
        <v>0</v>
      </c>
      <c r="J311" s="8">
        <v>75</v>
      </c>
      <c r="K311" t="str">
        <f t="shared" si="8"/>
        <v>Хорошо</v>
      </c>
      <c r="L311" t="str">
        <f t="shared" si="9"/>
        <v>Редко</v>
      </c>
    </row>
    <row r="312" spans="1:12" x14ac:dyDescent="0.2">
      <c r="A312" t="s">
        <v>116</v>
      </c>
      <c r="B312">
        <v>8</v>
      </c>
      <c r="C312">
        <v>0</v>
      </c>
      <c r="D312">
        <v>0</v>
      </c>
      <c r="E312">
        <v>3</v>
      </c>
      <c r="F312">
        <v>3</v>
      </c>
      <c r="G312">
        <v>2</v>
      </c>
      <c r="H312">
        <v>0</v>
      </c>
      <c r="I312">
        <v>0</v>
      </c>
      <c r="J312" s="8">
        <v>75</v>
      </c>
      <c r="K312" t="str">
        <f t="shared" si="8"/>
        <v>Хорошо</v>
      </c>
      <c r="L312" t="str">
        <f t="shared" si="9"/>
        <v>Редко</v>
      </c>
    </row>
    <row r="313" spans="1:12" x14ac:dyDescent="0.2">
      <c r="A313" t="s">
        <v>116</v>
      </c>
      <c r="B313">
        <v>8</v>
      </c>
      <c r="C313">
        <v>0</v>
      </c>
      <c r="D313">
        <v>0</v>
      </c>
      <c r="E313">
        <v>3</v>
      </c>
      <c r="F313">
        <v>3</v>
      </c>
      <c r="G313">
        <v>2</v>
      </c>
      <c r="H313">
        <v>0</v>
      </c>
      <c r="I313">
        <v>0</v>
      </c>
      <c r="J313" s="8">
        <v>75</v>
      </c>
      <c r="K313" t="str">
        <f t="shared" si="8"/>
        <v>Хорошо</v>
      </c>
      <c r="L313" t="str">
        <f t="shared" si="9"/>
        <v>Редко</v>
      </c>
    </row>
    <row r="314" spans="1:12" x14ac:dyDescent="0.2">
      <c r="A314" t="s">
        <v>116</v>
      </c>
      <c r="B314">
        <v>4</v>
      </c>
      <c r="C314">
        <v>0</v>
      </c>
      <c r="D314">
        <v>0</v>
      </c>
      <c r="E314">
        <v>3</v>
      </c>
      <c r="F314">
        <v>4</v>
      </c>
      <c r="G314">
        <v>2</v>
      </c>
      <c r="H314">
        <v>0</v>
      </c>
      <c r="I314">
        <v>0</v>
      </c>
      <c r="J314" s="8">
        <v>75</v>
      </c>
      <c r="K314" t="str">
        <f t="shared" si="8"/>
        <v>Хорошо</v>
      </c>
      <c r="L314" t="str">
        <f t="shared" si="9"/>
        <v>Редко</v>
      </c>
    </row>
    <row r="315" spans="1:12" x14ac:dyDescent="0.2">
      <c r="A315" t="s">
        <v>116</v>
      </c>
      <c r="B315">
        <v>3</v>
      </c>
      <c r="C315">
        <v>0</v>
      </c>
      <c r="D315">
        <v>0</v>
      </c>
      <c r="E315">
        <v>3</v>
      </c>
      <c r="F315">
        <v>4</v>
      </c>
      <c r="G315">
        <v>3</v>
      </c>
      <c r="H315">
        <v>0</v>
      </c>
      <c r="I315">
        <v>0</v>
      </c>
      <c r="J315" s="8">
        <v>75</v>
      </c>
      <c r="K315" t="str">
        <f t="shared" si="8"/>
        <v>Хорошо</v>
      </c>
      <c r="L315" t="str">
        <f t="shared" si="9"/>
        <v>Редко</v>
      </c>
    </row>
    <row r="316" spans="1:12" x14ac:dyDescent="0.2">
      <c r="A316" t="s">
        <v>116</v>
      </c>
      <c r="B316">
        <v>8</v>
      </c>
      <c r="C316">
        <v>0</v>
      </c>
      <c r="D316">
        <v>0</v>
      </c>
      <c r="E316">
        <v>3</v>
      </c>
      <c r="F316">
        <v>5</v>
      </c>
      <c r="G316">
        <v>3</v>
      </c>
      <c r="H316">
        <v>0</v>
      </c>
      <c r="I316">
        <v>0</v>
      </c>
      <c r="J316" s="8">
        <v>75</v>
      </c>
      <c r="K316" t="str">
        <f t="shared" si="8"/>
        <v>Хорошо</v>
      </c>
      <c r="L316" t="str">
        <f t="shared" si="9"/>
        <v>Редко</v>
      </c>
    </row>
    <row r="317" spans="1:12" x14ac:dyDescent="0.2">
      <c r="A317" t="s">
        <v>116</v>
      </c>
      <c r="B317">
        <v>8</v>
      </c>
      <c r="C317">
        <v>0</v>
      </c>
      <c r="D317">
        <v>0</v>
      </c>
      <c r="E317">
        <v>4</v>
      </c>
      <c r="F317">
        <v>3</v>
      </c>
      <c r="G317">
        <v>2</v>
      </c>
      <c r="H317">
        <v>0</v>
      </c>
      <c r="I317">
        <v>0</v>
      </c>
      <c r="J317" s="8">
        <v>75</v>
      </c>
      <c r="K317" t="str">
        <f t="shared" si="8"/>
        <v>Хорошо</v>
      </c>
      <c r="L317" t="str">
        <f t="shared" si="9"/>
        <v>Редко</v>
      </c>
    </row>
    <row r="318" spans="1:12" x14ac:dyDescent="0.2">
      <c r="A318" t="s">
        <v>116</v>
      </c>
      <c r="B318">
        <v>10</v>
      </c>
      <c r="C318">
        <v>0</v>
      </c>
      <c r="D318">
        <v>0</v>
      </c>
      <c r="E318">
        <v>4</v>
      </c>
      <c r="F318">
        <v>3</v>
      </c>
      <c r="G318">
        <v>2</v>
      </c>
      <c r="H318">
        <v>0</v>
      </c>
      <c r="I318">
        <v>0</v>
      </c>
      <c r="J318" s="8">
        <v>75</v>
      </c>
      <c r="K318" t="str">
        <f t="shared" si="8"/>
        <v>Хорошо</v>
      </c>
      <c r="L318" t="str">
        <f t="shared" si="9"/>
        <v>Редко</v>
      </c>
    </row>
    <row r="319" spans="1:12" x14ac:dyDescent="0.2">
      <c r="A319" t="s">
        <v>116</v>
      </c>
      <c r="B319">
        <v>4</v>
      </c>
      <c r="C319">
        <v>0</v>
      </c>
      <c r="D319">
        <v>0</v>
      </c>
      <c r="E319">
        <v>4</v>
      </c>
      <c r="F319">
        <v>4</v>
      </c>
      <c r="G319">
        <v>2</v>
      </c>
      <c r="H319">
        <v>0</v>
      </c>
      <c r="I319">
        <v>0</v>
      </c>
      <c r="J319" s="8">
        <v>75</v>
      </c>
      <c r="K319" t="str">
        <f t="shared" si="8"/>
        <v>Хорошо</v>
      </c>
      <c r="L319" t="str">
        <f t="shared" si="9"/>
        <v>Редко</v>
      </c>
    </row>
    <row r="320" spans="1:12" x14ac:dyDescent="0.2">
      <c r="A320" t="s">
        <v>116</v>
      </c>
      <c r="B320">
        <v>8</v>
      </c>
      <c r="C320">
        <v>0</v>
      </c>
      <c r="D320">
        <v>0</v>
      </c>
      <c r="E320">
        <v>4</v>
      </c>
      <c r="F320">
        <v>4</v>
      </c>
      <c r="G320">
        <v>2</v>
      </c>
      <c r="H320">
        <v>0</v>
      </c>
      <c r="I320">
        <v>0</v>
      </c>
      <c r="J320" s="8">
        <v>75</v>
      </c>
      <c r="K320" t="str">
        <f t="shared" si="8"/>
        <v>Хорошо</v>
      </c>
      <c r="L320" t="str">
        <f t="shared" si="9"/>
        <v>Редко</v>
      </c>
    </row>
    <row r="321" spans="1:12" x14ac:dyDescent="0.2">
      <c r="A321" t="s">
        <v>116</v>
      </c>
      <c r="B321">
        <v>4</v>
      </c>
      <c r="C321">
        <v>1</v>
      </c>
      <c r="D321">
        <v>1</v>
      </c>
      <c r="E321">
        <v>4</v>
      </c>
      <c r="F321">
        <v>5</v>
      </c>
      <c r="G321">
        <v>4</v>
      </c>
      <c r="H321">
        <v>2</v>
      </c>
      <c r="I321">
        <v>3</v>
      </c>
      <c r="J321" s="8">
        <v>75</v>
      </c>
      <c r="K321" t="str">
        <f t="shared" si="8"/>
        <v>Хорошо</v>
      </c>
      <c r="L321" t="str">
        <f t="shared" si="9"/>
        <v>Редко</v>
      </c>
    </row>
    <row r="322" spans="1:12" x14ac:dyDescent="0.2">
      <c r="A322" t="s">
        <v>116</v>
      </c>
      <c r="B322">
        <v>4</v>
      </c>
      <c r="C322">
        <v>5</v>
      </c>
      <c r="D322">
        <v>1</v>
      </c>
      <c r="E322">
        <v>2</v>
      </c>
      <c r="F322">
        <v>2</v>
      </c>
      <c r="G322">
        <v>2</v>
      </c>
      <c r="H322">
        <v>1</v>
      </c>
      <c r="I322">
        <v>2</v>
      </c>
      <c r="J322" s="8">
        <v>60</v>
      </c>
      <c r="K322" t="str">
        <f t="shared" si="8"/>
        <v>Средне</v>
      </c>
      <c r="L322" t="str">
        <f t="shared" si="9"/>
        <v>Часто</v>
      </c>
    </row>
    <row r="323" spans="1:12" x14ac:dyDescent="0.2">
      <c r="A323" t="s">
        <v>117</v>
      </c>
      <c r="B323">
        <v>1</v>
      </c>
      <c r="C323">
        <v>4</v>
      </c>
      <c r="D323">
        <v>1</v>
      </c>
      <c r="E323">
        <v>2</v>
      </c>
      <c r="F323">
        <v>2</v>
      </c>
      <c r="G323">
        <v>2</v>
      </c>
      <c r="H323">
        <v>2</v>
      </c>
      <c r="I323">
        <v>3</v>
      </c>
      <c r="J323" s="8">
        <v>60</v>
      </c>
      <c r="K323" t="str">
        <f t="shared" ref="K323:K386" si="10">IF(J323&gt;20,IF(J323&gt;40,IF(J323&gt;60,IF(J323&gt;80,"Отлично","Хорошо"),"Средне"),"Плохо"),"Ужасно")</f>
        <v>Средне</v>
      </c>
      <c r="L323" t="str">
        <f t="shared" ref="L323:L386" si="11">IF(C323&gt;2,"Часто","Редко")</f>
        <v>Часто</v>
      </c>
    </row>
    <row r="324" spans="1:12" x14ac:dyDescent="0.2">
      <c r="A324" t="s">
        <v>117</v>
      </c>
      <c r="B324">
        <v>8</v>
      </c>
      <c r="C324">
        <v>4</v>
      </c>
      <c r="D324">
        <v>1</v>
      </c>
      <c r="E324">
        <v>3</v>
      </c>
      <c r="F324">
        <v>2</v>
      </c>
      <c r="G324">
        <v>2</v>
      </c>
      <c r="H324">
        <v>2</v>
      </c>
      <c r="I324">
        <v>1</v>
      </c>
      <c r="J324" s="8">
        <v>60</v>
      </c>
      <c r="K324" t="str">
        <f t="shared" si="10"/>
        <v>Средне</v>
      </c>
      <c r="L324" t="str">
        <f t="shared" si="11"/>
        <v>Часто</v>
      </c>
    </row>
    <row r="325" spans="1:12" x14ac:dyDescent="0.2">
      <c r="A325" t="s">
        <v>117</v>
      </c>
      <c r="B325">
        <v>4</v>
      </c>
      <c r="C325">
        <v>5</v>
      </c>
      <c r="D325">
        <v>1</v>
      </c>
      <c r="E325">
        <v>2</v>
      </c>
      <c r="F325">
        <v>3</v>
      </c>
      <c r="G325">
        <v>2</v>
      </c>
      <c r="H325">
        <v>3</v>
      </c>
      <c r="I325">
        <v>5</v>
      </c>
      <c r="J325" s="8">
        <v>60</v>
      </c>
      <c r="K325" t="str">
        <f t="shared" si="10"/>
        <v>Средне</v>
      </c>
      <c r="L325" t="str">
        <f t="shared" si="11"/>
        <v>Часто</v>
      </c>
    </row>
    <row r="326" spans="1:12" x14ac:dyDescent="0.2">
      <c r="A326" t="s">
        <v>117</v>
      </c>
      <c r="B326">
        <v>4</v>
      </c>
      <c r="C326">
        <v>5</v>
      </c>
      <c r="D326">
        <v>1</v>
      </c>
      <c r="E326">
        <v>3</v>
      </c>
      <c r="F326">
        <v>4</v>
      </c>
      <c r="G326">
        <v>2</v>
      </c>
      <c r="H326">
        <v>2</v>
      </c>
      <c r="I326">
        <v>1</v>
      </c>
      <c r="J326" s="8">
        <v>60</v>
      </c>
      <c r="K326" t="str">
        <f t="shared" si="10"/>
        <v>Средне</v>
      </c>
      <c r="L326" t="str">
        <f t="shared" si="11"/>
        <v>Часто</v>
      </c>
    </row>
    <row r="327" spans="1:12" x14ac:dyDescent="0.2">
      <c r="A327" t="s">
        <v>117</v>
      </c>
      <c r="B327">
        <v>10</v>
      </c>
      <c r="C327">
        <v>3</v>
      </c>
      <c r="D327">
        <v>1</v>
      </c>
      <c r="E327">
        <v>5</v>
      </c>
      <c r="F327">
        <v>5</v>
      </c>
      <c r="G327">
        <v>2</v>
      </c>
      <c r="H327">
        <v>2</v>
      </c>
      <c r="I327">
        <v>1</v>
      </c>
      <c r="J327" s="8">
        <v>62</v>
      </c>
      <c r="K327" t="str">
        <f t="shared" si="10"/>
        <v>Хорошо</v>
      </c>
      <c r="L327" t="str">
        <f t="shared" si="11"/>
        <v>Часто</v>
      </c>
    </row>
    <row r="328" spans="1:12" x14ac:dyDescent="0.2">
      <c r="A328" t="s">
        <v>117</v>
      </c>
      <c r="B328">
        <v>1</v>
      </c>
      <c r="C328">
        <v>4</v>
      </c>
      <c r="D328">
        <v>1</v>
      </c>
      <c r="E328">
        <v>2</v>
      </c>
      <c r="F328">
        <v>5</v>
      </c>
      <c r="G328">
        <v>2</v>
      </c>
      <c r="H328">
        <v>2</v>
      </c>
      <c r="I328">
        <v>3</v>
      </c>
      <c r="J328" s="8">
        <v>64</v>
      </c>
      <c r="K328" t="str">
        <f t="shared" si="10"/>
        <v>Хорошо</v>
      </c>
      <c r="L328" t="str">
        <f t="shared" si="11"/>
        <v>Часто</v>
      </c>
    </row>
    <row r="329" spans="1:12" x14ac:dyDescent="0.2">
      <c r="A329" t="s">
        <v>116</v>
      </c>
      <c r="B329">
        <v>8</v>
      </c>
      <c r="C329">
        <v>3</v>
      </c>
      <c r="D329">
        <v>1</v>
      </c>
      <c r="E329">
        <v>2</v>
      </c>
      <c r="F329">
        <v>2</v>
      </c>
      <c r="G329">
        <v>2</v>
      </c>
      <c r="H329">
        <v>2</v>
      </c>
      <c r="I329">
        <v>3</v>
      </c>
      <c r="J329" s="8">
        <v>65</v>
      </c>
      <c r="K329" t="str">
        <f t="shared" si="10"/>
        <v>Хорошо</v>
      </c>
      <c r="L329" t="str">
        <f t="shared" si="11"/>
        <v>Часто</v>
      </c>
    </row>
    <row r="330" spans="1:12" x14ac:dyDescent="0.2">
      <c r="A330" t="s">
        <v>116</v>
      </c>
      <c r="B330">
        <v>8</v>
      </c>
      <c r="C330">
        <v>4</v>
      </c>
      <c r="D330">
        <v>1</v>
      </c>
      <c r="E330">
        <v>4</v>
      </c>
      <c r="F330">
        <v>4</v>
      </c>
      <c r="G330">
        <v>2</v>
      </c>
      <c r="H330">
        <v>2</v>
      </c>
      <c r="I330">
        <v>1</v>
      </c>
      <c r="J330" s="8">
        <v>65</v>
      </c>
      <c r="K330" t="str">
        <f t="shared" si="10"/>
        <v>Хорошо</v>
      </c>
      <c r="L330" t="str">
        <f t="shared" si="11"/>
        <v>Часто</v>
      </c>
    </row>
    <row r="331" spans="1:12" x14ac:dyDescent="0.2">
      <c r="A331" t="s">
        <v>116</v>
      </c>
      <c r="B331">
        <v>4</v>
      </c>
      <c r="C331">
        <v>5</v>
      </c>
      <c r="D331">
        <v>1</v>
      </c>
      <c r="E331">
        <v>3</v>
      </c>
      <c r="F331">
        <v>3</v>
      </c>
      <c r="G331">
        <v>2</v>
      </c>
      <c r="H331">
        <v>2</v>
      </c>
      <c r="I331">
        <v>2</v>
      </c>
      <c r="J331" s="8">
        <v>65</v>
      </c>
      <c r="K331" t="str">
        <f t="shared" si="10"/>
        <v>Хорошо</v>
      </c>
      <c r="L331" t="str">
        <f t="shared" si="11"/>
        <v>Часто</v>
      </c>
    </row>
    <row r="332" spans="1:12" x14ac:dyDescent="0.2">
      <c r="A332" t="s">
        <v>116</v>
      </c>
      <c r="B332">
        <v>1</v>
      </c>
      <c r="C332">
        <v>5</v>
      </c>
      <c r="D332">
        <v>1</v>
      </c>
      <c r="E332">
        <v>4</v>
      </c>
      <c r="F332">
        <v>4</v>
      </c>
      <c r="G332">
        <v>2</v>
      </c>
      <c r="H332">
        <v>1</v>
      </c>
      <c r="I332">
        <v>1</v>
      </c>
      <c r="J332" s="8">
        <v>65</v>
      </c>
      <c r="K332" t="str">
        <f t="shared" si="10"/>
        <v>Хорошо</v>
      </c>
      <c r="L332" t="str">
        <f t="shared" si="11"/>
        <v>Часто</v>
      </c>
    </row>
    <row r="333" spans="1:12" x14ac:dyDescent="0.2">
      <c r="A333" t="s">
        <v>116</v>
      </c>
      <c r="B333">
        <v>2</v>
      </c>
      <c r="C333">
        <v>5</v>
      </c>
      <c r="D333">
        <v>1</v>
      </c>
      <c r="E333">
        <v>4</v>
      </c>
      <c r="F333">
        <v>4</v>
      </c>
      <c r="G333">
        <v>2</v>
      </c>
      <c r="H333">
        <v>1</v>
      </c>
      <c r="I333">
        <v>1</v>
      </c>
      <c r="J333" s="8">
        <v>65</v>
      </c>
      <c r="K333" t="str">
        <f t="shared" si="10"/>
        <v>Хорошо</v>
      </c>
      <c r="L333" t="str">
        <f t="shared" si="11"/>
        <v>Часто</v>
      </c>
    </row>
    <row r="334" spans="1:12" x14ac:dyDescent="0.2">
      <c r="A334" t="s">
        <v>117</v>
      </c>
      <c r="B334">
        <v>8</v>
      </c>
      <c r="C334">
        <v>0</v>
      </c>
      <c r="D334">
        <v>0</v>
      </c>
      <c r="E334">
        <v>3</v>
      </c>
      <c r="F334">
        <v>3</v>
      </c>
      <c r="G334">
        <v>1</v>
      </c>
      <c r="H334">
        <v>0</v>
      </c>
      <c r="I334">
        <v>0</v>
      </c>
      <c r="J334" s="8">
        <v>75</v>
      </c>
      <c r="K334" t="str">
        <f t="shared" si="10"/>
        <v>Хорошо</v>
      </c>
      <c r="L334" t="str">
        <f t="shared" si="11"/>
        <v>Редко</v>
      </c>
    </row>
    <row r="335" spans="1:12" x14ac:dyDescent="0.2">
      <c r="A335" t="s">
        <v>117</v>
      </c>
      <c r="B335">
        <v>2</v>
      </c>
      <c r="C335">
        <v>0</v>
      </c>
      <c r="D335">
        <v>0</v>
      </c>
      <c r="E335">
        <v>3</v>
      </c>
      <c r="F335">
        <v>3</v>
      </c>
      <c r="G335">
        <v>2</v>
      </c>
      <c r="H335">
        <v>0</v>
      </c>
      <c r="I335">
        <v>0</v>
      </c>
      <c r="J335" s="8">
        <v>75</v>
      </c>
      <c r="K335" t="str">
        <f t="shared" si="10"/>
        <v>Хорошо</v>
      </c>
      <c r="L335" t="str">
        <f t="shared" si="11"/>
        <v>Редко</v>
      </c>
    </row>
    <row r="336" spans="1:12" x14ac:dyDescent="0.2">
      <c r="A336" t="s">
        <v>117</v>
      </c>
      <c r="B336">
        <v>8</v>
      </c>
      <c r="C336">
        <v>0</v>
      </c>
      <c r="D336">
        <v>0</v>
      </c>
      <c r="E336">
        <v>4</v>
      </c>
      <c r="F336">
        <v>3</v>
      </c>
      <c r="G336">
        <v>1</v>
      </c>
      <c r="H336">
        <v>0</v>
      </c>
      <c r="I336">
        <v>0</v>
      </c>
      <c r="J336" s="8">
        <v>75</v>
      </c>
      <c r="K336" t="str">
        <f t="shared" si="10"/>
        <v>Хорошо</v>
      </c>
      <c r="L336" t="str">
        <f t="shared" si="11"/>
        <v>Редко</v>
      </c>
    </row>
    <row r="337" spans="1:12" x14ac:dyDescent="0.2">
      <c r="A337" t="s">
        <v>117</v>
      </c>
      <c r="B337">
        <v>2</v>
      </c>
      <c r="C337">
        <v>0</v>
      </c>
      <c r="D337">
        <v>0</v>
      </c>
      <c r="E337">
        <v>4</v>
      </c>
      <c r="F337">
        <v>5</v>
      </c>
      <c r="G337">
        <v>2</v>
      </c>
      <c r="H337">
        <v>0</v>
      </c>
      <c r="I337">
        <v>0</v>
      </c>
      <c r="J337" s="8">
        <v>75</v>
      </c>
      <c r="K337" t="str">
        <f t="shared" si="10"/>
        <v>Хорошо</v>
      </c>
      <c r="L337" t="str">
        <f t="shared" si="11"/>
        <v>Редко</v>
      </c>
    </row>
    <row r="338" spans="1:12" x14ac:dyDescent="0.2">
      <c r="A338" t="s">
        <v>117</v>
      </c>
      <c r="B338">
        <v>8</v>
      </c>
      <c r="C338">
        <v>1</v>
      </c>
      <c r="D338">
        <v>1</v>
      </c>
      <c r="E338">
        <v>3</v>
      </c>
      <c r="F338">
        <v>2</v>
      </c>
      <c r="G338">
        <v>2</v>
      </c>
      <c r="H338">
        <v>1</v>
      </c>
      <c r="I338">
        <v>1</v>
      </c>
      <c r="J338" s="8">
        <v>75</v>
      </c>
      <c r="K338" t="str">
        <f t="shared" si="10"/>
        <v>Хорошо</v>
      </c>
      <c r="L338" t="str">
        <f t="shared" si="11"/>
        <v>Редко</v>
      </c>
    </row>
    <row r="339" spans="1:12" x14ac:dyDescent="0.2">
      <c r="A339" t="s">
        <v>117</v>
      </c>
      <c r="B339">
        <v>8</v>
      </c>
      <c r="C339">
        <v>1</v>
      </c>
      <c r="D339">
        <v>1</v>
      </c>
      <c r="E339">
        <v>3</v>
      </c>
      <c r="F339">
        <v>4</v>
      </c>
      <c r="G339">
        <v>2</v>
      </c>
      <c r="H339">
        <v>2</v>
      </c>
      <c r="I339">
        <v>4</v>
      </c>
      <c r="J339" s="8">
        <v>75</v>
      </c>
      <c r="K339" t="str">
        <f t="shared" si="10"/>
        <v>Хорошо</v>
      </c>
      <c r="L339" t="str">
        <f t="shared" si="11"/>
        <v>Редко</v>
      </c>
    </row>
    <row r="340" spans="1:12" x14ac:dyDescent="0.2">
      <c r="A340" t="s">
        <v>117</v>
      </c>
      <c r="B340">
        <v>8</v>
      </c>
      <c r="C340">
        <v>1</v>
      </c>
      <c r="D340">
        <v>1</v>
      </c>
      <c r="E340">
        <v>3</v>
      </c>
      <c r="F340">
        <v>4</v>
      </c>
      <c r="G340">
        <v>2</v>
      </c>
      <c r="H340">
        <v>4</v>
      </c>
      <c r="I340">
        <v>3</v>
      </c>
      <c r="J340" s="8">
        <v>75</v>
      </c>
      <c r="K340" t="str">
        <f t="shared" si="10"/>
        <v>Хорошо</v>
      </c>
      <c r="L340" t="str">
        <f t="shared" si="11"/>
        <v>Редко</v>
      </c>
    </row>
    <row r="341" spans="1:12" x14ac:dyDescent="0.2">
      <c r="A341" t="s">
        <v>117</v>
      </c>
      <c r="B341">
        <v>3</v>
      </c>
      <c r="C341">
        <v>1</v>
      </c>
      <c r="D341">
        <v>1</v>
      </c>
      <c r="E341">
        <v>3</v>
      </c>
      <c r="F341">
        <v>5</v>
      </c>
      <c r="G341">
        <v>2</v>
      </c>
      <c r="H341">
        <v>4</v>
      </c>
      <c r="I341">
        <v>3</v>
      </c>
      <c r="J341" s="8">
        <v>75</v>
      </c>
      <c r="K341" t="str">
        <f t="shared" si="10"/>
        <v>Хорошо</v>
      </c>
      <c r="L341" t="str">
        <f t="shared" si="11"/>
        <v>Редко</v>
      </c>
    </row>
    <row r="342" spans="1:12" x14ac:dyDescent="0.2">
      <c r="A342" t="s">
        <v>117</v>
      </c>
      <c r="B342">
        <v>3</v>
      </c>
      <c r="C342">
        <v>1</v>
      </c>
      <c r="D342">
        <v>1</v>
      </c>
      <c r="E342">
        <v>4</v>
      </c>
      <c r="F342">
        <v>5</v>
      </c>
      <c r="G342">
        <v>1</v>
      </c>
      <c r="H342">
        <v>3</v>
      </c>
      <c r="I342">
        <v>3</v>
      </c>
      <c r="J342" s="8">
        <v>75</v>
      </c>
      <c r="K342" t="str">
        <f t="shared" si="10"/>
        <v>Хорошо</v>
      </c>
      <c r="L342" t="str">
        <f t="shared" si="11"/>
        <v>Редко</v>
      </c>
    </row>
    <row r="343" spans="1:12" x14ac:dyDescent="0.2">
      <c r="A343" t="s">
        <v>117</v>
      </c>
      <c r="B343">
        <v>4</v>
      </c>
      <c r="C343">
        <v>1</v>
      </c>
      <c r="D343">
        <v>1</v>
      </c>
      <c r="E343">
        <v>4</v>
      </c>
      <c r="F343">
        <v>3</v>
      </c>
      <c r="G343">
        <v>2</v>
      </c>
      <c r="H343">
        <v>4</v>
      </c>
      <c r="I343">
        <v>3</v>
      </c>
      <c r="J343" s="8">
        <v>75</v>
      </c>
      <c r="K343" t="str">
        <f t="shared" si="10"/>
        <v>Хорошо</v>
      </c>
      <c r="L343" t="str">
        <f t="shared" si="11"/>
        <v>Редко</v>
      </c>
    </row>
    <row r="344" spans="1:12" x14ac:dyDescent="0.2">
      <c r="A344" t="s">
        <v>117</v>
      </c>
      <c r="B344">
        <v>2</v>
      </c>
      <c r="C344">
        <v>1</v>
      </c>
      <c r="D344">
        <v>1</v>
      </c>
      <c r="E344">
        <v>4</v>
      </c>
      <c r="F344">
        <v>4</v>
      </c>
      <c r="G344">
        <v>3</v>
      </c>
      <c r="H344">
        <v>1</v>
      </c>
      <c r="I344">
        <v>3</v>
      </c>
      <c r="J344" s="8">
        <v>75</v>
      </c>
      <c r="K344" t="str">
        <f t="shared" si="10"/>
        <v>Хорошо</v>
      </c>
      <c r="L344" t="str">
        <f t="shared" si="11"/>
        <v>Редко</v>
      </c>
    </row>
    <row r="345" spans="1:12" x14ac:dyDescent="0.2">
      <c r="A345" t="s">
        <v>117</v>
      </c>
      <c r="B345">
        <v>2</v>
      </c>
      <c r="C345">
        <v>2</v>
      </c>
      <c r="D345">
        <v>1</v>
      </c>
      <c r="E345">
        <v>2</v>
      </c>
      <c r="F345">
        <v>3</v>
      </c>
      <c r="G345">
        <v>3</v>
      </c>
      <c r="H345">
        <v>1</v>
      </c>
      <c r="I345">
        <v>1</v>
      </c>
      <c r="J345" s="8">
        <v>75</v>
      </c>
      <c r="K345" t="str">
        <f t="shared" si="10"/>
        <v>Хорошо</v>
      </c>
      <c r="L345" t="str">
        <f t="shared" si="11"/>
        <v>Редко</v>
      </c>
    </row>
    <row r="346" spans="1:12" x14ac:dyDescent="0.2">
      <c r="A346" t="s">
        <v>117</v>
      </c>
      <c r="B346">
        <v>8</v>
      </c>
      <c r="C346">
        <v>2</v>
      </c>
      <c r="D346">
        <v>1</v>
      </c>
      <c r="E346">
        <v>2</v>
      </c>
      <c r="F346">
        <v>4</v>
      </c>
      <c r="G346">
        <v>3</v>
      </c>
      <c r="H346">
        <v>2</v>
      </c>
      <c r="I346">
        <v>2</v>
      </c>
      <c r="J346" s="8">
        <v>75</v>
      </c>
      <c r="K346" t="str">
        <f t="shared" si="10"/>
        <v>Хорошо</v>
      </c>
      <c r="L346" t="str">
        <f t="shared" si="11"/>
        <v>Редко</v>
      </c>
    </row>
    <row r="347" spans="1:12" x14ac:dyDescent="0.2">
      <c r="A347" t="s">
        <v>116</v>
      </c>
      <c r="B347">
        <v>4</v>
      </c>
      <c r="C347">
        <v>5</v>
      </c>
      <c r="D347">
        <v>1</v>
      </c>
      <c r="E347">
        <v>4</v>
      </c>
      <c r="F347">
        <v>6</v>
      </c>
      <c r="G347">
        <v>2</v>
      </c>
      <c r="H347">
        <v>4</v>
      </c>
      <c r="I347">
        <v>3</v>
      </c>
      <c r="J347" s="8">
        <v>65</v>
      </c>
      <c r="K347" t="str">
        <f t="shared" si="10"/>
        <v>Хорошо</v>
      </c>
      <c r="L347" t="str">
        <f t="shared" si="11"/>
        <v>Часто</v>
      </c>
    </row>
    <row r="348" spans="1:12" x14ac:dyDescent="0.2">
      <c r="A348" t="s">
        <v>117</v>
      </c>
      <c r="B348">
        <v>8</v>
      </c>
      <c r="C348">
        <v>3</v>
      </c>
      <c r="D348">
        <v>1</v>
      </c>
      <c r="E348">
        <v>2</v>
      </c>
      <c r="F348">
        <v>2</v>
      </c>
      <c r="G348">
        <v>2</v>
      </c>
      <c r="H348">
        <v>2</v>
      </c>
      <c r="I348">
        <v>2</v>
      </c>
      <c r="J348" s="8">
        <v>65</v>
      </c>
      <c r="K348" t="str">
        <f t="shared" si="10"/>
        <v>Хорошо</v>
      </c>
      <c r="L348" t="str">
        <f t="shared" si="11"/>
        <v>Часто</v>
      </c>
    </row>
    <row r="349" spans="1:12" x14ac:dyDescent="0.2">
      <c r="A349" t="s">
        <v>117</v>
      </c>
      <c r="B349">
        <v>8</v>
      </c>
      <c r="C349">
        <v>3</v>
      </c>
      <c r="D349">
        <v>1</v>
      </c>
      <c r="E349">
        <v>3</v>
      </c>
      <c r="F349">
        <v>2</v>
      </c>
      <c r="G349">
        <v>2</v>
      </c>
      <c r="H349">
        <v>2</v>
      </c>
      <c r="I349">
        <v>2</v>
      </c>
      <c r="J349" s="8">
        <v>65</v>
      </c>
      <c r="K349" t="str">
        <f t="shared" si="10"/>
        <v>Хорошо</v>
      </c>
      <c r="L349" t="str">
        <f t="shared" si="11"/>
        <v>Часто</v>
      </c>
    </row>
    <row r="350" spans="1:12" x14ac:dyDescent="0.2">
      <c r="A350" t="s">
        <v>117</v>
      </c>
      <c r="B350">
        <v>4</v>
      </c>
      <c r="C350">
        <v>3</v>
      </c>
      <c r="D350">
        <v>1</v>
      </c>
      <c r="E350">
        <v>3</v>
      </c>
      <c r="F350">
        <v>3</v>
      </c>
      <c r="G350">
        <v>2</v>
      </c>
      <c r="H350">
        <v>3</v>
      </c>
      <c r="I350">
        <v>3</v>
      </c>
      <c r="J350" s="8">
        <v>65</v>
      </c>
      <c r="K350" t="str">
        <f t="shared" si="10"/>
        <v>Хорошо</v>
      </c>
      <c r="L350" t="str">
        <f t="shared" si="11"/>
        <v>Часто</v>
      </c>
    </row>
    <row r="351" spans="1:12" x14ac:dyDescent="0.2">
      <c r="A351" t="s">
        <v>117</v>
      </c>
      <c r="B351">
        <v>4</v>
      </c>
      <c r="C351">
        <v>3</v>
      </c>
      <c r="D351">
        <v>1</v>
      </c>
      <c r="E351">
        <v>3</v>
      </c>
      <c r="F351">
        <v>4</v>
      </c>
      <c r="G351">
        <v>2</v>
      </c>
      <c r="H351">
        <v>1</v>
      </c>
      <c r="I351">
        <v>2</v>
      </c>
      <c r="J351" s="8">
        <v>65</v>
      </c>
      <c r="K351" t="str">
        <f t="shared" si="10"/>
        <v>Хорошо</v>
      </c>
      <c r="L351" t="str">
        <f t="shared" si="11"/>
        <v>Часто</v>
      </c>
    </row>
    <row r="352" spans="1:12" x14ac:dyDescent="0.2">
      <c r="A352" t="s">
        <v>117</v>
      </c>
      <c r="B352">
        <v>1</v>
      </c>
      <c r="C352">
        <v>4</v>
      </c>
      <c r="D352">
        <v>1</v>
      </c>
      <c r="E352">
        <v>4</v>
      </c>
      <c r="F352">
        <v>5</v>
      </c>
      <c r="G352">
        <v>2</v>
      </c>
      <c r="H352">
        <v>3</v>
      </c>
      <c r="I352">
        <v>2</v>
      </c>
      <c r="J352" s="8">
        <v>65</v>
      </c>
      <c r="K352" t="str">
        <f t="shared" si="10"/>
        <v>Хорошо</v>
      </c>
      <c r="L352" t="str">
        <f t="shared" si="11"/>
        <v>Часто</v>
      </c>
    </row>
    <row r="353" spans="1:12" x14ac:dyDescent="0.2">
      <c r="A353" t="s">
        <v>117</v>
      </c>
      <c r="B353">
        <v>3</v>
      </c>
      <c r="C353">
        <v>5</v>
      </c>
      <c r="D353">
        <v>1</v>
      </c>
      <c r="E353">
        <v>1</v>
      </c>
      <c r="F353">
        <v>3</v>
      </c>
      <c r="G353">
        <v>2</v>
      </c>
      <c r="H353">
        <v>1</v>
      </c>
      <c r="I353">
        <v>2</v>
      </c>
      <c r="J353" s="8">
        <v>65</v>
      </c>
      <c r="K353" t="str">
        <f t="shared" si="10"/>
        <v>Хорошо</v>
      </c>
      <c r="L353" t="str">
        <f t="shared" si="11"/>
        <v>Часто</v>
      </c>
    </row>
    <row r="354" spans="1:12" x14ac:dyDescent="0.2">
      <c r="A354" t="s">
        <v>117</v>
      </c>
      <c r="B354">
        <v>1</v>
      </c>
      <c r="C354">
        <v>5</v>
      </c>
      <c r="D354">
        <v>1</v>
      </c>
      <c r="E354">
        <v>3</v>
      </c>
      <c r="F354">
        <v>5</v>
      </c>
      <c r="G354">
        <v>2</v>
      </c>
      <c r="H354">
        <v>4</v>
      </c>
      <c r="I354">
        <v>5</v>
      </c>
      <c r="J354" s="8">
        <v>65</v>
      </c>
      <c r="K354" t="str">
        <f t="shared" si="10"/>
        <v>Хорошо</v>
      </c>
      <c r="L354" t="str">
        <f t="shared" si="11"/>
        <v>Часто</v>
      </c>
    </row>
    <row r="355" spans="1:12" x14ac:dyDescent="0.2">
      <c r="A355" t="s">
        <v>116</v>
      </c>
      <c r="B355">
        <v>3</v>
      </c>
      <c r="C355">
        <v>3</v>
      </c>
      <c r="D355">
        <v>1</v>
      </c>
      <c r="E355">
        <v>3</v>
      </c>
      <c r="F355">
        <v>3</v>
      </c>
      <c r="G355">
        <v>2</v>
      </c>
      <c r="H355">
        <v>2</v>
      </c>
      <c r="I355">
        <v>2</v>
      </c>
      <c r="J355" s="8">
        <v>67</v>
      </c>
      <c r="K355" t="str">
        <f t="shared" si="10"/>
        <v>Хорошо</v>
      </c>
      <c r="L355" t="str">
        <f t="shared" si="11"/>
        <v>Часто</v>
      </c>
    </row>
    <row r="356" spans="1:12" x14ac:dyDescent="0.2">
      <c r="A356" t="s">
        <v>116</v>
      </c>
      <c r="B356">
        <v>4</v>
      </c>
      <c r="C356">
        <v>5</v>
      </c>
      <c r="D356">
        <v>1</v>
      </c>
      <c r="E356">
        <v>3</v>
      </c>
      <c r="F356">
        <v>2</v>
      </c>
      <c r="G356">
        <v>2</v>
      </c>
      <c r="H356">
        <v>4</v>
      </c>
      <c r="I356">
        <v>1</v>
      </c>
      <c r="J356" s="8">
        <v>67</v>
      </c>
      <c r="K356" t="str">
        <f t="shared" si="10"/>
        <v>Хорошо</v>
      </c>
      <c r="L356" t="str">
        <f t="shared" si="11"/>
        <v>Часто</v>
      </c>
    </row>
    <row r="357" spans="1:12" x14ac:dyDescent="0.2">
      <c r="A357" t="s">
        <v>116</v>
      </c>
      <c r="B357">
        <v>4</v>
      </c>
      <c r="C357">
        <v>3</v>
      </c>
      <c r="D357">
        <v>1</v>
      </c>
      <c r="E357">
        <v>3</v>
      </c>
      <c r="F357">
        <v>3</v>
      </c>
      <c r="G357">
        <v>2</v>
      </c>
      <c r="H357">
        <v>1</v>
      </c>
      <c r="I357">
        <v>1</v>
      </c>
      <c r="J357" s="8">
        <v>67.2</v>
      </c>
      <c r="K357" t="str">
        <f t="shared" si="10"/>
        <v>Хорошо</v>
      </c>
      <c r="L357" t="str">
        <f t="shared" si="11"/>
        <v>Часто</v>
      </c>
    </row>
    <row r="358" spans="1:12" x14ac:dyDescent="0.2">
      <c r="A358" t="s">
        <v>116</v>
      </c>
      <c r="B358">
        <v>10</v>
      </c>
      <c r="C358">
        <v>3</v>
      </c>
      <c r="D358">
        <v>1</v>
      </c>
      <c r="E358">
        <v>3</v>
      </c>
      <c r="F358">
        <v>3</v>
      </c>
      <c r="G358">
        <v>2</v>
      </c>
      <c r="H358">
        <v>1</v>
      </c>
      <c r="I358">
        <v>1</v>
      </c>
      <c r="J358" s="8">
        <v>70</v>
      </c>
      <c r="K358" t="str">
        <f t="shared" si="10"/>
        <v>Хорошо</v>
      </c>
      <c r="L358" t="str">
        <f t="shared" si="11"/>
        <v>Часто</v>
      </c>
    </row>
    <row r="359" spans="1:12" x14ac:dyDescent="0.2">
      <c r="A359" t="s">
        <v>116</v>
      </c>
      <c r="B359">
        <v>8</v>
      </c>
      <c r="C359">
        <v>0</v>
      </c>
      <c r="D359">
        <v>0</v>
      </c>
      <c r="E359">
        <v>3</v>
      </c>
      <c r="F359">
        <v>3</v>
      </c>
      <c r="G359">
        <v>3</v>
      </c>
      <c r="H359">
        <v>0</v>
      </c>
      <c r="I359">
        <v>0</v>
      </c>
      <c r="J359" s="8">
        <v>75.599999999999994</v>
      </c>
      <c r="K359" t="str">
        <f t="shared" si="10"/>
        <v>Хорошо</v>
      </c>
      <c r="L359" t="str">
        <f t="shared" si="11"/>
        <v>Редко</v>
      </c>
    </row>
    <row r="360" spans="1:12" x14ac:dyDescent="0.2">
      <c r="A360" t="s">
        <v>116</v>
      </c>
      <c r="B360">
        <v>4</v>
      </c>
      <c r="C360">
        <v>0</v>
      </c>
      <c r="D360">
        <v>0</v>
      </c>
      <c r="E360">
        <v>4</v>
      </c>
      <c r="F360">
        <v>4</v>
      </c>
      <c r="G360">
        <v>4</v>
      </c>
      <c r="H360">
        <v>0</v>
      </c>
      <c r="I360">
        <v>0</v>
      </c>
      <c r="J360" s="8">
        <v>76</v>
      </c>
      <c r="K360" t="str">
        <f t="shared" si="10"/>
        <v>Хорошо</v>
      </c>
      <c r="L360" t="str">
        <f t="shared" si="11"/>
        <v>Редко</v>
      </c>
    </row>
    <row r="361" spans="1:12" x14ac:dyDescent="0.2">
      <c r="A361" t="s">
        <v>117</v>
      </c>
      <c r="B361">
        <v>2</v>
      </c>
      <c r="C361">
        <v>1</v>
      </c>
      <c r="D361">
        <v>1</v>
      </c>
      <c r="E361">
        <v>5</v>
      </c>
      <c r="F361">
        <v>4</v>
      </c>
      <c r="G361">
        <v>1</v>
      </c>
      <c r="H361">
        <v>3</v>
      </c>
      <c r="I361">
        <v>1</v>
      </c>
      <c r="J361" s="8">
        <v>76</v>
      </c>
      <c r="K361" t="str">
        <f t="shared" si="10"/>
        <v>Хорошо</v>
      </c>
      <c r="L361" t="str">
        <f t="shared" si="11"/>
        <v>Редко</v>
      </c>
    </row>
    <row r="362" spans="1:12" x14ac:dyDescent="0.2">
      <c r="A362" t="s">
        <v>117</v>
      </c>
      <c r="B362">
        <v>4</v>
      </c>
      <c r="C362">
        <v>2</v>
      </c>
      <c r="D362">
        <v>1</v>
      </c>
      <c r="E362">
        <v>5</v>
      </c>
      <c r="F362">
        <v>5</v>
      </c>
      <c r="G362">
        <v>2</v>
      </c>
      <c r="H362">
        <v>1</v>
      </c>
      <c r="I362">
        <v>1</v>
      </c>
      <c r="J362" s="8">
        <v>76</v>
      </c>
      <c r="K362" t="str">
        <f t="shared" si="10"/>
        <v>Хорошо</v>
      </c>
      <c r="L362" t="str">
        <f t="shared" si="11"/>
        <v>Редко</v>
      </c>
    </row>
    <row r="363" spans="1:12" x14ac:dyDescent="0.2">
      <c r="A363" t="s">
        <v>116</v>
      </c>
      <c r="B363">
        <v>8</v>
      </c>
      <c r="C363">
        <v>3</v>
      </c>
      <c r="D363">
        <v>1</v>
      </c>
      <c r="E363">
        <v>4</v>
      </c>
      <c r="F363">
        <v>4</v>
      </c>
      <c r="G363">
        <v>2</v>
      </c>
      <c r="H363">
        <v>2</v>
      </c>
      <c r="I363">
        <v>1</v>
      </c>
      <c r="J363" s="8">
        <v>70</v>
      </c>
      <c r="K363" t="str">
        <f t="shared" si="10"/>
        <v>Хорошо</v>
      </c>
      <c r="L363" t="str">
        <f t="shared" si="11"/>
        <v>Часто</v>
      </c>
    </row>
    <row r="364" spans="1:12" x14ac:dyDescent="0.2">
      <c r="A364" t="s">
        <v>117</v>
      </c>
      <c r="B364">
        <v>1</v>
      </c>
      <c r="C364">
        <v>1</v>
      </c>
      <c r="D364">
        <v>1</v>
      </c>
      <c r="E364">
        <v>2</v>
      </c>
      <c r="F364">
        <v>2</v>
      </c>
      <c r="G364">
        <v>2</v>
      </c>
      <c r="H364">
        <v>4</v>
      </c>
      <c r="I364">
        <v>3</v>
      </c>
      <c r="J364" s="8">
        <v>76.5</v>
      </c>
      <c r="K364" t="str">
        <f t="shared" si="10"/>
        <v>Хорошо</v>
      </c>
      <c r="L364" t="str">
        <f t="shared" si="11"/>
        <v>Редко</v>
      </c>
    </row>
    <row r="365" spans="1:12" x14ac:dyDescent="0.2">
      <c r="A365" t="s">
        <v>116</v>
      </c>
      <c r="B365">
        <v>4</v>
      </c>
      <c r="C365">
        <v>0</v>
      </c>
      <c r="D365">
        <v>0</v>
      </c>
      <c r="E365">
        <v>4</v>
      </c>
      <c r="F365">
        <v>5</v>
      </c>
      <c r="G365">
        <v>2</v>
      </c>
      <c r="H365">
        <v>0</v>
      </c>
      <c r="I365">
        <v>0</v>
      </c>
      <c r="J365" s="8">
        <v>77</v>
      </c>
      <c r="K365" t="str">
        <f t="shared" si="10"/>
        <v>Хорошо</v>
      </c>
      <c r="L365" t="str">
        <f t="shared" si="11"/>
        <v>Редко</v>
      </c>
    </row>
    <row r="366" spans="1:12" x14ac:dyDescent="0.2">
      <c r="A366" t="s">
        <v>116</v>
      </c>
      <c r="B366">
        <v>4</v>
      </c>
      <c r="C366">
        <v>1</v>
      </c>
      <c r="D366">
        <v>1</v>
      </c>
      <c r="E366">
        <v>4</v>
      </c>
      <c r="F366">
        <v>4</v>
      </c>
      <c r="G366">
        <v>2</v>
      </c>
      <c r="H366">
        <v>2</v>
      </c>
      <c r="I366">
        <v>3</v>
      </c>
      <c r="J366" s="8">
        <v>77</v>
      </c>
      <c r="K366" t="str">
        <f t="shared" si="10"/>
        <v>Хорошо</v>
      </c>
      <c r="L366" t="str">
        <f t="shared" si="11"/>
        <v>Редко</v>
      </c>
    </row>
    <row r="367" spans="1:12" x14ac:dyDescent="0.2">
      <c r="A367" t="s">
        <v>117</v>
      </c>
      <c r="B367">
        <v>1</v>
      </c>
      <c r="C367">
        <v>2</v>
      </c>
      <c r="D367">
        <v>1</v>
      </c>
      <c r="E367">
        <v>2</v>
      </c>
      <c r="F367">
        <v>3</v>
      </c>
      <c r="G367">
        <v>3</v>
      </c>
      <c r="H367">
        <v>2</v>
      </c>
      <c r="I367">
        <v>1</v>
      </c>
      <c r="J367" s="8">
        <v>77</v>
      </c>
      <c r="K367" t="str">
        <f t="shared" si="10"/>
        <v>Хорошо</v>
      </c>
      <c r="L367" t="str">
        <f t="shared" si="11"/>
        <v>Редко</v>
      </c>
    </row>
    <row r="368" spans="1:12" x14ac:dyDescent="0.2">
      <c r="A368" t="s">
        <v>116</v>
      </c>
      <c r="B368">
        <v>4</v>
      </c>
      <c r="C368">
        <v>3</v>
      </c>
      <c r="D368">
        <v>1</v>
      </c>
      <c r="E368">
        <v>4</v>
      </c>
      <c r="F368">
        <v>4</v>
      </c>
      <c r="G368">
        <v>2</v>
      </c>
      <c r="H368">
        <v>4</v>
      </c>
      <c r="I368">
        <v>3</v>
      </c>
      <c r="J368" s="8">
        <v>70</v>
      </c>
      <c r="K368" t="str">
        <f t="shared" si="10"/>
        <v>Хорошо</v>
      </c>
      <c r="L368" t="str">
        <f t="shared" si="11"/>
        <v>Часто</v>
      </c>
    </row>
    <row r="369" spans="1:12" x14ac:dyDescent="0.2">
      <c r="A369" t="s">
        <v>116</v>
      </c>
      <c r="B369">
        <v>3</v>
      </c>
      <c r="C369">
        <v>3</v>
      </c>
      <c r="D369">
        <v>1</v>
      </c>
      <c r="E369">
        <v>4</v>
      </c>
      <c r="F369">
        <v>5</v>
      </c>
      <c r="G369">
        <v>2</v>
      </c>
      <c r="H369">
        <v>3</v>
      </c>
      <c r="I369">
        <v>2</v>
      </c>
      <c r="J369" s="8">
        <v>70</v>
      </c>
      <c r="K369" t="str">
        <f t="shared" si="10"/>
        <v>Хорошо</v>
      </c>
      <c r="L369" t="str">
        <f t="shared" si="11"/>
        <v>Часто</v>
      </c>
    </row>
    <row r="370" spans="1:12" x14ac:dyDescent="0.2">
      <c r="A370" t="s">
        <v>116</v>
      </c>
      <c r="B370">
        <v>4</v>
      </c>
      <c r="C370">
        <v>0</v>
      </c>
      <c r="D370">
        <v>0</v>
      </c>
      <c r="E370">
        <v>2</v>
      </c>
      <c r="F370">
        <v>2</v>
      </c>
      <c r="G370">
        <v>2</v>
      </c>
      <c r="H370">
        <v>0</v>
      </c>
      <c r="I370">
        <v>0</v>
      </c>
      <c r="J370" s="8">
        <v>77.5</v>
      </c>
      <c r="K370" t="str">
        <f t="shared" si="10"/>
        <v>Хорошо</v>
      </c>
      <c r="L370" t="str">
        <f t="shared" si="11"/>
        <v>Редко</v>
      </c>
    </row>
    <row r="371" spans="1:12" x14ac:dyDescent="0.2">
      <c r="A371" t="s">
        <v>116</v>
      </c>
      <c r="B371">
        <v>1</v>
      </c>
      <c r="C371">
        <v>2</v>
      </c>
      <c r="D371">
        <v>1</v>
      </c>
      <c r="E371">
        <v>5</v>
      </c>
      <c r="F371">
        <v>4</v>
      </c>
      <c r="G371">
        <v>4</v>
      </c>
      <c r="H371">
        <v>1</v>
      </c>
      <c r="I371">
        <v>1</v>
      </c>
      <c r="J371" s="8">
        <v>77.5</v>
      </c>
      <c r="K371" t="str">
        <f t="shared" si="10"/>
        <v>Хорошо</v>
      </c>
      <c r="L371" t="str">
        <f t="shared" si="11"/>
        <v>Редко</v>
      </c>
    </row>
    <row r="372" spans="1:12" x14ac:dyDescent="0.2">
      <c r="A372" t="s">
        <v>117</v>
      </c>
      <c r="B372">
        <v>8</v>
      </c>
      <c r="C372">
        <v>0</v>
      </c>
      <c r="D372">
        <v>0</v>
      </c>
      <c r="E372">
        <v>2</v>
      </c>
      <c r="F372">
        <v>4</v>
      </c>
      <c r="G372">
        <v>2</v>
      </c>
      <c r="H372">
        <v>0</v>
      </c>
      <c r="I372">
        <v>0</v>
      </c>
      <c r="J372" s="8">
        <v>77.5</v>
      </c>
      <c r="K372" t="str">
        <f t="shared" si="10"/>
        <v>Хорошо</v>
      </c>
      <c r="L372" t="str">
        <f t="shared" si="11"/>
        <v>Редко</v>
      </c>
    </row>
    <row r="373" spans="1:12" x14ac:dyDescent="0.2">
      <c r="A373" t="s">
        <v>116</v>
      </c>
      <c r="B373">
        <v>8</v>
      </c>
      <c r="C373">
        <v>4</v>
      </c>
      <c r="D373">
        <v>1</v>
      </c>
      <c r="E373">
        <v>4</v>
      </c>
      <c r="F373">
        <v>4</v>
      </c>
      <c r="G373">
        <v>2</v>
      </c>
      <c r="H373">
        <v>1</v>
      </c>
      <c r="I373">
        <v>1</v>
      </c>
      <c r="J373" s="8">
        <v>70</v>
      </c>
      <c r="K373" t="str">
        <f t="shared" si="10"/>
        <v>Хорошо</v>
      </c>
      <c r="L373" t="str">
        <f t="shared" si="11"/>
        <v>Часто</v>
      </c>
    </row>
    <row r="374" spans="1:12" x14ac:dyDescent="0.2">
      <c r="A374" t="s">
        <v>116</v>
      </c>
      <c r="B374">
        <v>8</v>
      </c>
      <c r="C374">
        <v>5</v>
      </c>
      <c r="D374">
        <v>1</v>
      </c>
      <c r="E374">
        <v>1</v>
      </c>
      <c r="F374">
        <v>3</v>
      </c>
      <c r="G374">
        <v>2</v>
      </c>
      <c r="H374">
        <v>2</v>
      </c>
      <c r="I374">
        <v>1</v>
      </c>
      <c r="J374" s="8">
        <v>70</v>
      </c>
      <c r="K374" t="str">
        <f t="shared" si="10"/>
        <v>Хорошо</v>
      </c>
      <c r="L374" t="str">
        <f t="shared" si="11"/>
        <v>Часто</v>
      </c>
    </row>
    <row r="375" spans="1:12" x14ac:dyDescent="0.2">
      <c r="A375" t="s">
        <v>117</v>
      </c>
      <c r="B375">
        <v>1</v>
      </c>
      <c r="C375">
        <v>3</v>
      </c>
      <c r="D375">
        <v>1</v>
      </c>
      <c r="E375">
        <v>2</v>
      </c>
      <c r="F375">
        <v>2</v>
      </c>
      <c r="G375">
        <v>2</v>
      </c>
      <c r="H375">
        <v>2</v>
      </c>
      <c r="I375">
        <v>3</v>
      </c>
      <c r="J375" s="8">
        <v>70</v>
      </c>
      <c r="K375" t="str">
        <f t="shared" si="10"/>
        <v>Хорошо</v>
      </c>
      <c r="L375" t="str">
        <f t="shared" si="11"/>
        <v>Часто</v>
      </c>
    </row>
    <row r="376" spans="1:12" x14ac:dyDescent="0.2">
      <c r="A376" t="s">
        <v>116</v>
      </c>
      <c r="B376">
        <v>2</v>
      </c>
      <c r="C376">
        <v>0</v>
      </c>
      <c r="D376">
        <v>0</v>
      </c>
      <c r="E376">
        <v>2</v>
      </c>
      <c r="F376">
        <v>2</v>
      </c>
      <c r="G376">
        <v>1</v>
      </c>
      <c r="H376">
        <v>0</v>
      </c>
      <c r="I376">
        <v>0</v>
      </c>
      <c r="J376" s="8">
        <v>78.5</v>
      </c>
      <c r="K376" t="str">
        <f t="shared" si="10"/>
        <v>Хорошо</v>
      </c>
      <c r="L376" t="str">
        <f t="shared" si="11"/>
        <v>Редко</v>
      </c>
    </row>
    <row r="377" spans="1:12" x14ac:dyDescent="0.2">
      <c r="A377" t="s">
        <v>117</v>
      </c>
      <c r="B377">
        <v>4</v>
      </c>
      <c r="C377">
        <v>3</v>
      </c>
      <c r="D377">
        <v>1</v>
      </c>
      <c r="E377">
        <v>2</v>
      </c>
      <c r="F377">
        <v>3</v>
      </c>
      <c r="G377">
        <v>2</v>
      </c>
      <c r="H377">
        <v>4</v>
      </c>
      <c r="I377">
        <v>4</v>
      </c>
      <c r="J377" s="8">
        <v>70</v>
      </c>
      <c r="K377" t="str">
        <f t="shared" si="10"/>
        <v>Хорошо</v>
      </c>
      <c r="L377" t="str">
        <f t="shared" si="11"/>
        <v>Часто</v>
      </c>
    </row>
    <row r="378" spans="1:12" x14ac:dyDescent="0.2">
      <c r="A378" t="s">
        <v>117</v>
      </c>
      <c r="B378">
        <v>8</v>
      </c>
      <c r="C378">
        <v>1</v>
      </c>
      <c r="D378">
        <v>1</v>
      </c>
      <c r="E378">
        <v>5</v>
      </c>
      <c r="F378">
        <v>5</v>
      </c>
      <c r="G378">
        <v>2</v>
      </c>
      <c r="H378">
        <v>3</v>
      </c>
      <c r="I378">
        <v>3</v>
      </c>
      <c r="J378" s="8">
        <v>79</v>
      </c>
      <c r="K378" t="str">
        <f t="shared" si="10"/>
        <v>Хорошо</v>
      </c>
      <c r="L378" t="str">
        <f t="shared" si="11"/>
        <v>Редко</v>
      </c>
    </row>
    <row r="379" spans="1:12" x14ac:dyDescent="0.2">
      <c r="A379" t="s">
        <v>117</v>
      </c>
      <c r="B379">
        <v>8</v>
      </c>
      <c r="C379">
        <v>4</v>
      </c>
      <c r="D379">
        <v>1</v>
      </c>
      <c r="E379">
        <v>3</v>
      </c>
      <c r="F379">
        <v>4</v>
      </c>
      <c r="G379">
        <v>2</v>
      </c>
      <c r="H379">
        <v>1</v>
      </c>
      <c r="I379">
        <v>2</v>
      </c>
      <c r="J379" s="8">
        <v>70</v>
      </c>
      <c r="K379" t="str">
        <f t="shared" si="10"/>
        <v>Хорошо</v>
      </c>
      <c r="L379" t="str">
        <f t="shared" si="11"/>
        <v>Часто</v>
      </c>
    </row>
    <row r="380" spans="1:12" x14ac:dyDescent="0.2">
      <c r="A380" t="s">
        <v>117</v>
      </c>
      <c r="B380">
        <v>8</v>
      </c>
      <c r="C380">
        <v>1</v>
      </c>
      <c r="D380">
        <v>1</v>
      </c>
      <c r="E380">
        <v>5</v>
      </c>
      <c r="F380">
        <v>5</v>
      </c>
      <c r="G380">
        <v>3</v>
      </c>
      <c r="H380">
        <v>2</v>
      </c>
      <c r="I380">
        <v>3</v>
      </c>
      <c r="J380" s="8">
        <v>79.8</v>
      </c>
      <c r="K380" t="str">
        <f t="shared" si="10"/>
        <v>Хорошо</v>
      </c>
      <c r="L380" t="str">
        <f t="shared" si="11"/>
        <v>Редко</v>
      </c>
    </row>
    <row r="381" spans="1:12" x14ac:dyDescent="0.2">
      <c r="A381" t="s">
        <v>116</v>
      </c>
      <c r="B381">
        <v>3</v>
      </c>
      <c r="C381">
        <v>0</v>
      </c>
      <c r="D381">
        <v>0</v>
      </c>
      <c r="E381">
        <v>2</v>
      </c>
      <c r="F381">
        <v>2</v>
      </c>
      <c r="G381">
        <v>2</v>
      </c>
      <c r="H381">
        <v>0</v>
      </c>
      <c r="I381">
        <v>0</v>
      </c>
      <c r="J381" s="8">
        <v>80</v>
      </c>
      <c r="K381" t="str">
        <f t="shared" si="10"/>
        <v>Хорошо</v>
      </c>
      <c r="L381" t="str">
        <f t="shared" si="11"/>
        <v>Редко</v>
      </c>
    </row>
    <row r="382" spans="1:12" x14ac:dyDescent="0.2">
      <c r="A382" t="s">
        <v>116</v>
      </c>
      <c r="B382">
        <v>8</v>
      </c>
      <c r="C382">
        <v>0</v>
      </c>
      <c r="D382">
        <v>0</v>
      </c>
      <c r="E382">
        <v>2</v>
      </c>
      <c r="F382">
        <v>2</v>
      </c>
      <c r="G382">
        <v>2</v>
      </c>
      <c r="H382">
        <v>0</v>
      </c>
      <c r="I382">
        <v>0</v>
      </c>
      <c r="J382" s="8">
        <v>80</v>
      </c>
      <c r="K382" t="str">
        <f t="shared" si="10"/>
        <v>Хорошо</v>
      </c>
      <c r="L382" t="str">
        <f t="shared" si="11"/>
        <v>Редко</v>
      </c>
    </row>
    <row r="383" spans="1:12" x14ac:dyDescent="0.2">
      <c r="A383" t="s">
        <v>116</v>
      </c>
      <c r="B383">
        <v>8</v>
      </c>
      <c r="C383">
        <v>0</v>
      </c>
      <c r="D383">
        <v>0</v>
      </c>
      <c r="E383">
        <v>2</v>
      </c>
      <c r="F383">
        <v>3</v>
      </c>
      <c r="G383">
        <v>2</v>
      </c>
      <c r="H383">
        <v>0</v>
      </c>
      <c r="I383">
        <v>0</v>
      </c>
      <c r="J383" s="8">
        <v>80</v>
      </c>
      <c r="K383" t="str">
        <f t="shared" si="10"/>
        <v>Хорошо</v>
      </c>
      <c r="L383" t="str">
        <f t="shared" si="11"/>
        <v>Редко</v>
      </c>
    </row>
    <row r="384" spans="1:12" x14ac:dyDescent="0.2">
      <c r="A384" t="s">
        <v>116</v>
      </c>
      <c r="B384">
        <v>4</v>
      </c>
      <c r="C384">
        <v>0</v>
      </c>
      <c r="D384">
        <v>0</v>
      </c>
      <c r="E384">
        <v>2</v>
      </c>
      <c r="F384">
        <v>3</v>
      </c>
      <c r="G384">
        <v>3</v>
      </c>
      <c r="H384">
        <v>0</v>
      </c>
      <c r="I384">
        <v>0</v>
      </c>
      <c r="J384" s="8">
        <v>80</v>
      </c>
      <c r="K384" t="str">
        <f t="shared" si="10"/>
        <v>Хорошо</v>
      </c>
      <c r="L384" t="str">
        <f t="shared" si="11"/>
        <v>Редко</v>
      </c>
    </row>
    <row r="385" spans="1:12" x14ac:dyDescent="0.2">
      <c r="A385" t="s">
        <v>116</v>
      </c>
      <c r="B385">
        <v>10</v>
      </c>
      <c r="C385">
        <v>0</v>
      </c>
      <c r="D385">
        <v>0</v>
      </c>
      <c r="E385">
        <v>2</v>
      </c>
      <c r="F385">
        <v>4</v>
      </c>
      <c r="G385">
        <v>3</v>
      </c>
      <c r="H385">
        <v>0</v>
      </c>
      <c r="I385">
        <v>0</v>
      </c>
      <c r="J385" s="8">
        <v>80</v>
      </c>
      <c r="K385" t="str">
        <f t="shared" si="10"/>
        <v>Хорошо</v>
      </c>
      <c r="L385" t="str">
        <f t="shared" si="11"/>
        <v>Редко</v>
      </c>
    </row>
    <row r="386" spans="1:12" x14ac:dyDescent="0.2">
      <c r="A386" t="s">
        <v>116</v>
      </c>
      <c r="B386">
        <v>1</v>
      </c>
      <c r="C386">
        <v>0</v>
      </c>
      <c r="D386">
        <v>0</v>
      </c>
      <c r="E386">
        <v>3</v>
      </c>
      <c r="F386">
        <v>3</v>
      </c>
      <c r="G386">
        <v>1</v>
      </c>
      <c r="H386">
        <v>0</v>
      </c>
      <c r="I386">
        <v>0</v>
      </c>
      <c r="J386" s="8">
        <v>80</v>
      </c>
      <c r="K386" t="str">
        <f t="shared" si="10"/>
        <v>Хорошо</v>
      </c>
      <c r="L386" t="str">
        <f t="shared" si="11"/>
        <v>Редко</v>
      </c>
    </row>
    <row r="387" spans="1:12" x14ac:dyDescent="0.2">
      <c r="A387" t="s">
        <v>116</v>
      </c>
      <c r="B387">
        <v>1</v>
      </c>
      <c r="C387">
        <v>0</v>
      </c>
      <c r="D387">
        <v>0</v>
      </c>
      <c r="E387">
        <v>3</v>
      </c>
      <c r="F387">
        <v>4</v>
      </c>
      <c r="G387">
        <v>1</v>
      </c>
      <c r="H387">
        <v>0</v>
      </c>
      <c r="I387">
        <v>0</v>
      </c>
      <c r="J387" s="8">
        <v>80</v>
      </c>
      <c r="K387" t="str">
        <f t="shared" ref="K387:K450" si="12">IF(J387&gt;20,IF(J387&gt;40,IF(J387&gt;60,IF(J387&gt;80,"Отлично","Хорошо"),"Средне"),"Плохо"),"Ужасно")</f>
        <v>Хорошо</v>
      </c>
      <c r="L387" t="str">
        <f t="shared" ref="L387:L450" si="13">IF(C387&gt;2,"Часто","Редко")</f>
        <v>Редко</v>
      </c>
    </row>
    <row r="388" spans="1:12" x14ac:dyDescent="0.2">
      <c r="A388" t="s">
        <v>116</v>
      </c>
      <c r="B388">
        <v>4</v>
      </c>
      <c r="C388">
        <v>0</v>
      </c>
      <c r="D388">
        <v>0</v>
      </c>
      <c r="E388">
        <v>3</v>
      </c>
      <c r="F388">
        <v>5</v>
      </c>
      <c r="G388">
        <v>2</v>
      </c>
      <c r="H388">
        <v>0</v>
      </c>
      <c r="I388">
        <v>0</v>
      </c>
      <c r="J388" s="8">
        <v>80</v>
      </c>
      <c r="K388" t="str">
        <f t="shared" si="12"/>
        <v>Хорошо</v>
      </c>
      <c r="L388" t="str">
        <f t="shared" si="13"/>
        <v>Редко</v>
      </c>
    </row>
    <row r="389" spans="1:12" x14ac:dyDescent="0.2">
      <c r="A389" t="s">
        <v>116</v>
      </c>
      <c r="B389">
        <v>9</v>
      </c>
      <c r="C389">
        <v>0</v>
      </c>
      <c r="D389">
        <v>0</v>
      </c>
      <c r="E389">
        <v>4</v>
      </c>
      <c r="F389">
        <v>4</v>
      </c>
      <c r="G389">
        <v>0</v>
      </c>
      <c r="H389">
        <v>0</v>
      </c>
      <c r="I389">
        <v>0</v>
      </c>
      <c r="J389" s="8">
        <v>80</v>
      </c>
      <c r="K389" t="str">
        <f t="shared" si="12"/>
        <v>Хорошо</v>
      </c>
      <c r="L389" t="str">
        <f t="shared" si="13"/>
        <v>Редко</v>
      </c>
    </row>
    <row r="390" spans="1:12" x14ac:dyDescent="0.2">
      <c r="A390" t="s">
        <v>116</v>
      </c>
      <c r="B390">
        <v>10</v>
      </c>
      <c r="C390">
        <v>0</v>
      </c>
      <c r="D390">
        <v>0</v>
      </c>
      <c r="E390">
        <v>4</v>
      </c>
      <c r="F390">
        <v>4</v>
      </c>
      <c r="G390">
        <v>2</v>
      </c>
      <c r="H390">
        <v>0</v>
      </c>
      <c r="I390">
        <v>0</v>
      </c>
      <c r="J390" s="8">
        <v>80</v>
      </c>
      <c r="K390" t="str">
        <f t="shared" si="12"/>
        <v>Хорошо</v>
      </c>
      <c r="L390" t="str">
        <f t="shared" si="13"/>
        <v>Редко</v>
      </c>
    </row>
    <row r="391" spans="1:12" x14ac:dyDescent="0.2">
      <c r="A391" t="s">
        <v>116</v>
      </c>
      <c r="B391">
        <v>8</v>
      </c>
      <c r="C391">
        <v>0</v>
      </c>
      <c r="D391">
        <v>0</v>
      </c>
      <c r="E391">
        <v>4</v>
      </c>
      <c r="F391">
        <v>4</v>
      </c>
      <c r="G391">
        <v>3</v>
      </c>
      <c r="H391">
        <v>0</v>
      </c>
      <c r="I391">
        <v>0</v>
      </c>
      <c r="J391" s="8">
        <v>80</v>
      </c>
      <c r="K391" t="str">
        <f t="shared" si="12"/>
        <v>Хорошо</v>
      </c>
      <c r="L391" t="str">
        <f t="shared" si="13"/>
        <v>Редко</v>
      </c>
    </row>
    <row r="392" spans="1:12" x14ac:dyDescent="0.2">
      <c r="A392" t="s">
        <v>116</v>
      </c>
      <c r="B392">
        <v>4</v>
      </c>
      <c r="C392">
        <v>0</v>
      </c>
      <c r="D392">
        <v>0</v>
      </c>
      <c r="E392">
        <v>5</v>
      </c>
      <c r="F392">
        <v>4</v>
      </c>
      <c r="G392">
        <v>3</v>
      </c>
      <c r="H392">
        <v>0</v>
      </c>
      <c r="I392">
        <v>0</v>
      </c>
      <c r="J392" s="8">
        <v>80</v>
      </c>
      <c r="K392" t="str">
        <f t="shared" si="12"/>
        <v>Хорошо</v>
      </c>
      <c r="L392" t="str">
        <f t="shared" si="13"/>
        <v>Редко</v>
      </c>
    </row>
    <row r="393" spans="1:12" x14ac:dyDescent="0.2">
      <c r="A393" t="s">
        <v>116</v>
      </c>
      <c r="B393">
        <v>10</v>
      </c>
      <c r="C393">
        <v>0</v>
      </c>
      <c r="D393">
        <v>0</v>
      </c>
      <c r="E393">
        <v>5</v>
      </c>
      <c r="F393">
        <v>4</v>
      </c>
      <c r="G393">
        <v>4</v>
      </c>
      <c r="H393">
        <v>0</v>
      </c>
      <c r="I393">
        <v>0</v>
      </c>
      <c r="J393" s="8">
        <v>80</v>
      </c>
      <c r="K393" t="str">
        <f t="shared" si="12"/>
        <v>Хорошо</v>
      </c>
      <c r="L393" t="str">
        <f t="shared" si="13"/>
        <v>Редко</v>
      </c>
    </row>
    <row r="394" spans="1:12" x14ac:dyDescent="0.2">
      <c r="A394" t="s">
        <v>116</v>
      </c>
      <c r="B394">
        <v>2</v>
      </c>
      <c r="C394">
        <v>1</v>
      </c>
      <c r="D394">
        <v>1</v>
      </c>
      <c r="E394">
        <v>2</v>
      </c>
      <c r="F394">
        <v>4</v>
      </c>
      <c r="G394">
        <v>1</v>
      </c>
      <c r="H394">
        <v>3</v>
      </c>
      <c r="I394">
        <v>2</v>
      </c>
      <c r="J394" s="8">
        <v>80</v>
      </c>
      <c r="K394" t="str">
        <f t="shared" si="12"/>
        <v>Хорошо</v>
      </c>
      <c r="L394" t="str">
        <f t="shared" si="13"/>
        <v>Редко</v>
      </c>
    </row>
    <row r="395" spans="1:12" x14ac:dyDescent="0.2">
      <c r="A395" t="s">
        <v>116</v>
      </c>
      <c r="B395">
        <v>2</v>
      </c>
      <c r="C395">
        <v>1</v>
      </c>
      <c r="D395">
        <v>1</v>
      </c>
      <c r="E395">
        <v>2</v>
      </c>
      <c r="F395">
        <v>4</v>
      </c>
      <c r="G395">
        <v>1</v>
      </c>
      <c r="H395">
        <v>3</v>
      </c>
      <c r="I395">
        <v>3</v>
      </c>
      <c r="J395" s="8">
        <v>80</v>
      </c>
      <c r="K395" t="str">
        <f t="shared" si="12"/>
        <v>Хорошо</v>
      </c>
      <c r="L395" t="str">
        <f t="shared" si="13"/>
        <v>Редко</v>
      </c>
    </row>
    <row r="396" spans="1:12" x14ac:dyDescent="0.2">
      <c r="A396" t="s">
        <v>116</v>
      </c>
      <c r="B396">
        <v>11</v>
      </c>
      <c r="C396">
        <v>1</v>
      </c>
      <c r="D396">
        <v>1</v>
      </c>
      <c r="E396">
        <v>2</v>
      </c>
      <c r="F396">
        <v>2</v>
      </c>
      <c r="G396">
        <v>2</v>
      </c>
      <c r="H396">
        <v>4</v>
      </c>
      <c r="I396">
        <v>5</v>
      </c>
      <c r="J396" s="8">
        <v>80</v>
      </c>
      <c r="K396" t="str">
        <f t="shared" si="12"/>
        <v>Хорошо</v>
      </c>
      <c r="L396" t="str">
        <f t="shared" si="13"/>
        <v>Редко</v>
      </c>
    </row>
    <row r="397" spans="1:12" x14ac:dyDescent="0.2">
      <c r="A397" t="s">
        <v>116</v>
      </c>
      <c r="B397">
        <v>1</v>
      </c>
      <c r="C397">
        <v>1</v>
      </c>
      <c r="D397">
        <v>1</v>
      </c>
      <c r="E397">
        <v>3</v>
      </c>
      <c r="F397">
        <v>4</v>
      </c>
      <c r="G397">
        <v>2</v>
      </c>
      <c r="H397">
        <v>2</v>
      </c>
      <c r="I397">
        <v>3</v>
      </c>
      <c r="J397" s="8">
        <v>80</v>
      </c>
      <c r="K397" t="str">
        <f t="shared" si="12"/>
        <v>Хорошо</v>
      </c>
      <c r="L397" t="str">
        <f t="shared" si="13"/>
        <v>Редко</v>
      </c>
    </row>
    <row r="398" spans="1:12" x14ac:dyDescent="0.2">
      <c r="A398" t="s">
        <v>116</v>
      </c>
      <c r="B398">
        <v>11</v>
      </c>
      <c r="C398">
        <v>1</v>
      </c>
      <c r="D398">
        <v>1</v>
      </c>
      <c r="E398">
        <v>4</v>
      </c>
      <c r="F398">
        <v>4</v>
      </c>
      <c r="G398">
        <v>2</v>
      </c>
      <c r="H398">
        <v>4</v>
      </c>
      <c r="I398">
        <v>2</v>
      </c>
      <c r="J398" s="8">
        <v>80</v>
      </c>
      <c r="K398" t="str">
        <f t="shared" si="12"/>
        <v>Хорошо</v>
      </c>
      <c r="L398" t="str">
        <f t="shared" si="13"/>
        <v>Редко</v>
      </c>
    </row>
    <row r="399" spans="1:12" x14ac:dyDescent="0.2">
      <c r="A399" t="s">
        <v>116</v>
      </c>
      <c r="B399">
        <v>5</v>
      </c>
      <c r="C399">
        <v>2</v>
      </c>
      <c r="D399">
        <v>1</v>
      </c>
      <c r="E399">
        <v>3</v>
      </c>
      <c r="F399">
        <v>5</v>
      </c>
      <c r="G399">
        <v>4</v>
      </c>
      <c r="H399">
        <v>4</v>
      </c>
      <c r="I399">
        <v>3</v>
      </c>
      <c r="J399" s="8">
        <v>80</v>
      </c>
      <c r="K399" t="str">
        <f t="shared" si="12"/>
        <v>Хорошо</v>
      </c>
      <c r="L399" t="str">
        <f t="shared" si="13"/>
        <v>Редко</v>
      </c>
    </row>
    <row r="400" spans="1:12" x14ac:dyDescent="0.2">
      <c r="A400" t="s">
        <v>116</v>
      </c>
      <c r="B400">
        <v>9</v>
      </c>
      <c r="C400">
        <v>2</v>
      </c>
      <c r="D400">
        <v>1</v>
      </c>
      <c r="E400">
        <v>4</v>
      </c>
      <c r="F400">
        <v>5</v>
      </c>
      <c r="G400">
        <v>0</v>
      </c>
      <c r="H400">
        <v>2</v>
      </c>
      <c r="I400">
        <v>1</v>
      </c>
      <c r="J400" s="8">
        <v>80</v>
      </c>
      <c r="K400" t="str">
        <f t="shared" si="12"/>
        <v>Хорошо</v>
      </c>
      <c r="L400" t="str">
        <f t="shared" si="13"/>
        <v>Редко</v>
      </c>
    </row>
    <row r="401" spans="1:12" x14ac:dyDescent="0.2">
      <c r="A401" t="s">
        <v>116</v>
      </c>
      <c r="B401">
        <v>8</v>
      </c>
      <c r="C401">
        <v>2</v>
      </c>
      <c r="D401">
        <v>1</v>
      </c>
      <c r="E401">
        <v>4</v>
      </c>
      <c r="F401">
        <v>5</v>
      </c>
      <c r="G401">
        <v>3</v>
      </c>
      <c r="H401">
        <v>3</v>
      </c>
      <c r="I401">
        <v>1</v>
      </c>
      <c r="J401" s="8">
        <v>80</v>
      </c>
      <c r="K401" t="str">
        <f t="shared" si="12"/>
        <v>Хорошо</v>
      </c>
      <c r="L401" t="str">
        <f t="shared" si="13"/>
        <v>Редко</v>
      </c>
    </row>
    <row r="402" spans="1:12" x14ac:dyDescent="0.2">
      <c r="A402" t="s">
        <v>117</v>
      </c>
      <c r="B402">
        <v>8</v>
      </c>
      <c r="C402">
        <v>5</v>
      </c>
      <c r="D402">
        <v>1</v>
      </c>
      <c r="E402">
        <v>4</v>
      </c>
      <c r="F402">
        <v>2</v>
      </c>
      <c r="G402">
        <v>2</v>
      </c>
      <c r="H402">
        <v>2</v>
      </c>
      <c r="I402">
        <v>2</v>
      </c>
      <c r="J402" s="8">
        <v>70</v>
      </c>
      <c r="K402" t="str">
        <f t="shared" si="12"/>
        <v>Хорошо</v>
      </c>
      <c r="L402" t="str">
        <f t="shared" si="13"/>
        <v>Часто</v>
      </c>
    </row>
    <row r="403" spans="1:12" x14ac:dyDescent="0.2">
      <c r="A403" t="s">
        <v>117</v>
      </c>
      <c r="B403">
        <v>2</v>
      </c>
      <c r="C403">
        <v>5</v>
      </c>
      <c r="D403">
        <v>1</v>
      </c>
      <c r="E403">
        <v>5</v>
      </c>
      <c r="F403">
        <v>5</v>
      </c>
      <c r="G403">
        <v>2</v>
      </c>
      <c r="H403">
        <v>1</v>
      </c>
      <c r="I403">
        <v>3</v>
      </c>
      <c r="J403" s="8">
        <v>70</v>
      </c>
      <c r="K403" t="str">
        <f t="shared" si="12"/>
        <v>Хорошо</v>
      </c>
      <c r="L403" t="str">
        <f t="shared" si="13"/>
        <v>Часто</v>
      </c>
    </row>
    <row r="404" spans="1:12" x14ac:dyDescent="0.2">
      <c r="A404" t="s">
        <v>116</v>
      </c>
      <c r="B404">
        <v>2</v>
      </c>
      <c r="C404">
        <v>3</v>
      </c>
      <c r="D404">
        <v>1</v>
      </c>
      <c r="E404">
        <v>3</v>
      </c>
      <c r="F404">
        <v>3</v>
      </c>
      <c r="G404">
        <v>2</v>
      </c>
      <c r="H404">
        <v>2</v>
      </c>
      <c r="I404">
        <v>4</v>
      </c>
      <c r="J404" s="8">
        <v>71</v>
      </c>
      <c r="K404" t="str">
        <f t="shared" si="12"/>
        <v>Хорошо</v>
      </c>
      <c r="L404" t="str">
        <f t="shared" si="13"/>
        <v>Часто</v>
      </c>
    </row>
    <row r="405" spans="1:12" x14ac:dyDescent="0.2">
      <c r="A405" t="s">
        <v>117</v>
      </c>
      <c r="B405">
        <v>8</v>
      </c>
      <c r="C405">
        <v>3</v>
      </c>
      <c r="D405">
        <v>1</v>
      </c>
      <c r="E405">
        <v>2</v>
      </c>
      <c r="F405">
        <v>2</v>
      </c>
      <c r="G405">
        <v>2</v>
      </c>
      <c r="H405">
        <v>2</v>
      </c>
      <c r="I405">
        <v>2</v>
      </c>
      <c r="J405" s="8">
        <v>72.099999999999994</v>
      </c>
      <c r="K405" t="str">
        <f t="shared" si="12"/>
        <v>Хорошо</v>
      </c>
      <c r="L405" t="str">
        <f t="shared" si="13"/>
        <v>Часто</v>
      </c>
    </row>
    <row r="406" spans="1:12" x14ac:dyDescent="0.2">
      <c r="A406" t="s">
        <v>117</v>
      </c>
      <c r="B406">
        <v>5</v>
      </c>
      <c r="C406">
        <v>3</v>
      </c>
      <c r="D406">
        <v>1</v>
      </c>
      <c r="E406">
        <v>5</v>
      </c>
      <c r="F406">
        <v>5</v>
      </c>
      <c r="G406">
        <v>2</v>
      </c>
      <c r="H406">
        <v>1</v>
      </c>
      <c r="I406">
        <v>2</v>
      </c>
      <c r="J406" s="8">
        <v>72.5</v>
      </c>
      <c r="K406" t="str">
        <f t="shared" si="12"/>
        <v>Хорошо</v>
      </c>
      <c r="L406" t="str">
        <f t="shared" si="13"/>
        <v>Часто</v>
      </c>
    </row>
    <row r="407" spans="1:12" x14ac:dyDescent="0.2">
      <c r="A407" t="s">
        <v>116</v>
      </c>
      <c r="B407">
        <v>6</v>
      </c>
      <c r="C407">
        <v>3</v>
      </c>
      <c r="D407">
        <v>1</v>
      </c>
      <c r="E407">
        <v>3</v>
      </c>
      <c r="F407">
        <v>3</v>
      </c>
      <c r="G407">
        <v>2</v>
      </c>
      <c r="H407">
        <v>2</v>
      </c>
      <c r="I407">
        <v>1</v>
      </c>
      <c r="J407" s="8">
        <v>75</v>
      </c>
      <c r="K407" t="str">
        <f t="shared" si="12"/>
        <v>Хорошо</v>
      </c>
      <c r="L407" t="str">
        <f t="shared" si="13"/>
        <v>Часто</v>
      </c>
    </row>
    <row r="408" spans="1:12" x14ac:dyDescent="0.2">
      <c r="A408" t="s">
        <v>116</v>
      </c>
      <c r="B408">
        <v>2</v>
      </c>
      <c r="C408">
        <v>3</v>
      </c>
      <c r="D408">
        <v>1</v>
      </c>
      <c r="E408">
        <v>4</v>
      </c>
      <c r="F408">
        <v>4</v>
      </c>
      <c r="G408">
        <v>2</v>
      </c>
      <c r="H408">
        <v>2</v>
      </c>
      <c r="I408">
        <v>2</v>
      </c>
      <c r="J408" s="8">
        <v>75</v>
      </c>
      <c r="K408" t="str">
        <f t="shared" si="12"/>
        <v>Хорошо</v>
      </c>
      <c r="L408" t="str">
        <f t="shared" si="13"/>
        <v>Часто</v>
      </c>
    </row>
    <row r="409" spans="1:12" x14ac:dyDescent="0.2">
      <c r="A409" t="s">
        <v>116</v>
      </c>
      <c r="B409">
        <v>8</v>
      </c>
      <c r="C409">
        <v>4</v>
      </c>
      <c r="D409">
        <v>1</v>
      </c>
      <c r="E409">
        <v>4</v>
      </c>
      <c r="F409">
        <v>4</v>
      </c>
      <c r="G409">
        <v>2</v>
      </c>
      <c r="H409">
        <v>2</v>
      </c>
      <c r="I409">
        <v>3</v>
      </c>
      <c r="J409" s="8">
        <v>75</v>
      </c>
      <c r="K409" t="str">
        <f t="shared" si="12"/>
        <v>Хорошо</v>
      </c>
      <c r="L409" t="str">
        <f t="shared" si="13"/>
        <v>Часто</v>
      </c>
    </row>
    <row r="410" spans="1:12" x14ac:dyDescent="0.2">
      <c r="A410" t="s">
        <v>116</v>
      </c>
      <c r="B410">
        <v>1</v>
      </c>
      <c r="C410">
        <v>4</v>
      </c>
      <c r="D410">
        <v>1</v>
      </c>
      <c r="E410">
        <v>4</v>
      </c>
      <c r="F410">
        <v>5</v>
      </c>
      <c r="G410">
        <v>2</v>
      </c>
      <c r="H410">
        <v>1</v>
      </c>
      <c r="I410">
        <v>1</v>
      </c>
      <c r="J410" s="8">
        <v>75</v>
      </c>
      <c r="K410" t="str">
        <f t="shared" si="12"/>
        <v>Хорошо</v>
      </c>
      <c r="L410" t="str">
        <f t="shared" si="13"/>
        <v>Часто</v>
      </c>
    </row>
    <row r="411" spans="1:12" x14ac:dyDescent="0.2">
      <c r="A411" t="s">
        <v>116</v>
      </c>
      <c r="B411">
        <v>2</v>
      </c>
      <c r="C411">
        <v>4</v>
      </c>
      <c r="D411">
        <v>1</v>
      </c>
      <c r="E411">
        <v>5</v>
      </c>
      <c r="F411">
        <v>4</v>
      </c>
      <c r="G411">
        <v>2</v>
      </c>
      <c r="H411">
        <v>2</v>
      </c>
      <c r="I411">
        <v>2</v>
      </c>
      <c r="J411" s="8">
        <v>75</v>
      </c>
      <c r="K411" t="str">
        <f t="shared" si="12"/>
        <v>Хорошо</v>
      </c>
      <c r="L411" t="str">
        <f t="shared" si="13"/>
        <v>Часто</v>
      </c>
    </row>
    <row r="412" spans="1:12" x14ac:dyDescent="0.2">
      <c r="A412" t="s">
        <v>116</v>
      </c>
      <c r="B412">
        <v>2</v>
      </c>
      <c r="C412">
        <v>5</v>
      </c>
      <c r="D412">
        <v>1</v>
      </c>
      <c r="E412">
        <v>3</v>
      </c>
      <c r="F412">
        <v>2</v>
      </c>
      <c r="G412">
        <v>2</v>
      </c>
      <c r="H412">
        <v>1</v>
      </c>
      <c r="I412">
        <v>2</v>
      </c>
      <c r="J412" s="8">
        <v>75</v>
      </c>
      <c r="K412" t="str">
        <f t="shared" si="12"/>
        <v>Хорошо</v>
      </c>
      <c r="L412" t="str">
        <f t="shared" si="13"/>
        <v>Часто</v>
      </c>
    </row>
    <row r="413" spans="1:12" x14ac:dyDescent="0.2">
      <c r="A413" t="s">
        <v>117</v>
      </c>
      <c r="B413">
        <v>8</v>
      </c>
      <c r="C413">
        <v>0</v>
      </c>
      <c r="D413">
        <v>0</v>
      </c>
      <c r="E413">
        <v>2</v>
      </c>
      <c r="F413">
        <v>4</v>
      </c>
      <c r="G413">
        <v>1</v>
      </c>
      <c r="H413">
        <v>0</v>
      </c>
      <c r="I413">
        <v>0</v>
      </c>
      <c r="J413" s="8">
        <v>80</v>
      </c>
      <c r="K413" t="str">
        <f t="shared" si="12"/>
        <v>Хорошо</v>
      </c>
      <c r="L413" t="str">
        <f t="shared" si="13"/>
        <v>Редко</v>
      </c>
    </row>
    <row r="414" spans="1:12" x14ac:dyDescent="0.2">
      <c r="A414" t="s">
        <v>117</v>
      </c>
      <c r="B414">
        <v>8</v>
      </c>
      <c r="C414">
        <v>0</v>
      </c>
      <c r="D414">
        <v>0</v>
      </c>
      <c r="E414">
        <v>4</v>
      </c>
      <c r="F414">
        <v>3</v>
      </c>
      <c r="G414">
        <v>2</v>
      </c>
      <c r="H414">
        <v>0</v>
      </c>
      <c r="I414">
        <v>0</v>
      </c>
      <c r="J414" s="8">
        <v>80</v>
      </c>
      <c r="K414" t="str">
        <f t="shared" si="12"/>
        <v>Хорошо</v>
      </c>
      <c r="L414" t="str">
        <f t="shared" si="13"/>
        <v>Редко</v>
      </c>
    </row>
    <row r="415" spans="1:12" x14ac:dyDescent="0.2">
      <c r="A415" t="s">
        <v>117</v>
      </c>
      <c r="B415">
        <v>3</v>
      </c>
      <c r="C415">
        <v>0</v>
      </c>
      <c r="D415">
        <v>0</v>
      </c>
      <c r="E415">
        <v>4</v>
      </c>
      <c r="F415">
        <v>4</v>
      </c>
      <c r="G415">
        <v>2</v>
      </c>
      <c r="H415">
        <v>0</v>
      </c>
      <c r="I415">
        <v>0</v>
      </c>
      <c r="J415" s="8">
        <v>80</v>
      </c>
      <c r="K415" t="str">
        <f t="shared" si="12"/>
        <v>Хорошо</v>
      </c>
      <c r="L415" t="str">
        <f t="shared" si="13"/>
        <v>Редко</v>
      </c>
    </row>
    <row r="416" spans="1:12" x14ac:dyDescent="0.2">
      <c r="A416" t="s">
        <v>117</v>
      </c>
      <c r="B416">
        <v>1</v>
      </c>
      <c r="C416">
        <v>1</v>
      </c>
      <c r="D416">
        <v>1</v>
      </c>
      <c r="E416">
        <v>2</v>
      </c>
      <c r="F416">
        <v>4</v>
      </c>
      <c r="G416">
        <v>2</v>
      </c>
      <c r="H416">
        <v>4</v>
      </c>
      <c r="I416">
        <v>1</v>
      </c>
      <c r="J416" s="8">
        <v>80</v>
      </c>
      <c r="K416" t="str">
        <f t="shared" si="12"/>
        <v>Хорошо</v>
      </c>
      <c r="L416" t="str">
        <f t="shared" si="13"/>
        <v>Редко</v>
      </c>
    </row>
    <row r="417" spans="1:12" x14ac:dyDescent="0.2">
      <c r="A417" t="s">
        <v>117</v>
      </c>
      <c r="B417">
        <v>5</v>
      </c>
      <c r="C417">
        <v>1</v>
      </c>
      <c r="D417">
        <v>1</v>
      </c>
      <c r="E417">
        <v>3</v>
      </c>
      <c r="F417">
        <v>4</v>
      </c>
      <c r="G417">
        <v>1</v>
      </c>
      <c r="H417">
        <v>4</v>
      </c>
      <c r="I417">
        <v>5</v>
      </c>
      <c r="J417" s="8">
        <v>80</v>
      </c>
      <c r="K417" t="str">
        <f t="shared" si="12"/>
        <v>Хорошо</v>
      </c>
      <c r="L417" t="str">
        <f t="shared" si="13"/>
        <v>Редко</v>
      </c>
    </row>
    <row r="418" spans="1:12" x14ac:dyDescent="0.2">
      <c r="A418" t="s">
        <v>117</v>
      </c>
      <c r="B418">
        <v>4</v>
      </c>
      <c r="C418">
        <v>1</v>
      </c>
      <c r="D418">
        <v>1</v>
      </c>
      <c r="E418">
        <v>5</v>
      </c>
      <c r="F418">
        <v>5</v>
      </c>
      <c r="G418">
        <v>2</v>
      </c>
      <c r="H418">
        <v>3</v>
      </c>
      <c r="I418">
        <v>4</v>
      </c>
      <c r="J418" s="8">
        <v>80</v>
      </c>
      <c r="K418" t="str">
        <f t="shared" si="12"/>
        <v>Хорошо</v>
      </c>
      <c r="L418" t="str">
        <f t="shared" si="13"/>
        <v>Редко</v>
      </c>
    </row>
    <row r="419" spans="1:12" x14ac:dyDescent="0.2">
      <c r="A419" t="s">
        <v>117</v>
      </c>
      <c r="B419">
        <v>2</v>
      </c>
      <c r="C419">
        <v>2</v>
      </c>
      <c r="D419">
        <v>1</v>
      </c>
      <c r="E419">
        <v>4</v>
      </c>
      <c r="F419">
        <v>5</v>
      </c>
      <c r="G419">
        <v>3</v>
      </c>
      <c r="H419">
        <v>4</v>
      </c>
      <c r="I419">
        <v>5</v>
      </c>
      <c r="J419" s="8">
        <v>80</v>
      </c>
      <c r="K419" t="str">
        <f t="shared" si="12"/>
        <v>Хорошо</v>
      </c>
      <c r="L419" t="str">
        <f t="shared" si="13"/>
        <v>Редко</v>
      </c>
    </row>
    <row r="420" spans="1:12" x14ac:dyDescent="0.2">
      <c r="A420" t="s">
        <v>117</v>
      </c>
      <c r="B420">
        <v>3</v>
      </c>
      <c r="C420">
        <v>3</v>
      </c>
      <c r="D420">
        <v>1</v>
      </c>
      <c r="E420">
        <v>2</v>
      </c>
      <c r="F420">
        <v>2</v>
      </c>
      <c r="G420">
        <v>2</v>
      </c>
      <c r="H420">
        <v>4</v>
      </c>
      <c r="I420">
        <v>3</v>
      </c>
      <c r="J420" s="8">
        <v>75</v>
      </c>
      <c r="K420" t="str">
        <f t="shared" si="12"/>
        <v>Хорошо</v>
      </c>
      <c r="L420" t="str">
        <f t="shared" si="13"/>
        <v>Часто</v>
      </c>
    </row>
    <row r="421" spans="1:12" x14ac:dyDescent="0.2">
      <c r="A421" t="s">
        <v>117</v>
      </c>
      <c r="B421">
        <v>8</v>
      </c>
      <c r="C421">
        <v>3</v>
      </c>
      <c r="D421">
        <v>1</v>
      </c>
      <c r="E421">
        <v>3</v>
      </c>
      <c r="F421">
        <v>3</v>
      </c>
      <c r="G421">
        <v>2</v>
      </c>
      <c r="H421">
        <v>4</v>
      </c>
      <c r="I421">
        <v>3</v>
      </c>
      <c r="J421" s="8">
        <v>75</v>
      </c>
      <c r="K421" t="str">
        <f t="shared" si="12"/>
        <v>Хорошо</v>
      </c>
      <c r="L421" t="str">
        <f t="shared" si="13"/>
        <v>Часто</v>
      </c>
    </row>
    <row r="422" spans="1:12" x14ac:dyDescent="0.2">
      <c r="A422" t="s">
        <v>117</v>
      </c>
      <c r="B422">
        <v>4</v>
      </c>
      <c r="C422">
        <v>4</v>
      </c>
      <c r="D422">
        <v>1</v>
      </c>
      <c r="E422">
        <v>5</v>
      </c>
      <c r="F422">
        <v>6</v>
      </c>
      <c r="G422">
        <v>2</v>
      </c>
      <c r="H422">
        <v>2</v>
      </c>
      <c r="I422">
        <v>2</v>
      </c>
      <c r="J422" s="8">
        <v>75</v>
      </c>
      <c r="K422" t="str">
        <f t="shared" si="12"/>
        <v>Хорошо</v>
      </c>
      <c r="L422" t="str">
        <f t="shared" si="13"/>
        <v>Часто</v>
      </c>
    </row>
    <row r="423" spans="1:12" x14ac:dyDescent="0.2">
      <c r="A423" t="s">
        <v>117</v>
      </c>
      <c r="B423">
        <v>3</v>
      </c>
      <c r="C423">
        <v>5</v>
      </c>
      <c r="D423">
        <v>1</v>
      </c>
      <c r="E423">
        <v>3</v>
      </c>
      <c r="F423">
        <v>2</v>
      </c>
      <c r="G423">
        <v>2</v>
      </c>
      <c r="H423">
        <v>1</v>
      </c>
      <c r="I423">
        <v>1</v>
      </c>
      <c r="J423" s="8">
        <v>75</v>
      </c>
      <c r="K423" t="str">
        <f t="shared" si="12"/>
        <v>Хорошо</v>
      </c>
      <c r="L423" t="str">
        <f t="shared" si="13"/>
        <v>Часто</v>
      </c>
    </row>
    <row r="424" spans="1:12" x14ac:dyDescent="0.2">
      <c r="A424" t="s">
        <v>117</v>
      </c>
      <c r="B424">
        <v>4</v>
      </c>
      <c r="C424">
        <v>5</v>
      </c>
      <c r="D424">
        <v>1</v>
      </c>
      <c r="E424">
        <v>4</v>
      </c>
      <c r="F424">
        <v>4</v>
      </c>
      <c r="G424">
        <v>2</v>
      </c>
      <c r="H424">
        <v>2</v>
      </c>
      <c r="I424">
        <v>2</v>
      </c>
      <c r="J424" s="8">
        <v>75</v>
      </c>
      <c r="K424" t="str">
        <f t="shared" si="12"/>
        <v>Хорошо</v>
      </c>
      <c r="L424" t="str">
        <f t="shared" si="13"/>
        <v>Часто</v>
      </c>
    </row>
    <row r="425" spans="1:12" x14ac:dyDescent="0.2">
      <c r="A425" t="s">
        <v>117</v>
      </c>
      <c r="B425">
        <v>1</v>
      </c>
      <c r="C425">
        <v>4</v>
      </c>
      <c r="D425">
        <v>1</v>
      </c>
      <c r="E425">
        <v>2</v>
      </c>
      <c r="F425">
        <v>3</v>
      </c>
      <c r="G425">
        <v>2</v>
      </c>
      <c r="H425">
        <v>4</v>
      </c>
      <c r="I425">
        <v>2</v>
      </c>
      <c r="J425" s="8">
        <v>77</v>
      </c>
      <c r="K425" t="str">
        <f t="shared" si="12"/>
        <v>Хорошо</v>
      </c>
      <c r="L425" t="str">
        <f t="shared" si="13"/>
        <v>Часто</v>
      </c>
    </row>
    <row r="426" spans="1:12" x14ac:dyDescent="0.2">
      <c r="A426" t="s">
        <v>116</v>
      </c>
      <c r="B426">
        <v>1</v>
      </c>
      <c r="C426">
        <v>3</v>
      </c>
      <c r="D426">
        <v>1</v>
      </c>
      <c r="E426">
        <v>4</v>
      </c>
      <c r="F426">
        <v>4</v>
      </c>
      <c r="G426">
        <v>2</v>
      </c>
      <c r="H426">
        <v>2</v>
      </c>
      <c r="I426">
        <v>2</v>
      </c>
      <c r="J426" s="8">
        <v>78</v>
      </c>
      <c r="K426" t="str">
        <f t="shared" si="12"/>
        <v>Хорошо</v>
      </c>
      <c r="L426" t="str">
        <f t="shared" si="13"/>
        <v>Часто</v>
      </c>
    </row>
    <row r="427" spans="1:12" x14ac:dyDescent="0.2">
      <c r="A427" t="s">
        <v>117</v>
      </c>
      <c r="B427">
        <v>4</v>
      </c>
      <c r="C427">
        <v>4</v>
      </c>
      <c r="D427">
        <v>1</v>
      </c>
      <c r="E427">
        <v>3</v>
      </c>
      <c r="F427">
        <v>4</v>
      </c>
      <c r="G427">
        <v>2</v>
      </c>
      <c r="H427">
        <v>2</v>
      </c>
      <c r="I427">
        <v>1</v>
      </c>
      <c r="J427" s="8">
        <v>78</v>
      </c>
      <c r="K427" t="str">
        <f t="shared" si="12"/>
        <v>Хорошо</v>
      </c>
      <c r="L427" t="str">
        <f t="shared" si="13"/>
        <v>Часто</v>
      </c>
    </row>
    <row r="428" spans="1:12" x14ac:dyDescent="0.2">
      <c r="A428" t="s">
        <v>117</v>
      </c>
      <c r="B428">
        <v>8</v>
      </c>
      <c r="C428">
        <v>5</v>
      </c>
      <c r="D428">
        <v>1</v>
      </c>
      <c r="E428">
        <v>4</v>
      </c>
      <c r="F428">
        <v>4</v>
      </c>
      <c r="G428">
        <v>2</v>
      </c>
      <c r="H428">
        <v>3</v>
      </c>
      <c r="I428">
        <v>1</v>
      </c>
      <c r="J428" s="8">
        <v>78</v>
      </c>
      <c r="K428" t="str">
        <f t="shared" si="12"/>
        <v>Хорошо</v>
      </c>
      <c r="L428" t="str">
        <f t="shared" si="13"/>
        <v>Часто</v>
      </c>
    </row>
    <row r="429" spans="1:12" x14ac:dyDescent="0.2">
      <c r="A429" t="s">
        <v>116</v>
      </c>
      <c r="B429">
        <v>1</v>
      </c>
      <c r="C429">
        <v>4</v>
      </c>
      <c r="D429">
        <v>1</v>
      </c>
      <c r="E429">
        <v>3</v>
      </c>
      <c r="F429">
        <v>4</v>
      </c>
      <c r="G429">
        <v>2</v>
      </c>
      <c r="H429">
        <v>2</v>
      </c>
      <c r="I429">
        <v>1</v>
      </c>
      <c r="J429" s="8">
        <v>79</v>
      </c>
      <c r="K429" t="str">
        <f t="shared" si="12"/>
        <v>Хорошо</v>
      </c>
      <c r="L429" t="str">
        <f t="shared" si="13"/>
        <v>Часто</v>
      </c>
    </row>
    <row r="430" spans="1:12" x14ac:dyDescent="0.2">
      <c r="A430" t="s">
        <v>116</v>
      </c>
      <c r="B430">
        <v>2</v>
      </c>
      <c r="C430">
        <v>3</v>
      </c>
      <c r="D430">
        <v>1</v>
      </c>
      <c r="E430">
        <v>3</v>
      </c>
      <c r="F430">
        <v>3</v>
      </c>
      <c r="G430">
        <v>2</v>
      </c>
      <c r="H430">
        <v>3</v>
      </c>
      <c r="I430">
        <v>3</v>
      </c>
      <c r="J430" s="8">
        <v>80</v>
      </c>
      <c r="K430" t="str">
        <f t="shared" si="12"/>
        <v>Хорошо</v>
      </c>
      <c r="L430" t="str">
        <f t="shared" si="13"/>
        <v>Часто</v>
      </c>
    </row>
    <row r="431" spans="1:12" x14ac:dyDescent="0.2">
      <c r="A431" t="s">
        <v>116</v>
      </c>
      <c r="B431">
        <v>3</v>
      </c>
      <c r="C431">
        <v>3</v>
      </c>
      <c r="D431">
        <v>1</v>
      </c>
      <c r="E431">
        <v>4</v>
      </c>
      <c r="F431">
        <v>4</v>
      </c>
      <c r="G431">
        <v>2</v>
      </c>
      <c r="H431">
        <v>2</v>
      </c>
      <c r="I431">
        <v>1</v>
      </c>
      <c r="J431" s="8">
        <v>80</v>
      </c>
      <c r="K431" t="str">
        <f t="shared" si="12"/>
        <v>Хорошо</v>
      </c>
      <c r="L431" t="str">
        <f t="shared" si="13"/>
        <v>Часто</v>
      </c>
    </row>
    <row r="432" spans="1:12" x14ac:dyDescent="0.2">
      <c r="A432" t="s">
        <v>117</v>
      </c>
      <c r="B432">
        <v>8</v>
      </c>
      <c r="C432">
        <v>2</v>
      </c>
      <c r="D432">
        <v>1</v>
      </c>
      <c r="E432">
        <v>3</v>
      </c>
      <c r="F432">
        <v>3</v>
      </c>
      <c r="G432">
        <v>2</v>
      </c>
      <c r="H432">
        <v>2</v>
      </c>
      <c r="I432">
        <v>1</v>
      </c>
      <c r="J432" s="8">
        <v>80.33</v>
      </c>
      <c r="K432" t="str">
        <f t="shared" si="12"/>
        <v>Отлично</v>
      </c>
      <c r="L432" t="str">
        <f t="shared" si="13"/>
        <v>Редко</v>
      </c>
    </row>
    <row r="433" spans="1:12" x14ac:dyDescent="0.2">
      <c r="A433" t="s">
        <v>116</v>
      </c>
      <c r="B433">
        <v>8</v>
      </c>
      <c r="C433">
        <v>0</v>
      </c>
      <c r="D433">
        <v>0</v>
      </c>
      <c r="E433">
        <v>2</v>
      </c>
      <c r="F433">
        <v>2</v>
      </c>
      <c r="G433">
        <v>2</v>
      </c>
      <c r="H433">
        <v>0</v>
      </c>
      <c r="I433">
        <v>0</v>
      </c>
      <c r="J433" s="8">
        <v>80.5</v>
      </c>
      <c r="K433" t="str">
        <f t="shared" si="12"/>
        <v>Отлично</v>
      </c>
      <c r="L433" t="str">
        <f t="shared" si="13"/>
        <v>Редко</v>
      </c>
    </row>
    <row r="434" spans="1:12" x14ac:dyDescent="0.2">
      <c r="A434" t="s">
        <v>116</v>
      </c>
      <c r="B434">
        <v>11</v>
      </c>
      <c r="C434">
        <v>4</v>
      </c>
      <c r="D434">
        <v>1</v>
      </c>
      <c r="E434">
        <v>3</v>
      </c>
      <c r="F434">
        <v>4</v>
      </c>
      <c r="G434">
        <v>2</v>
      </c>
      <c r="H434">
        <v>2</v>
      </c>
      <c r="I434">
        <v>1</v>
      </c>
      <c r="J434" s="8">
        <v>80</v>
      </c>
      <c r="K434" t="str">
        <f t="shared" si="12"/>
        <v>Хорошо</v>
      </c>
      <c r="L434" t="str">
        <f t="shared" si="13"/>
        <v>Часто</v>
      </c>
    </row>
    <row r="435" spans="1:12" x14ac:dyDescent="0.2">
      <c r="A435" t="s">
        <v>116</v>
      </c>
      <c r="B435">
        <v>1</v>
      </c>
      <c r="C435">
        <v>5</v>
      </c>
      <c r="D435">
        <v>1</v>
      </c>
      <c r="E435">
        <v>2</v>
      </c>
      <c r="F435">
        <v>3</v>
      </c>
      <c r="G435">
        <v>2</v>
      </c>
      <c r="H435">
        <v>2</v>
      </c>
      <c r="I435">
        <v>1</v>
      </c>
      <c r="J435" s="8">
        <v>80</v>
      </c>
      <c r="K435" t="str">
        <f t="shared" si="12"/>
        <v>Хорошо</v>
      </c>
      <c r="L435" t="str">
        <f t="shared" si="13"/>
        <v>Часто</v>
      </c>
    </row>
    <row r="436" spans="1:12" x14ac:dyDescent="0.2">
      <c r="A436" t="s">
        <v>117</v>
      </c>
      <c r="B436">
        <v>2</v>
      </c>
      <c r="C436">
        <v>1</v>
      </c>
      <c r="D436">
        <v>1</v>
      </c>
      <c r="E436">
        <v>3</v>
      </c>
      <c r="F436">
        <v>4</v>
      </c>
      <c r="G436">
        <v>2</v>
      </c>
      <c r="H436">
        <v>4</v>
      </c>
      <c r="I436">
        <v>5</v>
      </c>
      <c r="J436" s="8">
        <v>82</v>
      </c>
      <c r="K436" t="str">
        <f t="shared" si="12"/>
        <v>Отлично</v>
      </c>
      <c r="L436" t="str">
        <f t="shared" si="13"/>
        <v>Редко</v>
      </c>
    </row>
    <row r="437" spans="1:12" x14ac:dyDescent="0.2">
      <c r="A437" t="s">
        <v>117</v>
      </c>
      <c r="B437">
        <v>4</v>
      </c>
      <c r="C437">
        <v>1</v>
      </c>
      <c r="D437">
        <v>1</v>
      </c>
      <c r="E437">
        <v>4</v>
      </c>
      <c r="F437">
        <v>2</v>
      </c>
      <c r="G437">
        <v>2</v>
      </c>
      <c r="H437">
        <v>2</v>
      </c>
      <c r="I437">
        <v>2</v>
      </c>
      <c r="J437" s="8">
        <v>82</v>
      </c>
      <c r="K437" t="str">
        <f t="shared" si="12"/>
        <v>Отлично</v>
      </c>
      <c r="L437" t="str">
        <f t="shared" si="13"/>
        <v>Редко</v>
      </c>
    </row>
    <row r="438" spans="1:12" x14ac:dyDescent="0.2">
      <c r="A438" t="s">
        <v>117</v>
      </c>
      <c r="B438">
        <v>8</v>
      </c>
      <c r="C438">
        <v>0</v>
      </c>
      <c r="D438">
        <v>0</v>
      </c>
      <c r="E438">
        <v>4</v>
      </c>
      <c r="F438">
        <v>3</v>
      </c>
      <c r="G438">
        <v>2</v>
      </c>
      <c r="H438">
        <v>0</v>
      </c>
      <c r="I438">
        <v>0</v>
      </c>
      <c r="J438" s="8">
        <v>82.2</v>
      </c>
      <c r="K438" t="str">
        <f t="shared" si="12"/>
        <v>Отлично</v>
      </c>
      <c r="L438" t="str">
        <f t="shared" si="13"/>
        <v>Редко</v>
      </c>
    </row>
    <row r="439" spans="1:12" x14ac:dyDescent="0.2">
      <c r="A439" t="s">
        <v>116</v>
      </c>
      <c r="B439">
        <v>1</v>
      </c>
      <c r="C439">
        <v>5</v>
      </c>
      <c r="D439">
        <v>1</v>
      </c>
      <c r="E439">
        <v>3</v>
      </c>
      <c r="F439">
        <v>3</v>
      </c>
      <c r="G439">
        <v>2</v>
      </c>
      <c r="H439">
        <v>1</v>
      </c>
      <c r="I439">
        <v>2</v>
      </c>
      <c r="J439" s="8">
        <v>80</v>
      </c>
      <c r="K439" t="str">
        <f t="shared" si="12"/>
        <v>Хорошо</v>
      </c>
      <c r="L439" t="str">
        <f t="shared" si="13"/>
        <v>Часто</v>
      </c>
    </row>
    <row r="440" spans="1:12" x14ac:dyDescent="0.2">
      <c r="A440" t="s">
        <v>116</v>
      </c>
      <c r="B440">
        <v>3</v>
      </c>
      <c r="C440">
        <v>5</v>
      </c>
      <c r="D440">
        <v>1</v>
      </c>
      <c r="E440">
        <v>3</v>
      </c>
      <c r="F440">
        <v>3</v>
      </c>
      <c r="G440">
        <v>2</v>
      </c>
      <c r="H440">
        <v>1</v>
      </c>
      <c r="I440">
        <v>2</v>
      </c>
      <c r="J440" s="8">
        <v>80</v>
      </c>
      <c r="K440" t="str">
        <f t="shared" si="12"/>
        <v>Хорошо</v>
      </c>
      <c r="L440" t="str">
        <f t="shared" si="13"/>
        <v>Часто</v>
      </c>
    </row>
    <row r="441" spans="1:12" x14ac:dyDescent="0.2">
      <c r="A441" t="s">
        <v>116</v>
      </c>
      <c r="B441">
        <v>8</v>
      </c>
      <c r="C441">
        <v>0</v>
      </c>
      <c r="D441">
        <v>0</v>
      </c>
      <c r="E441">
        <v>4</v>
      </c>
      <c r="F441">
        <v>4</v>
      </c>
      <c r="G441">
        <v>1</v>
      </c>
      <c r="H441">
        <v>0</v>
      </c>
      <c r="I441">
        <v>0</v>
      </c>
      <c r="J441" s="8">
        <v>83</v>
      </c>
      <c r="K441" t="str">
        <f t="shared" si="12"/>
        <v>Отлично</v>
      </c>
      <c r="L441" t="str">
        <f t="shared" si="13"/>
        <v>Редко</v>
      </c>
    </row>
    <row r="442" spans="1:12" x14ac:dyDescent="0.2">
      <c r="A442" t="s">
        <v>116</v>
      </c>
      <c r="B442">
        <v>4</v>
      </c>
      <c r="C442">
        <v>5</v>
      </c>
      <c r="D442">
        <v>1</v>
      </c>
      <c r="E442">
        <v>4</v>
      </c>
      <c r="F442">
        <v>2</v>
      </c>
      <c r="G442">
        <v>2</v>
      </c>
      <c r="H442">
        <v>2</v>
      </c>
      <c r="I442">
        <v>4</v>
      </c>
      <c r="J442" s="8">
        <v>80</v>
      </c>
      <c r="K442" t="str">
        <f t="shared" si="12"/>
        <v>Хорошо</v>
      </c>
      <c r="L442" t="str">
        <f t="shared" si="13"/>
        <v>Часто</v>
      </c>
    </row>
    <row r="443" spans="1:12" x14ac:dyDescent="0.2">
      <c r="A443" t="s">
        <v>116</v>
      </c>
      <c r="B443">
        <v>8</v>
      </c>
      <c r="C443">
        <v>1</v>
      </c>
      <c r="D443">
        <v>1</v>
      </c>
      <c r="E443">
        <v>4</v>
      </c>
      <c r="F443">
        <v>3</v>
      </c>
      <c r="G443">
        <v>3</v>
      </c>
      <c r="H443">
        <v>4</v>
      </c>
      <c r="I443">
        <v>2</v>
      </c>
      <c r="J443" s="8">
        <v>83.5</v>
      </c>
      <c r="K443" t="str">
        <f t="shared" si="12"/>
        <v>Отлично</v>
      </c>
      <c r="L443" t="str">
        <f t="shared" si="13"/>
        <v>Редко</v>
      </c>
    </row>
    <row r="444" spans="1:12" x14ac:dyDescent="0.2">
      <c r="A444" t="s">
        <v>117</v>
      </c>
      <c r="B444">
        <v>4</v>
      </c>
      <c r="C444">
        <v>1</v>
      </c>
      <c r="D444">
        <v>1</v>
      </c>
      <c r="E444">
        <v>4</v>
      </c>
      <c r="F444">
        <v>5</v>
      </c>
      <c r="G444">
        <v>4</v>
      </c>
      <c r="H444">
        <v>4</v>
      </c>
      <c r="I444">
        <v>5</v>
      </c>
      <c r="J444" s="8">
        <v>83.5</v>
      </c>
      <c r="K444" t="str">
        <f t="shared" si="12"/>
        <v>Отлично</v>
      </c>
      <c r="L444" t="str">
        <f t="shared" si="13"/>
        <v>Редко</v>
      </c>
    </row>
    <row r="445" spans="1:12" x14ac:dyDescent="0.2">
      <c r="A445" t="s">
        <v>116</v>
      </c>
      <c r="B445">
        <v>10</v>
      </c>
      <c r="C445">
        <v>0</v>
      </c>
      <c r="D445">
        <v>0</v>
      </c>
      <c r="E445">
        <v>3</v>
      </c>
      <c r="F445">
        <v>4</v>
      </c>
      <c r="G445">
        <v>2</v>
      </c>
      <c r="H445">
        <v>0</v>
      </c>
      <c r="I445">
        <v>0</v>
      </c>
      <c r="J445" s="8">
        <v>84</v>
      </c>
      <c r="K445" t="str">
        <f t="shared" si="12"/>
        <v>Отлично</v>
      </c>
      <c r="L445" t="str">
        <f t="shared" si="13"/>
        <v>Редко</v>
      </c>
    </row>
    <row r="446" spans="1:12" x14ac:dyDescent="0.2">
      <c r="A446" t="s">
        <v>116</v>
      </c>
      <c r="B446">
        <v>8</v>
      </c>
      <c r="C446">
        <v>0</v>
      </c>
      <c r="D446">
        <v>0</v>
      </c>
      <c r="E446">
        <v>2</v>
      </c>
      <c r="F446">
        <v>5</v>
      </c>
      <c r="G446">
        <v>1</v>
      </c>
      <c r="H446">
        <v>0</v>
      </c>
      <c r="I446">
        <v>0</v>
      </c>
      <c r="J446" s="8">
        <v>85</v>
      </c>
      <c r="K446" t="str">
        <f t="shared" si="12"/>
        <v>Отлично</v>
      </c>
      <c r="L446" t="str">
        <f t="shared" si="13"/>
        <v>Редко</v>
      </c>
    </row>
    <row r="447" spans="1:12" x14ac:dyDescent="0.2">
      <c r="A447" t="s">
        <v>116</v>
      </c>
      <c r="B447">
        <v>8</v>
      </c>
      <c r="C447">
        <v>0</v>
      </c>
      <c r="D447">
        <v>0</v>
      </c>
      <c r="E447">
        <v>2</v>
      </c>
      <c r="F447">
        <v>3</v>
      </c>
      <c r="G447">
        <v>2</v>
      </c>
      <c r="H447">
        <v>0</v>
      </c>
      <c r="I447">
        <v>0</v>
      </c>
      <c r="J447" s="8">
        <v>85</v>
      </c>
      <c r="K447" t="str">
        <f t="shared" si="12"/>
        <v>Отлично</v>
      </c>
      <c r="L447" t="str">
        <f t="shared" si="13"/>
        <v>Редко</v>
      </c>
    </row>
    <row r="448" spans="1:12" x14ac:dyDescent="0.2">
      <c r="A448" t="s">
        <v>116</v>
      </c>
      <c r="B448">
        <v>9</v>
      </c>
      <c r="C448">
        <v>0</v>
      </c>
      <c r="D448">
        <v>0</v>
      </c>
      <c r="E448">
        <v>3</v>
      </c>
      <c r="F448">
        <v>5</v>
      </c>
      <c r="G448">
        <v>0</v>
      </c>
      <c r="H448">
        <v>0</v>
      </c>
      <c r="I448">
        <v>0</v>
      </c>
      <c r="J448" s="8">
        <v>85</v>
      </c>
      <c r="K448" t="str">
        <f t="shared" si="12"/>
        <v>Отлично</v>
      </c>
      <c r="L448" t="str">
        <f t="shared" si="13"/>
        <v>Редко</v>
      </c>
    </row>
    <row r="449" spans="1:12" x14ac:dyDescent="0.2">
      <c r="A449" t="s">
        <v>116</v>
      </c>
      <c r="B449">
        <v>4</v>
      </c>
      <c r="C449">
        <v>0</v>
      </c>
      <c r="D449">
        <v>0</v>
      </c>
      <c r="E449">
        <v>3</v>
      </c>
      <c r="F449">
        <v>5</v>
      </c>
      <c r="G449">
        <v>1</v>
      </c>
      <c r="H449">
        <v>0</v>
      </c>
      <c r="I449">
        <v>0</v>
      </c>
      <c r="J449" s="8">
        <v>85</v>
      </c>
      <c r="K449" t="str">
        <f t="shared" si="12"/>
        <v>Отлично</v>
      </c>
      <c r="L449" t="str">
        <f t="shared" si="13"/>
        <v>Редко</v>
      </c>
    </row>
    <row r="450" spans="1:12" x14ac:dyDescent="0.2">
      <c r="A450" t="s">
        <v>116</v>
      </c>
      <c r="B450">
        <v>2</v>
      </c>
      <c r="C450">
        <v>0</v>
      </c>
      <c r="D450">
        <v>0</v>
      </c>
      <c r="E450">
        <v>3</v>
      </c>
      <c r="F450">
        <v>1</v>
      </c>
      <c r="G450">
        <v>2</v>
      </c>
      <c r="H450">
        <v>0</v>
      </c>
      <c r="I450">
        <v>0</v>
      </c>
      <c r="J450" s="8">
        <v>85</v>
      </c>
      <c r="K450" t="str">
        <f t="shared" si="12"/>
        <v>Отлично</v>
      </c>
      <c r="L450" t="str">
        <f t="shared" si="13"/>
        <v>Редко</v>
      </c>
    </row>
    <row r="451" spans="1:12" x14ac:dyDescent="0.2">
      <c r="A451" t="s">
        <v>116</v>
      </c>
      <c r="B451">
        <v>3</v>
      </c>
      <c r="C451">
        <v>0</v>
      </c>
      <c r="D451">
        <v>0</v>
      </c>
      <c r="E451">
        <v>3</v>
      </c>
      <c r="F451">
        <v>3</v>
      </c>
      <c r="G451">
        <v>2</v>
      </c>
      <c r="H451">
        <v>0</v>
      </c>
      <c r="I451">
        <v>0</v>
      </c>
      <c r="J451" s="8">
        <v>85</v>
      </c>
      <c r="K451" t="str">
        <f t="shared" ref="K451:K514" si="14">IF(J451&gt;20,IF(J451&gt;40,IF(J451&gt;60,IF(J451&gt;80,"Отлично","Хорошо"),"Средне"),"Плохо"),"Ужасно")</f>
        <v>Отлично</v>
      </c>
      <c r="L451" t="str">
        <f t="shared" ref="L451:L514" si="15">IF(C451&gt;2,"Часто","Редко")</f>
        <v>Редко</v>
      </c>
    </row>
    <row r="452" spans="1:12" x14ac:dyDescent="0.2">
      <c r="A452" t="s">
        <v>116</v>
      </c>
      <c r="B452">
        <v>3</v>
      </c>
      <c r="C452">
        <v>0</v>
      </c>
      <c r="D452">
        <v>0</v>
      </c>
      <c r="E452">
        <v>3</v>
      </c>
      <c r="F452">
        <v>4</v>
      </c>
      <c r="G452">
        <v>2</v>
      </c>
      <c r="H452">
        <v>0</v>
      </c>
      <c r="I452">
        <v>0</v>
      </c>
      <c r="J452" s="8">
        <v>85</v>
      </c>
      <c r="K452" t="str">
        <f t="shared" si="14"/>
        <v>Отлично</v>
      </c>
      <c r="L452" t="str">
        <f t="shared" si="15"/>
        <v>Редко</v>
      </c>
    </row>
    <row r="453" spans="1:12" x14ac:dyDescent="0.2">
      <c r="A453" t="s">
        <v>116</v>
      </c>
      <c r="B453">
        <v>4</v>
      </c>
      <c r="C453">
        <v>0</v>
      </c>
      <c r="D453">
        <v>0</v>
      </c>
      <c r="E453">
        <v>3</v>
      </c>
      <c r="F453">
        <v>4</v>
      </c>
      <c r="G453">
        <v>2</v>
      </c>
      <c r="H453">
        <v>0</v>
      </c>
      <c r="I453">
        <v>0</v>
      </c>
      <c r="J453" s="8">
        <v>85</v>
      </c>
      <c r="K453" t="str">
        <f t="shared" si="14"/>
        <v>Отлично</v>
      </c>
      <c r="L453" t="str">
        <f t="shared" si="15"/>
        <v>Редко</v>
      </c>
    </row>
    <row r="454" spans="1:12" x14ac:dyDescent="0.2">
      <c r="A454" t="s">
        <v>116</v>
      </c>
      <c r="B454">
        <v>4</v>
      </c>
      <c r="C454">
        <v>0</v>
      </c>
      <c r="D454">
        <v>0</v>
      </c>
      <c r="E454">
        <v>3</v>
      </c>
      <c r="F454">
        <v>5</v>
      </c>
      <c r="G454">
        <v>2</v>
      </c>
      <c r="H454">
        <v>0</v>
      </c>
      <c r="I454">
        <v>0</v>
      </c>
      <c r="J454" s="8">
        <v>85</v>
      </c>
      <c r="K454" t="str">
        <f t="shared" si="14"/>
        <v>Отлично</v>
      </c>
      <c r="L454" t="str">
        <f t="shared" si="15"/>
        <v>Редко</v>
      </c>
    </row>
    <row r="455" spans="1:12" x14ac:dyDescent="0.2">
      <c r="A455" t="s">
        <v>116</v>
      </c>
      <c r="B455">
        <v>1</v>
      </c>
      <c r="C455">
        <v>0</v>
      </c>
      <c r="D455">
        <v>0</v>
      </c>
      <c r="E455">
        <v>4</v>
      </c>
      <c r="F455">
        <v>2</v>
      </c>
      <c r="G455">
        <v>1</v>
      </c>
      <c r="H455">
        <v>0</v>
      </c>
      <c r="I455">
        <v>0</v>
      </c>
      <c r="J455" s="8">
        <v>85</v>
      </c>
      <c r="K455" t="str">
        <f t="shared" si="14"/>
        <v>Отлично</v>
      </c>
      <c r="L455" t="str">
        <f t="shared" si="15"/>
        <v>Редко</v>
      </c>
    </row>
    <row r="456" spans="1:12" x14ac:dyDescent="0.2">
      <c r="A456" t="s">
        <v>116</v>
      </c>
      <c r="B456">
        <v>8</v>
      </c>
      <c r="C456">
        <v>0</v>
      </c>
      <c r="D456">
        <v>0</v>
      </c>
      <c r="E456">
        <v>4</v>
      </c>
      <c r="F456">
        <v>3</v>
      </c>
      <c r="G456">
        <v>1</v>
      </c>
      <c r="H456">
        <v>0</v>
      </c>
      <c r="I456">
        <v>0</v>
      </c>
      <c r="J456" s="8">
        <v>85</v>
      </c>
      <c r="K456" t="str">
        <f t="shared" si="14"/>
        <v>Отлично</v>
      </c>
      <c r="L456" t="str">
        <f t="shared" si="15"/>
        <v>Редко</v>
      </c>
    </row>
    <row r="457" spans="1:12" x14ac:dyDescent="0.2">
      <c r="A457" t="s">
        <v>116</v>
      </c>
      <c r="B457">
        <v>4</v>
      </c>
      <c r="C457">
        <v>0</v>
      </c>
      <c r="D457">
        <v>0</v>
      </c>
      <c r="E457">
        <v>4</v>
      </c>
      <c r="F457">
        <v>4</v>
      </c>
      <c r="G457">
        <v>2</v>
      </c>
      <c r="H457">
        <v>0</v>
      </c>
      <c r="I457">
        <v>0</v>
      </c>
      <c r="J457" s="8">
        <v>85</v>
      </c>
      <c r="K457" t="str">
        <f t="shared" si="14"/>
        <v>Отлично</v>
      </c>
      <c r="L457" t="str">
        <f t="shared" si="15"/>
        <v>Редко</v>
      </c>
    </row>
    <row r="458" spans="1:12" x14ac:dyDescent="0.2">
      <c r="A458" t="s">
        <v>116</v>
      </c>
      <c r="B458">
        <v>3</v>
      </c>
      <c r="C458">
        <v>0</v>
      </c>
      <c r="D458">
        <v>0</v>
      </c>
      <c r="E458">
        <v>4</v>
      </c>
      <c r="F458">
        <v>6</v>
      </c>
      <c r="G458">
        <v>3</v>
      </c>
      <c r="H458">
        <v>0</v>
      </c>
      <c r="I458">
        <v>0</v>
      </c>
      <c r="J458" s="8">
        <v>85</v>
      </c>
      <c r="K458" t="str">
        <f t="shared" si="14"/>
        <v>Отлично</v>
      </c>
      <c r="L458" t="str">
        <f t="shared" si="15"/>
        <v>Редко</v>
      </c>
    </row>
    <row r="459" spans="1:12" x14ac:dyDescent="0.2">
      <c r="A459" t="s">
        <v>116</v>
      </c>
      <c r="B459">
        <v>9</v>
      </c>
      <c r="C459">
        <v>0</v>
      </c>
      <c r="D459">
        <v>0</v>
      </c>
      <c r="E459">
        <v>5</v>
      </c>
      <c r="F459">
        <v>5</v>
      </c>
      <c r="G459">
        <v>0</v>
      </c>
      <c r="H459">
        <v>0</v>
      </c>
      <c r="I459">
        <v>0</v>
      </c>
      <c r="J459" s="8">
        <v>85</v>
      </c>
      <c r="K459" t="str">
        <f t="shared" si="14"/>
        <v>Отлично</v>
      </c>
      <c r="L459" t="str">
        <f t="shared" si="15"/>
        <v>Редко</v>
      </c>
    </row>
    <row r="460" spans="1:12" x14ac:dyDescent="0.2">
      <c r="A460" t="s">
        <v>116</v>
      </c>
      <c r="B460">
        <v>4</v>
      </c>
      <c r="C460">
        <v>0</v>
      </c>
      <c r="D460">
        <v>0</v>
      </c>
      <c r="E460">
        <v>5</v>
      </c>
      <c r="F460">
        <v>4</v>
      </c>
      <c r="G460">
        <v>1</v>
      </c>
      <c r="H460">
        <v>0</v>
      </c>
      <c r="I460">
        <v>0</v>
      </c>
      <c r="J460" s="8">
        <v>85</v>
      </c>
      <c r="K460" t="str">
        <f t="shared" si="14"/>
        <v>Отлично</v>
      </c>
      <c r="L460" t="str">
        <f t="shared" si="15"/>
        <v>Редко</v>
      </c>
    </row>
    <row r="461" spans="1:12" x14ac:dyDescent="0.2">
      <c r="A461" t="s">
        <v>116</v>
      </c>
      <c r="B461">
        <v>7</v>
      </c>
      <c r="C461">
        <v>2</v>
      </c>
      <c r="D461">
        <v>1</v>
      </c>
      <c r="E461">
        <v>3</v>
      </c>
      <c r="F461">
        <v>4</v>
      </c>
      <c r="G461">
        <v>0</v>
      </c>
      <c r="H461">
        <v>3</v>
      </c>
      <c r="I461">
        <v>2</v>
      </c>
      <c r="J461" s="8">
        <v>85</v>
      </c>
      <c r="K461" t="str">
        <f t="shared" si="14"/>
        <v>Отлично</v>
      </c>
      <c r="L461" t="str">
        <f t="shared" si="15"/>
        <v>Редко</v>
      </c>
    </row>
    <row r="462" spans="1:12" x14ac:dyDescent="0.2">
      <c r="A462" t="s">
        <v>116</v>
      </c>
      <c r="B462">
        <v>4</v>
      </c>
      <c r="C462">
        <v>2</v>
      </c>
      <c r="D462">
        <v>1</v>
      </c>
      <c r="E462">
        <v>3</v>
      </c>
      <c r="F462">
        <v>4</v>
      </c>
      <c r="G462">
        <v>1</v>
      </c>
      <c r="H462">
        <v>2</v>
      </c>
      <c r="I462">
        <v>1</v>
      </c>
      <c r="J462" s="8">
        <v>85</v>
      </c>
      <c r="K462" t="str">
        <f t="shared" si="14"/>
        <v>Отлично</v>
      </c>
      <c r="L462" t="str">
        <f t="shared" si="15"/>
        <v>Редко</v>
      </c>
    </row>
    <row r="463" spans="1:12" x14ac:dyDescent="0.2">
      <c r="A463" t="s">
        <v>116</v>
      </c>
      <c r="B463">
        <v>8</v>
      </c>
      <c r="C463">
        <v>2</v>
      </c>
      <c r="D463">
        <v>1</v>
      </c>
      <c r="E463">
        <v>4</v>
      </c>
      <c r="F463">
        <v>3</v>
      </c>
      <c r="G463">
        <v>3</v>
      </c>
      <c r="H463">
        <v>2</v>
      </c>
      <c r="I463">
        <v>1</v>
      </c>
      <c r="J463" s="8">
        <v>85</v>
      </c>
      <c r="K463" t="str">
        <f t="shared" si="14"/>
        <v>Отлично</v>
      </c>
      <c r="L463" t="str">
        <f t="shared" si="15"/>
        <v>Редко</v>
      </c>
    </row>
    <row r="464" spans="1:12" x14ac:dyDescent="0.2">
      <c r="A464" t="s">
        <v>117</v>
      </c>
      <c r="B464">
        <v>8</v>
      </c>
      <c r="C464">
        <v>3</v>
      </c>
      <c r="D464">
        <v>1</v>
      </c>
      <c r="E464">
        <v>2</v>
      </c>
      <c r="F464">
        <v>4</v>
      </c>
      <c r="G464">
        <v>2</v>
      </c>
      <c r="H464">
        <v>4</v>
      </c>
      <c r="I464">
        <v>3</v>
      </c>
      <c r="J464" s="8">
        <v>80</v>
      </c>
      <c r="K464" t="str">
        <f t="shared" si="14"/>
        <v>Хорошо</v>
      </c>
      <c r="L464" t="str">
        <f t="shared" si="15"/>
        <v>Часто</v>
      </c>
    </row>
    <row r="465" spans="1:12" x14ac:dyDescent="0.2">
      <c r="A465" t="s">
        <v>117</v>
      </c>
      <c r="B465">
        <v>1</v>
      </c>
      <c r="C465">
        <v>3</v>
      </c>
      <c r="D465">
        <v>1</v>
      </c>
      <c r="E465">
        <v>4</v>
      </c>
      <c r="F465">
        <v>5</v>
      </c>
      <c r="G465">
        <v>2</v>
      </c>
      <c r="H465">
        <v>4</v>
      </c>
      <c r="I465">
        <v>3</v>
      </c>
      <c r="J465" s="8">
        <v>80</v>
      </c>
      <c r="K465" t="str">
        <f t="shared" si="14"/>
        <v>Хорошо</v>
      </c>
      <c r="L465" t="str">
        <f t="shared" si="15"/>
        <v>Часто</v>
      </c>
    </row>
    <row r="466" spans="1:12" x14ac:dyDescent="0.2">
      <c r="A466" t="s">
        <v>117</v>
      </c>
      <c r="B466">
        <v>8</v>
      </c>
      <c r="C466">
        <v>4</v>
      </c>
      <c r="D466">
        <v>1</v>
      </c>
      <c r="E466">
        <v>1</v>
      </c>
      <c r="F466">
        <v>3</v>
      </c>
      <c r="G466">
        <v>2</v>
      </c>
      <c r="H466">
        <v>2</v>
      </c>
      <c r="I466">
        <v>2</v>
      </c>
      <c r="J466" s="8">
        <v>80</v>
      </c>
      <c r="K466" t="str">
        <f t="shared" si="14"/>
        <v>Хорошо</v>
      </c>
      <c r="L466" t="str">
        <f t="shared" si="15"/>
        <v>Часто</v>
      </c>
    </row>
    <row r="467" spans="1:12" x14ac:dyDescent="0.2">
      <c r="A467" t="s">
        <v>117</v>
      </c>
      <c r="B467">
        <v>8</v>
      </c>
      <c r="C467">
        <v>4</v>
      </c>
      <c r="D467">
        <v>1</v>
      </c>
      <c r="E467">
        <v>4</v>
      </c>
      <c r="F467">
        <v>5</v>
      </c>
      <c r="G467">
        <v>2</v>
      </c>
      <c r="H467">
        <v>1</v>
      </c>
      <c r="I467">
        <v>1</v>
      </c>
      <c r="J467" s="8">
        <v>80</v>
      </c>
      <c r="K467" t="str">
        <f t="shared" si="14"/>
        <v>Хорошо</v>
      </c>
      <c r="L467" t="str">
        <f t="shared" si="15"/>
        <v>Часто</v>
      </c>
    </row>
    <row r="468" spans="1:12" x14ac:dyDescent="0.2">
      <c r="A468" t="s">
        <v>117</v>
      </c>
      <c r="B468">
        <v>4</v>
      </c>
      <c r="C468">
        <v>5</v>
      </c>
      <c r="D468">
        <v>1</v>
      </c>
      <c r="E468">
        <v>4</v>
      </c>
      <c r="F468">
        <v>5</v>
      </c>
      <c r="G468">
        <v>2</v>
      </c>
      <c r="H468">
        <v>1</v>
      </c>
      <c r="I468">
        <v>2</v>
      </c>
      <c r="J468" s="8">
        <v>80</v>
      </c>
      <c r="K468" t="str">
        <f t="shared" si="14"/>
        <v>Хорошо</v>
      </c>
      <c r="L468" t="str">
        <f t="shared" si="15"/>
        <v>Часто</v>
      </c>
    </row>
    <row r="469" spans="1:12" x14ac:dyDescent="0.2">
      <c r="A469" t="s">
        <v>116</v>
      </c>
      <c r="B469">
        <v>2</v>
      </c>
      <c r="C469">
        <v>4</v>
      </c>
      <c r="D469">
        <v>1</v>
      </c>
      <c r="E469">
        <v>4</v>
      </c>
      <c r="F469">
        <v>4</v>
      </c>
      <c r="G469">
        <v>2</v>
      </c>
      <c r="H469">
        <v>1</v>
      </c>
      <c r="I469">
        <v>1</v>
      </c>
      <c r="J469" s="8">
        <v>82.5</v>
      </c>
      <c r="K469" t="str">
        <f t="shared" si="14"/>
        <v>Отлично</v>
      </c>
      <c r="L469" t="str">
        <f t="shared" si="15"/>
        <v>Часто</v>
      </c>
    </row>
    <row r="470" spans="1:12" x14ac:dyDescent="0.2">
      <c r="A470" t="s">
        <v>117</v>
      </c>
      <c r="B470">
        <v>8</v>
      </c>
      <c r="C470">
        <v>3</v>
      </c>
      <c r="D470">
        <v>1</v>
      </c>
      <c r="E470">
        <v>5</v>
      </c>
      <c r="F470">
        <v>3</v>
      </c>
      <c r="G470">
        <v>2</v>
      </c>
      <c r="H470">
        <v>2</v>
      </c>
      <c r="I470">
        <v>1</v>
      </c>
      <c r="J470" s="8">
        <v>82.5</v>
      </c>
      <c r="K470" t="str">
        <f t="shared" si="14"/>
        <v>Отлично</v>
      </c>
      <c r="L470" t="str">
        <f t="shared" si="15"/>
        <v>Часто</v>
      </c>
    </row>
    <row r="471" spans="1:12" x14ac:dyDescent="0.2">
      <c r="A471" t="s">
        <v>116</v>
      </c>
      <c r="B471">
        <v>11</v>
      </c>
      <c r="C471">
        <v>3</v>
      </c>
      <c r="D471">
        <v>1</v>
      </c>
      <c r="E471">
        <v>2</v>
      </c>
      <c r="F471">
        <v>4</v>
      </c>
      <c r="G471">
        <v>2</v>
      </c>
      <c r="H471">
        <v>3</v>
      </c>
      <c r="I471">
        <v>2</v>
      </c>
      <c r="J471" s="8">
        <v>85</v>
      </c>
      <c r="K471" t="str">
        <f t="shared" si="14"/>
        <v>Отлично</v>
      </c>
      <c r="L471" t="str">
        <f t="shared" si="15"/>
        <v>Часто</v>
      </c>
    </row>
    <row r="472" spans="1:12" x14ac:dyDescent="0.2">
      <c r="A472" t="s">
        <v>117</v>
      </c>
      <c r="B472">
        <v>5</v>
      </c>
      <c r="C472">
        <v>0</v>
      </c>
      <c r="D472">
        <v>0</v>
      </c>
      <c r="E472">
        <v>5</v>
      </c>
      <c r="F472">
        <v>4</v>
      </c>
      <c r="G472">
        <v>3</v>
      </c>
      <c r="H472">
        <v>0</v>
      </c>
      <c r="I472">
        <v>0</v>
      </c>
      <c r="J472" s="8">
        <v>85</v>
      </c>
      <c r="K472" t="str">
        <f t="shared" si="14"/>
        <v>Отлично</v>
      </c>
      <c r="L472" t="str">
        <f t="shared" si="15"/>
        <v>Редко</v>
      </c>
    </row>
    <row r="473" spans="1:12" x14ac:dyDescent="0.2">
      <c r="A473" t="s">
        <v>117</v>
      </c>
      <c r="B473">
        <v>11</v>
      </c>
      <c r="C473">
        <v>1</v>
      </c>
      <c r="D473">
        <v>1</v>
      </c>
      <c r="E473">
        <v>3</v>
      </c>
      <c r="F473">
        <v>4</v>
      </c>
      <c r="G473">
        <v>2</v>
      </c>
      <c r="H473">
        <v>4</v>
      </c>
      <c r="I473">
        <v>3</v>
      </c>
      <c r="J473" s="8">
        <v>85</v>
      </c>
      <c r="K473" t="str">
        <f t="shared" si="14"/>
        <v>Отлично</v>
      </c>
      <c r="L473" t="str">
        <f t="shared" si="15"/>
        <v>Редко</v>
      </c>
    </row>
    <row r="474" spans="1:12" x14ac:dyDescent="0.2">
      <c r="A474" t="s">
        <v>117</v>
      </c>
      <c r="B474">
        <v>5</v>
      </c>
      <c r="C474">
        <v>1</v>
      </c>
      <c r="D474">
        <v>1</v>
      </c>
      <c r="E474">
        <v>3</v>
      </c>
      <c r="F474">
        <v>5</v>
      </c>
      <c r="G474">
        <v>2</v>
      </c>
      <c r="H474">
        <v>2</v>
      </c>
      <c r="I474">
        <v>2</v>
      </c>
      <c r="J474" s="8">
        <v>85</v>
      </c>
      <c r="K474" t="str">
        <f t="shared" si="14"/>
        <v>Отлично</v>
      </c>
      <c r="L474" t="str">
        <f t="shared" si="15"/>
        <v>Редко</v>
      </c>
    </row>
    <row r="475" spans="1:12" x14ac:dyDescent="0.2">
      <c r="A475" t="s">
        <v>117</v>
      </c>
      <c r="B475">
        <v>1</v>
      </c>
      <c r="C475">
        <v>1</v>
      </c>
      <c r="D475">
        <v>1</v>
      </c>
      <c r="E475">
        <v>4</v>
      </c>
      <c r="F475">
        <v>3</v>
      </c>
      <c r="G475">
        <v>1</v>
      </c>
      <c r="H475">
        <v>1</v>
      </c>
      <c r="I475">
        <v>2</v>
      </c>
      <c r="J475" s="8">
        <v>85</v>
      </c>
      <c r="K475" t="str">
        <f t="shared" si="14"/>
        <v>Отлично</v>
      </c>
      <c r="L475" t="str">
        <f t="shared" si="15"/>
        <v>Редко</v>
      </c>
    </row>
    <row r="476" spans="1:12" x14ac:dyDescent="0.2">
      <c r="A476" t="s">
        <v>117</v>
      </c>
      <c r="B476">
        <v>4</v>
      </c>
      <c r="C476">
        <v>2</v>
      </c>
      <c r="D476">
        <v>1</v>
      </c>
      <c r="E476">
        <v>4</v>
      </c>
      <c r="F476">
        <v>4</v>
      </c>
      <c r="G476">
        <v>2</v>
      </c>
      <c r="H476">
        <v>3</v>
      </c>
      <c r="I476">
        <v>2</v>
      </c>
      <c r="J476" s="8">
        <v>85</v>
      </c>
      <c r="K476" t="str">
        <f t="shared" si="14"/>
        <v>Отлично</v>
      </c>
      <c r="L476" t="str">
        <f t="shared" si="15"/>
        <v>Редко</v>
      </c>
    </row>
    <row r="477" spans="1:12" x14ac:dyDescent="0.2">
      <c r="A477" t="s">
        <v>116</v>
      </c>
      <c r="B477">
        <v>2</v>
      </c>
      <c r="C477">
        <v>5</v>
      </c>
      <c r="D477">
        <v>1</v>
      </c>
      <c r="E477">
        <v>2</v>
      </c>
      <c r="F477">
        <v>2</v>
      </c>
      <c r="G477">
        <v>2</v>
      </c>
      <c r="H477">
        <v>1</v>
      </c>
      <c r="I477">
        <v>1</v>
      </c>
      <c r="J477" s="8">
        <v>85</v>
      </c>
      <c r="K477" t="str">
        <f t="shared" si="14"/>
        <v>Отлично</v>
      </c>
      <c r="L477" t="str">
        <f t="shared" si="15"/>
        <v>Часто</v>
      </c>
    </row>
    <row r="478" spans="1:12" x14ac:dyDescent="0.2">
      <c r="A478" t="s">
        <v>116</v>
      </c>
      <c r="B478">
        <v>11</v>
      </c>
      <c r="C478">
        <v>5</v>
      </c>
      <c r="D478">
        <v>1</v>
      </c>
      <c r="E478">
        <v>4</v>
      </c>
      <c r="F478">
        <v>4</v>
      </c>
      <c r="G478">
        <v>2</v>
      </c>
      <c r="H478">
        <v>1</v>
      </c>
      <c r="I478">
        <v>2</v>
      </c>
      <c r="J478" s="8">
        <v>85</v>
      </c>
      <c r="K478" t="str">
        <f t="shared" si="14"/>
        <v>Отлично</v>
      </c>
      <c r="L478" t="str">
        <f t="shared" si="15"/>
        <v>Часто</v>
      </c>
    </row>
    <row r="479" spans="1:12" x14ac:dyDescent="0.2">
      <c r="A479" t="s">
        <v>116</v>
      </c>
      <c r="B479">
        <v>1</v>
      </c>
      <c r="C479">
        <v>5</v>
      </c>
      <c r="D479">
        <v>1</v>
      </c>
      <c r="E479">
        <v>4</v>
      </c>
      <c r="F479">
        <v>4</v>
      </c>
      <c r="G479">
        <v>2</v>
      </c>
      <c r="H479">
        <v>4</v>
      </c>
      <c r="I479">
        <v>2</v>
      </c>
      <c r="J479" s="8">
        <v>85</v>
      </c>
      <c r="K479" t="str">
        <f t="shared" si="14"/>
        <v>Отлично</v>
      </c>
      <c r="L479" t="str">
        <f t="shared" si="15"/>
        <v>Часто</v>
      </c>
    </row>
    <row r="480" spans="1:12" x14ac:dyDescent="0.2">
      <c r="A480" t="s">
        <v>117</v>
      </c>
      <c r="B480">
        <v>8</v>
      </c>
      <c r="C480">
        <v>3</v>
      </c>
      <c r="D480">
        <v>1</v>
      </c>
      <c r="E480">
        <v>2</v>
      </c>
      <c r="F480">
        <v>4</v>
      </c>
      <c r="G480">
        <v>2</v>
      </c>
      <c r="H480">
        <v>3</v>
      </c>
      <c r="I480">
        <v>3</v>
      </c>
      <c r="J480" s="8">
        <v>85</v>
      </c>
      <c r="K480" t="str">
        <f t="shared" si="14"/>
        <v>Отлично</v>
      </c>
      <c r="L480" t="str">
        <f t="shared" si="15"/>
        <v>Часто</v>
      </c>
    </row>
    <row r="481" spans="1:12" x14ac:dyDescent="0.2">
      <c r="A481" t="s">
        <v>117</v>
      </c>
      <c r="B481">
        <v>3</v>
      </c>
      <c r="C481">
        <v>3</v>
      </c>
      <c r="D481">
        <v>1</v>
      </c>
      <c r="E481">
        <v>3</v>
      </c>
      <c r="F481">
        <v>3</v>
      </c>
      <c r="G481">
        <v>2</v>
      </c>
      <c r="H481">
        <v>2</v>
      </c>
      <c r="I481">
        <v>1</v>
      </c>
      <c r="J481" s="8">
        <v>85</v>
      </c>
      <c r="K481" t="str">
        <f t="shared" si="14"/>
        <v>Отлично</v>
      </c>
      <c r="L481" t="str">
        <f t="shared" si="15"/>
        <v>Часто</v>
      </c>
    </row>
    <row r="482" spans="1:12" x14ac:dyDescent="0.2">
      <c r="A482" t="s">
        <v>117</v>
      </c>
      <c r="B482">
        <v>8</v>
      </c>
      <c r="C482">
        <v>3</v>
      </c>
      <c r="D482">
        <v>1</v>
      </c>
      <c r="E482">
        <v>3</v>
      </c>
      <c r="F482">
        <v>5</v>
      </c>
      <c r="G482">
        <v>2</v>
      </c>
      <c r="H482">
        <v>1</v>
      </c>
      <c r="I482">
        <v>1</v>
      </c>
      <c r="J482" s="8">
        <v>85</v>
      </c>
      <c r="K482" t="str">
        <f t="shared" si="14"/>
        <v>Отлично</v>
      </c>
      <c r="L482" t="str">
        <f t="shared" si="15"/>
        <v>Часто</v>
      </c>
    </row>
    <row r="483" spans="1:12" x14ac:dyDescent="0.2">
      <c r="A483" t="s">
        <v>117</v>
      </c>
      <c r="B483">
        <v>4</v>
      </c>
      <c r="C483">
        <v>3</v>
      </c>
      <c r="D483">
        <v>1</v>
      </c>
      <c r="E483">
        <v>4</v>
      </c>
      <c r="F483">
        <v>4</v>
      </c>
      <c r="G483">
        <v>2</v>
      </c>
      <c r="H483">
        <v>1</v>
      </c>
      <c r="I483">
        <v>3</v>
      </c>
      <c r="J483" s="8">
        <v>85</v>
      </c>
      <c r="K483" t="str">
        <f t="shared" si="14"/>
        <v>Отлично</v>
      </c>
      <c r="L483" t="str">
        <f t="shared" si="15"/>
        <v>Часто</v>
      </c>
    </row>
    <row r="484" spans="1:12" x14ac:dyDescent="0.2">
      <c r="A484" t="s">
        <v>117</v>
      </c>
      <c r="B484">
        <v>2</v>
      </c>
      <c r="C484">
        <v>4</v>
      </c>
      <c r="D484">
        <v>1</v>
      </c>
      <c r="E484">
        <v>4</v>
      </c>
      <c r="F484">
        <v>3</v>
      </c>
      <c r="G484">
        <v>2</v>
      </c>
      <c r="H484">
        <v>1</v>
      </c>
      <c r="I484">
        <v>2</v>
      </c>
      <c r="J484" s="8">
        <v>85</v>
      </c>
      <c r="K484" t="str">
        <f t="shared" si="14"/>
        <v>Отлично</v>
      </c>
      <c r="L484" t="str">
        <f t="shared" si="15"/>
        <v>Часто</v>
      </c>
    </row>
    <row r="485" spans="1:12" x14ac:dyDescent="0.2">
      <c r="A485" t="s">
        <v>117</v>
      </c>
      <c r="B485">
        <v>8</v>
      </c>
      <c r="C485">
        <v>4</v>
      </c>
      <c r="D485">
        <v>1</v>
      </c>
      <c r="E485">
        <v>4</v>
      </c>
      <c r="F485">
        <v>4</v>
      </c>
      <c r="G485">
        <v>2</v>
      </c>
      <c r="H485">
        <v>1</v>
      </c>
      <c r="I485">
        <v>1</v>
      </c>
      <c r="J485" s="8">
        <v>85</v>
      </c>
      <c r="K485" t="str">
        <f t="shared" si="14"/>
        <v>Отлично</v>
      </c>
      <c r="L485" t="str">
        <f t="shared" si="15"/>
        <v>Часто</v>
      </c>
    </row>
    <row r="486" spans="1:12" x14ac:dyDescent="0.2">
      <c r="A486" t="s">
        <v>116</v>
      </c>
      <c r="B486">
        <v>2</v>
      </c>
      <c r="C486">
        <v>3</v>
      </c>
      <c r="D486">
        <v>1</v>
      </c>
      <c r="E486">
        <v>3</v>
      </c>
      <c r="F486">
        <v>2</v>
      </c>
      <c r="G486">
        <v>2</v>
      </c>
      <c r="H486">
        <v>3</v>
      </c>
      <c r="I486">
        <v>1</v>
      </c>
      <c r="J486" s="8">
        <v>86</v>
      </c>
      <c r="K486" t="str">
        <f t="shared" si="14"/>
        <v>Отлично</v>
      </c>
      <c r="L486" t="str">
        <f t="shared" si="15"/>
        <v>Часто</v>
      </c>
    </row>
    <row r="487" spans="1:12" x14ac:dyDescent="0.2">
      <c r="A487" t="s">
        <v>116</v>
      </c>
      <c r="B487">
        <v>10</v>
      </c>
      <c r="C487">
        <v>3</v>
      </c>
      <c r="D487">
        <v>1</v>
      </c>
      <c r="E487">
        <v>2</v>
      </c>
      <c r="F487">
        <v>4</v>
      </c>
      <c r="G487">
        <v>2</v>
      </c>
      <c r="H487">
        <v>4</v>
      </c>
      <c r="I487">
        <v>1</v>
      </c>
      <c r="J487" s="8">
        <v>87</v>
      </c>
      <c r="K487" t="str">
        <f t="shared" si="14"/>
        <v>Отлично</v>
      </c>
      <c r="L487" t="str">
        <f t="shared" si="15"/>
        <v>Часто</v>
      </c>
    </row>
    <row r="488" spans="1:12" x14ac:dyDescent="0.2">
      <c r="A488" t="s">
        <v>116</v>
      </c>
      <c r="B488">
        <v>8</v>
      </c>
      <c r="C488">
        <v>4</v>
      </c>
      <c r="D488">
        <v>1</v>
      </c>
      <c r="E488">
        <v>3</v>
      </c>
      <c r="F488">
        <v>4</v>
      </c>
      <c r="G488">
        <v>2</v>
      </c>
      <c r="H488">
        <v>2</v>
      </c>
      <c r="I488">
        <v>3</v>
      </c>
      <c r="J488" s="8">
        <v>87</v>
      </c>
      <c r="K488" t="str">
        <f t="shared" si="14"/>
        <v>Отлично</v>
      </c>
      <c r="L488" t="str">
        <f t="shared" si="15"/>
        <v>Часто</v>
      </c>
    </row>
    <row r="489" spans="1:12" x14ac:dyDescent="0.2">
      <c r="A489" t="s">
        <v>116</v>
      </c>
      <c r="B489">
        <v>8</v>
      </c>
      <c r="C489">
        <v>5</v>
      </c>
      <c r="D489">
        <v>1</v>
      </c>
      <c r="E489">
        <v>3</v>
      </c>
      <c r="F489">
        <v>4</v>
      </c>
      <c r="G489">
        <v>2</v>
      </c>
      <c r="H489">
        <v>2</v>
      </c>
      <c r="I489">
        <v>2</v>
      </c>
      <c r="J489" s="8">
        <v>87</v>
      </c>
      <c r="K489" t="str">
        <f t="shared" si="14"/>
        <v>Отлично</v>
      </c>
      <c r="L489" t="str">
        <f t="shared" si="15"/>
        <v>Часто</v>
      </c>
    </row>
    <row r="490" spans="1:12" x14ac:dyDescent="0.2">
      <c r="A490" t="s">
        <v>116</v>
      </c>
      <c r="B490">
        <v>2</v>
      </c>
      <c r="C490">
        <v>5</v>
      </c>
      <c r="D490">
        <v>1</v>
      </c>
      <c r="E490">
        <v>4</v>
      </c>
      <c r="F490">
        <v>4</v>
      </c>
      <c r="G490">
        <v>2</v>
      </c>
      <c r="H490">
        <v>4</v>
      </c>
      <c r="I490">
        <v>1</v>
      </c>
      <c r="J490" s="8">
        <v>87</v>
      </c>
      <c r="K490" t="str">
        <f t="shared" si="14"/>
        <v>Отлично</v>
      </c>
      <c r="L490" t="str">
        <f t="shared" si="15"/>
        <v>Часто</v>
      </c>
    </row>
    <row r="491" spans="1:12" x14ac:dyDescent="0.2">
      <c r="A491" t="s">
        <v>117</v>
      </c>
      <c r="B491">
        <v>2</v>
      </c>
      <c r="C491">
        <v>4</v>
      </c>
      <c r="D491">
        <v>1</v>
      </c>
      <c r="E491">
        <v>3</v>
      </c>
      <c r="F491">
        <v>4</v>
      </c>
      <c r="G491">
        <v>2</v>
      </c>
      <c r="H491">
        <v>1</v>
      </c>
      <c r="I491">
        <v>1</v>
      </c>
      <c r="J491" s="8">
        <v>87</v>
      </c>
      <c r="K491" t="str">
        <f t="shared" si="14"/>
        <v>Отлично</v>
      </c>
      <c r="L491" t="str">
        <f t="shared" si="15"/>
        <v>Часто</v>
      </c>
    </row>
    <row r="492" spans="1:12" x14ac:dyDescent="0.2">
      <c r="A492" t="s">
        <v>116</v>
      </c>
      <c r="B492">
        <v>2</v>
      </c>
      <c r="C492">
        <v>3</v>
      </c>
      <c r="D492">
        <v>1</v>
      </c>
      <c r="E492">
        <v>3</v>
      </c>
      <c r="F492">
        <v>3</v>
      </c>
      <c r="G492">
        <v>2</v>
      </c>
      <c r="H492">
        <v>4</v>
      </c>
      <c r="I492">
        <v>3</v>
      </c>
      <c r="J492" s="8">
        <v>88</v>
      </c>
      <c r="K492" t="str">
        <f t="shared" si="14"/>
        <v>Отлично</v>
      </c>
      <c r="L492" t="str">
        <f t="shared" si="15"/>
        <v>Часто</v>
      </c>
    </row>
    <row r="493" spans="1:12" x14ac:dyDescent="0.2">
      <c r="A493" t="s">
        <v>116</v>
      </c>
      <c r="B493">
        <v>8</v>
      </c>
      <c r="C493">
        <v>0</v>
      </c>
      <c r="D493">
        <v>0</v>
      </c>
      <c r="E493">
        <v>2</v>
      </c>
      <c r="F493">
        <v>4</v>
      </c>
      <c r="G493">
        <v>2</v>
      </c>
      <c r="H493">
        <v>0</v>
      </c>
      <c r="I493">
        <v>0</v>
      </c>
      <c r="J493" s="8">
        <v>85.5</v>
      </c>
      <c r="K493" t="str">
        <f t="shared" si="14"/>
        <v>Отлично</v>
      </c>
      <c r="L493" t="str">
        <f t="shared" si="15"/>
        <v>Редко</v>
      </c>
    </row>
    <row r="494" spans="1:12" x14ac:dyDescent="0.2">
      <c r="A494" t="s">
        <v>116</v>
      </c>
      <c r="B494">
        <v>2</v>
      </c>
      <c r="C494">
        <v>0</v>
      </c>
      <c r="D494">
        <v>0</v>
      </c>
      <c r="E494">
        <v>6</v>
      </c>
      <c r="F494">
        <v>6</v>
      </c>
      <c r="G494">
        <v>1</v>
      </c>
      <c r="H494">
        <v>0</v>
      </c>
      <c r="I494">
        <v>0</v>
      </c>
      <c r="J494" s="8">
        <v>85.5</v>
      </c>
      <c r="K494" t="str">
        <f t="shared" si="14"/>
        <v>Отлично</v>
      </c>
      <c r="L494" t="str">
        <f t="shared" si="15"/>
        <v>Редко</v>
      </c>
    </row>
    <row r="495" spans="1:12" x14ac:dyDescent="0.2">
      <c r="A495" t="s">
        <v>116</v>
      </c>
      <c r="B495">
        <v>4</v>
      </c>
      <c r="C495">
        <v>0</v>
      </c>
      <c r="D495">
        <v>0</v>
      </c>
      <c r="E495">
        <v>2</v>
      </c>
      <c r="F495">
        <v>4</v>
      </c>
      <c r="G495">
        <v>1</v>
      </c>
      <c r="H495">
        <v>0</v>
      </c>
      <c r="I495">
        <v>0</v>
      </c>
      <c r="J495" s="8">
        <v>86</v>
      </c>
      <c r="K495" t="str">
        <f t="shared" si="14"/>
        <v>Отлично</v>
      </c>
      <c r="L495" t="str">
        <f t="shared" si="15"/>
        <v>Редко</v>
      </c>
    </row>
    <row r="496" spans="1:12" x14ac:dyDescent="0.2">
      <c r="A496" t="s">
        <v>116</v>
      </c>
      <c r="B496">
        <v>3</v>
      </c>
      <c r="C496">
        <v>0</v>
      </c>
      <c r="D496">
        <v>0</v>
      </c>
      <c r="E496">
        <v>3</v>
      </c>
      <c r="F496">
        <v>4</v>
      </c>
      <c r="G496">
        <v>2</v>
      </c>
      <c r="H496">
        <v>0</v>
      </c>
      <c r="I496">
        <v>0</v>
      </c>
      <c r="J496" s="8">
        <v>86</v>
      </c>
      <c r="K496" t="str">
        <f t="shared" si="14"/>
        <v>Отлично</v>
      </c>
      <c r="L496" t="str">
        <f t="shared" si="15"/>
        <v>Редко</v>
      </c>
    </row>
    <row r="497" spans="1:12" x14ac:dyDescent="0.2">
      <c r="A497" t="s">
        <v>116</v>
      </c>
      <c r="B497">
        <v>4</v>
      </c>
      <c r="C497">
        <v>0</v>
      </c>
      <c r="D497">
        <v>0</v>
      </c>
      <c r="E497">
        <v>4</v>
      </c>
      <c r="F497">
        <v>5</v>
      </c>
      <c r="G497">
        <v>3</v>
      </c>
      <c r="H497">
        <v>0</v>
      </c>
      <c r="I497">
        <v>0</v>
      </c>
      <c r="J497" s="8">
        <v>86</v>
      </c>
      <c r="K497" t="str">
        <f t="shared" si="14"/>
        <v>Отлично</v>
      </c>
      <c r="L497" t="str">
        <f t="shared" si="15"/>
        <v>Редко</v>
      </c>
    </row>
    <row r="498" spans="1:12" x14ac:dyDescent="0.2">
      <c r="A498" t="s">
        <v>116</v>
      </c>
      <c r="B498">
        <v>3</v>
      </c>
      <c r="C498">
        <v>0</v>
      </c>
      <c r="D498">
        <v>0</v>
      </c>
      <c r="E498">
        <v>4</v>
      </c>
      <c r="F498">
        <v>6</v>
      </c>
      <c r="G498">
        <v>3</v>
      </c>
      <c r="H498">
        <v>0</v>
      </c>
      <c r="I498">
        <v>0</v>
      </c>
      <c r="J498" s="8">
        <v>86</v>
      </c>
      <c r="K498" t="str">
        <f t="shared" si="14"/>
        <v>Отлично</v>
      </c>
      <c r="L498" t="str">
        <f t="shared" si="15"/>
        <v>Редко</v>
      </c>
    </row>
    <row r="499" spans="1:12" x14ac:dyDescent="0.2">
      <c r="A499" t="s">
        <v>116</v>
      </c>
      <c r="B499">
        <v>2</v>
      </c>
      <c r="C499">
        <v>5</v>
      </c>
      <c r="D499">
        <v>1</v>
      </c>
      <c r="E499">
        <v>2</v>
      </c>
      <c r="F499">
        <v>4</v>
      </c>
      <c r="G499">
        <v>2</v>
      </c>
      <c r="H499">
        <v>2</v>
      </c>
      <c r="I499">
        <v>1</v>
      </c>
      <c r="J499" s="8">
        <v>88</v>
      </c>
      <c r="K499" t="str">
        <f t="shared" si="14"/>
        <v>Отлично</v>
      </c>
      <c r="L499" t="str">
        <f t="shared" si="15"/>
        <v>Часто</v>
      </c>
    </row>
    <row r="500" spans="1:12" x14ac:dyDescent="0.2">
      <c r="A500" t="s">
        <v>116</v>
      </c>
      <c r="B500">
        <v>3</v>
      </c>
      <c r="C500">
        <v>5</v>
      </c>
      <c r="D500">
        <v>1</v>
      </c>
      <c r="E500">
        <v>4</v>
      </c>
      <c r="F500">
        <v>4</v>
      </c>
      <c r="G500">
        <v>2</v>
      </c>
      <c r="H500">
        <v>1</v>
      </c>
      <c r="I500">
        <v>2</v>
      </c>
      <c r="J500" s="8">
        <v>88</v>
      </c>
      <c r="K500" t="str">
        <f t="shared" si="14"/>
        <v>Отлично</v>
      </c>
      <c r="L500" t="str">
        <f t="shared" si="15"/>
        <v>Часто</v>
      </c>
    </row>
    <row r="501" spans="1:12" x14ac:dyDescent="0.2">
      <c r="A501" t="s">
        <v>117</v>
      </c>
      <c r="B501">
        <v>4</v>
      </c>
      <c r="C501">
        <v>5</v>
      </c>
      <c r="D501">
        <v>1</v>
      </c>
      <c r="E501">
        <v>4</v>
      </c>
      <c r="F501">
        <v>3</v>
      </c>
      <c r="G501">
        <v>2</v>
      </c>
      <c r="H501">
        <v>1</v>
      </c>
      <c r="I501">
        <v>1</v>
      </c>
      <c r="J501" s="8">
        <v>88</v>
      </c>
      <c r="K501" t="str">
        <f t="shared" si="14"/>
        <v>Отлично</v>
      </c>
      <c r="L501" t="str">
        <f t="shared" si="15"/>
        <v>Часто</v>
      </c>
    </row>
    <row r="502" spans="1:12" x14ac:dyDescent="0.2">
      <c r="A502" t="s">
        <v>117</v>
      </c>
      <c r="B502">
        <v>4</v>
      </c>
      <c r="C502">
        <v>5</v>
      </c>
      <c r="D502">
        <v>1</v>
      </c>
      <c r="E502">
        <v>4</v>
      </c>
      <c r="F502">
        <v>4</v>
      </c>
      <c r="G502">
        <v>2</v>
      </c>
      <c r="H502">
        <v>4</v>
      </c>
      <c r="I502">
        <v>5</v>
      </c>
      <c r="J502" s="8">
        <v>88</v>
      </c>
      <c r="K502" t="str">
        <f t="shared" si="14"/>
        <v>Отлично</v>
      </c>
      <c r="L502" t="str">
        <f t="shared" si="15"/>
        <v>Часто</v>
      </c>
    </row>
    <row r="503" spans="1:12" x14ac:dyDescent="0.2">
      <c r="A503" t="s">
        <v>117</v>
      </c>
      <c r="B503">
        <v>2</v>
      </c>
      <c r="C503">
        <v>3</v>
      </c>
      <c r="D503">
        <v>1</v>
      </c>
      <c r="E503">
        <v>2</v>
      </c>
      <c r="F503">
        <v>4</v>
      </c>
      <c r="G503">
        <v>2</v>
      </c>
      <c r="H503">
        <v>1</v>
      </c>
      <c r="I503">
        <v>3</v>
      </c>
      <c r="J503" s="8">
        <v>89</v>
      </c>
      <c r="K503" t="str">
        <f t="shared" si="14"/>
        <v>Отлично</v>
      </c>
      <c r="L503" t="str">
        <f t="shared" si="15"/>
        <v>Часто</v>
      </c>
    </row>
    <row r="504" spans="1:12" x14ac:dyDescent="0.2">
      <c r="A504" t="s">
        <v>116</v>
      </c>
      <c r="B504">
        <v>3</v>
      </c>
      <c r="C504">
        <v>0</v>
      </c>
      <c r="D504">
        <v>0</v>
      </c>
      <c r="E504">
        <v>3</v>
      </c>
      <c r="F504">
        <v>4</v>
      </c>
      <c r="G504">
        <v>2</v>
      </c>
      <c r="H504">
        <v>0</v>
      </c>
      <c r="I504">
        <v>0</v>
      </c>
      <c r="J504" s="8">
        <v>87</v>
      </c>
      <c r="K504" t="str">
        <f t="shared" si="14"/>
        <v>Отлично</v>
      </c>
      <c r="L504" t="str">
        <f t="shared" si="15"/>
        <v>Редко</v>
      </c>
    </row>
    <row r="505" spans="1:12" x14ac:dyDescent="0.2">
      <c r="A505" t="s">
        <v>116</v>
      </c>
      <c r="B505">
        <v>4</v>
      </c>
      <c r="C505">
        <v>0</v>
      </c>
      <c r="D505">
        <v>0</v>
      </c>
      <c r="E505">
        <v>4</v>
      </c>
      <c r="F505">
        <v>5</v>
      </c>
      <c r="G505">
        <v>3</v>
      </c>
      <c r="H505">
        <v>0</v>
      </c>
      <c r="I505">
        <v>0</v>
      </c>
      <c r="J505" s="8">
        <v>87</v>
      </c>
      <c r="K505" t="str">
        <f t="shared" si="14"/>
        <v>Отлично</v>
      </c>
      <c r="L505" t="str">
        <f t="shared" si="15"/>
        <v>Редко</v>
      </c>
    </row>
    <row r="506" spans="1:12" x14ac:dyDescent="0.2">
      <c r="A506" t="s">
        <v>117</v>
      </c>
      <c r="B506">
        <v>4</v>
      </c>
      <c r="C506">
        <v>5</v>
      </c>
      <c r="D506">
        <v>1</v>
      </c>
      <c r="E506">
        <v>4</v>
      </c>
      <c r="F506">
        <v>5</v>
      </c>
      <c r="G506">
        <v>2</v>
      </c>
      <c r="H506">
        <v>1</v>
      </c>
      <c r="I506">
        <v>3</v>
      </c>
      <c r="J506" s="8">
        <v>89</v>
      </c>
      <c r="K506" t="str">
        <f t="shared" si="14"/>
        <v>Отлично</v>
      </c>
      <c r="L506" t="str">
        <f t="shared" si="15"/>
        <v>Часто</v>
      </c>
    </row>
    <row r="507" spans="1:12" x14ac:dyDescent="0.2">
      <c r="A507" t="s">
        <v>116</v>
      </c>
      <c r="B507">
        <v>2</v>
      </c>
      <c r="C507">
        <v>3</v>
      </c>
      <c r="D507">
        <v>1</v>
      </c>
      <c r="E507">
        <v>2</v>
      </c>
      <c r="F507">
        <v>2</v>
      </c>
      <c r="G507">
        <v>2</v>
      </c>
      <c r="H507">
        <v>3</v>
      </c>
      <c r="I507">
        <v>3</v>
      </c>
      <c r="J507" s="8">
        <v>90</v>
      </c>
      <c r="K507" t="str">
        <f t="shared" si="14"/>
        <v>Отлично</v>
      </c>
      <c r="L507" t="str">
        <f t="shared" si="15"/>
        <v>Часто</v>
      </c>
    </row>
    <row r="508" spans="1:12" x14ac:dyDescent="0.2">
      <c r="A508" t="s">
        <v>116</v>
      </c>
      <c r="B508">
        <v>2</v>
      </c>
      <c r="C508">
        <v>3</v>
      </c>
      <c r="D508">
        <v>1</v>
      </c>
      <c r="E508">
        <v>2</v>
      </c>
      <c r="F508">
        <v>5</v>
      </c>
      <c r="G508">
        <v>2</v>
      </c>
      <c r="H508">
        <v>2</v>
      </c>
      <c r="I508">
        <v>3</v>
      </c>
      <c r="J508" s="8">
        <v>90</v>
      </c>
      <c r="K508" t="str">
        <f t="shared" si="14"/>
        <v>Отлично</v>
      </c>
      <c r="L508" t="str">
        <f t="shared" si="15"/>
        <v>Часто</v>
      </c>
    </row>
    <row r="509" spans="1:12" x14ac:dyDescent="0.2">
      <c r="A509" t="s">
        <v>116</v>
      </c>
      <c r="B509">
        <v>8</v>
      </c>
      <c r="C509">
        <v>3</v>
      </c>
      <c r="D509">
        <v>1</v>
      </c>
      <c r="E509">
        <v>3</v>
      </c>
      <c r="F509">
        <v>0</v>
      </c>
      <c r="G509">
        <v>2</v>
      </c>
      <c r="H509">
        <v>2</v>
      </c>
      <c r="I509">
        <v>3</v>
      </c>
      <c r="J509" s="8">
        <v>90</v>
      </c>
      <c r="K509" t="str">
        <f t="shared" si="14"/>
        <v>Отлично</v>
      </c>
      <c r="L509" t="str">
        <f t="shared" si="15"/>
        <v>Часто</v>
      </c>
    </row>
    <row r="510" spans="1:12" x14ac:dyDescent="0.2">
      <c r="A510" t="s">
        <v>116</v>
      </c>
      <c r="B510">
        <v>3</v>
      </c>
      <c r="C510">
        <v>5</v>
      </c>
      <c r="D510">
        <v>1</v>
      </c>
      <c r="E510">
        <v>2</v>
      </c>
      <c r="F510">
        <v>4</v>
      </c>
      <c r="G510">
        <v>2</v>
      </c>
      <c r="H510">
        <v>1</v>
      </c>
      <c r="I510">
        <v>1</v>
      </c>
      <c r="J510" s="8">
        <v>90</v>
      </c>
      <c r="K510" t="str">
        <f t="shared" si="14"/>
        <v>Отлично</v>
      </c>
      <c r="L510" t="str">
        <f t="shared" si="15"/>
        <v>Часто</v>
      </c>
    </row>
    <row r="511" spans="1:12" x14ac:dyDescent="0.2">
      <c r="A511" t="s">
        <v>117</v>
      </c>
      <c r="B511">
        <v>4</v>
      </c>
      <c r="C511">
        <v>1</v>
      </c>
      <c r="D511">
        <v>1</v>
      </c>
      <c r="E511">
        <v>5</v>
      </c>
      <c r="F511">
        <v>5</v>
      </c>
      <c r="G511">
        <v>2</v>
      </c>
      <c r="H511">
        <v>4</v>
      </c>
      <c r="I511">
        <v>1</v>
      </c>
      <c r="J511" s="8">
        <v>87</v>
      </c>
      <c r="K511" t="str">
        <f t="shared" si="14"/>
        <v>Отлично</v>
      </c>
      <c r="L511" t="str">
        <f t="shared" si="15"/>
        <v>Редко</v>
      </c>
    </row>
    <row r="512" spans="1:12" x14ac:dyDescent="0.2">
      <c r="A512" t="s">
        <v>117</v>
      </c>
      <c r="B512">
        <v>2</v>
      </c>
      <c r="C512">
        <v>2</v>
      </c>
      <c r="D512">
        <v>1</v>
      </c>
      <c r="E512">
        <v>3</v>
      </c>
      <c r="F512">
        <v>3</v>
      </c>
      <c r="G512">
        <v>2</v>
      </c>
      <c r="H512">
        <v>2</v>
      </c>
      <c r="I512">
        <v>2</v>
      </c>
      <c r="J512" s="8">
        <v>87</v>
      </c>
      <c r="K512" t="str">
        <f t="shared" si="14"/>
        <v>Отлично</v>
      </c>
      <c r="L512" t="str">
        <f t="shared" si="15"/>
        <v>Редко</v>
      </c>
    </row>
    <row r="513" spans="1:12" x14ac:dyDescent="0.2">
      <c r="A513" t="s">
        <v>116</v>
      </c>
      <c r="B513">
        <v>4</v>
      </c>
      <c r="C513">
        <v>5</v>
      </c>
      <c r="D513">
        <v>1</v>
      </c>
      <c r="E513">
        <v>3</v>
      </c>
      <c r="F513">
        <v>4</v>
      </c>
      <c r="G513">
        <v>2</v>
      </c>
      <c r="H513">
        <v>1</v>
      </c>
      <c r="I513">
        <v>1</v>
      </c>
      <c r="J513" s="8">
        <v>90</v>
      </c>
      <c r="K513" t="str">
        <f t="shared" si="14"/>
        <v>Отлично</v>
      </c>
      <c r="L513" t="str">
        <f t="shared" si="15"/>
        <v>Часто</v>
      </c>
    </row>
    <row r="514" spans="1:12" x14ac:dyDescent="0.2">
      <c r="A514" t="s">
        <v>116</v>
      </c>
      <c r="B514">
        <v>3</v>
      </c>
      <c r="C514">
        <v>5</v>
      </c>
      <c r="D514">
        <v>1</v>
      </c>
      <c r="E514">
        <v>4</v>
      </c>
      <c r="F514">
        <v>4</v>
      </c>
      <c r="G514">
        <v>2</v>
      </c>
      <c r="H514">
        <v>2</v>
      </c>
      <c r="I514">
        <v>1</v>
      </c>
      <c r="J514" s="8">
        <v>90</v>
      </c>
      <c r="K514" t="str">
        <f t="shared" si="14"/>
        <v>Отлично</v>
      </c>
      <c r="L514" t="str">
        <f t="shared" si="15"/>
        <v>Часто</v>
      </c>
    </row>
    <row r="515" spans="1:12" x14ac:dyDescent="0.2">
      <c r="A515" t="s">
        <v>116</v>
      </c>
      <c r="B515">
        <v>8</v>
      </c>
      <c r="C515">
        <v>0</v>
      </c>
      <c r="D515">
        <v>0</v>
      </c>
      <c r="E515">
        <v>2</v>
      </c>
      <c r="F515">
        <v>4</v>
      </c>
      <c r="G515">
        <v>1</v>
      </c>
      <c r="H515">
        <v>0</v>
      </c>
      <c r="I515">
        <v>0</v>
      </c>
      <c r="J515" s="8">
        <v>87.5</v>
      </c>
      <c r="K515" t="str">
        <f t="shared" ref="K515:K578" si="16">IF(J515&gt;20,IF(J515&gt;40,IF(J515&gt;60,IF(J515&gt;80,"Отлично","Хорошо"),"Средне"),"Плохо"),"Ужасно")</f>
        <v>Отлично</v>
      </c>
      <c r="L515" t="str">
        <f t="shared" ref="L515:L578" si="17">IF(C515&gt;2,"Часто","Редко")</f>
        <v>Редко</v>
      </c>
    </row>
    <row r="516" spans="1:12" x14ac:dyDescent="0.2">
      <c r="A516" t="s">
        <v>116</v>
      </c>
      <c r="B516">
        <v>4</v>
      </c>
      <c r="C516">
        <v>0</v>
      </c>
      <c r="D516">
        <v>0</v>
      </c>
      <c r="E516">
        <v>5</v>
      </c>
      <c r="F516">
        <v>4</v>
      </c>
      <c r="G516">
        <v>2</v>
      </c>
      <c r="H516">
        <v>0</v>
      </c>
      <c r="I516">
        <v>0</v>
      </c>
      <c r="J516" s="8">
        <v>87.5</v>
      </c>
      <c r="K516" t="str">
        <f t="shared" si="16"/>
        <v>Отлично</v>
      </c>
      <c r="L516" t="str">
        <f t="shared" si="17"/>
        <v>Редко</v>
      </c>
    </row>
    <row r="517" spans="1:12" x14ac:dyDescent="0.2">
      <c r="A517" t="s">
        <v>117</v>
      </c>
      <c r="B517">
        <v>8</v>
      </c>
      <c r="C517">
        <v>0</v>
      </c>
      <c r="D517">
        <v>0</v>
      </c>
      <c r="E517">
        <v>4</v>
      </c>
      <c r="F517">
        <v>3</v>
      </c>
      <c r="G517">
        <v>3</v>
      </c>
      <c r="H517">
        <v>0</v>
      </c>
      <c r="I517">
        <v>0</v>
      </c>
      <c r="J517" s="8">
        <v>87.5</v>
      </c>
      <c r="K517" t="str">
        <f t="shared" si="16"/>
        <v>Отлично</v>
      </c>
      <c r="L517" t="str">
        <f t="shared" si="17"/>
        <v>Редко</v>
      </c>
    </row>
    <row r="518" spans="1:12" x14ac:dyDescent="0.2">
      <c r="A518" t="s">
        <v>116</v>
      </c>
      <c r="B518">
        <v>8</v>
      </c>
      <c r="C518">
        <v>0</v>
      </c>
      <c r="D518">
        <v>0</v>
      </c>
      <c r="E518">
        <v>2</v>
      </c>
      <c r="F518">
        <v>2</v>
      </c>
      <c r="G518">
        <v>1</v>
      </c>
      <c r="H518">
        <v>0</v>
      </c>
      <c r="I518">
        <v>0</v>
      </c>
      <c r="J518" s="8">
        <v>88</v>
      </c>
      <c r="K518" t="str">
        <f t="shared" si="16"/>
        <v>Отлично</v>
      </c>
      <c r="L518" t="str">
        <f t="shared" si="17"/>
        <v>Редко</v>
      </c>
    </row>
    <row r="519" spans="1:12" x14ac:dyDescent="0.2">
      <c r="A519" t="s">
        <v>116</v>
      </c>
      <c r="B519">
        <v>3</v>
      </c>
      <c r="C519">
        <v>0</v>
      </c>
      <c r="D519">
        <v>0</v>
      </c>
      <c r="E519">
        <v>2</v>
      </c>
      <c r="F519">
        <v>3</v>
      </c>
      <c r="G519">
        <v>3</v>
      </c>
      <c r="H519">
        <v>0</v>
      </c>
      <c r="I519">
        <v>0</v>
      </c>
      <c r="J519" s="8">
        <v>88</v>
      </c>
      <c r="K519" t="str">
        <f t="shared" si="16"/>
        <v>Отлично</v>
      </c>
      <c r="L519" t="str">
        <f t="shared" si="17"/>
        <v>Редко</v>
      </c>
    </row>
    <row r="520" spans="1:12" x14ac:dyDescent="0.2">
      <c r="A520" t="s">
        <v>116</v>
      </c>
      <c r="B520">
        <v>4</v>
      </c>
      <c r="C520">
        <v>5</v>
      </c>
      <c r="D520">
        <v>1</v>
      </c>
      <c r="E520">
        <v>4</v>
      </c>
      <c r="F520">
        <v>6</v>
      </c>
      <c r="G520">
        <v>2</v>
      </c>
      <c r="H520">
        <v>1</v>
      </c>
      <c r="I520">
        <v>1</v>
      </c>
      <c r="J520" s="8">
        <v>90</v>
      </c>
      <c r="K520" t="str">
        <f t="shared" si="16"/>
        <v>Отлично</v>
      </c>
      <c r="L520" t="str">
        <f t="shared" si="17"/>
        <v>Часто</v>
      </c>
    </row>
    <row r="521" spans="1:12" x14ac:dyDescent="0.2">
      <c r="A521" t="s">
        <v>117</v>
      </c>
      <c r="B521">
        <v>1</v>
      </c>
      <c r="C521">
        <v>3</v>
      </c>
      <c r="D521">
        <v>1</v>
      </c>
      <c r="E521">
        <v>5</v>
      </c>
      <c r="F521">
        <v>5</v>
      </c>
      <c r="G521">
        <v>2</v>
      </c>
      <c r="H521">
        <v>3</v>
      </c>
      <c r="I521">
        <v>2</v>
      </c>
      <c r="J521" s="8">
        <v>90</v>
      </c>
      <c r="K521" t="str">
        <f t="shared" si="16"/>
        <v>Отлично</v>
      </c>
      <c r="L521" t="str">
        <f t="shared" si="17"/>
        <v>Часто</v>
      </c>
    </row>
    <row r="522" spans="1:12" x14ac:dyDescent="0.2">
      <c r="A522" t="s">
        <v>117</v>
      </c>
      <c r="B522">
        <v>5</v>
      </c>
      <c r="C522">
        <v>4</v>
      </c>
      <c r="D522">
        <v>1</v>
      </c>
      <c r="E522">
        <v>4</v>
      </c>
      <c r="F522">
        <v>5</v>
      </c>
      <c r="G522">
        <v>2</v>
      </c>
      <c r="H522">
        <v>4</v>
      </c>
      <c r="I522">
        <v>2</v>
      </c>
      <c r="J522" s="8">
        <v>90</v>
      </c>
      <c r="K522" t="str">
        <f t="shared" si="16"/>
        <v>Отлично</v>
      </c>
      <c r="L522" t="str">
        <f t="shared" si="17"/>
        <v>Часто</v>
      </c>
    </row>
    <row r="523" spans="1:12" x14ac:dyDescent="0.2">
      <c r="A523" t="s">
        <v>117</v>
      </c>
      <c r="B523">
        <v>5</v>
      </c>
      <c r="C523">
        <v>4</v>
      </c>
      <c r="D523">
        <v>1</v>
      </c>
      <c r="E523">
        <v>4</v>
      </c>
      <c r="F523">
        <v>4</v>
      </c>
      <c r="G523">
        <v>2</v>
      </c>
      <c r="H523">
        <v>3</v>
      </c>
      <c r="I523">
        <v>1</v>
      </c>
      <c r="J523" s="8">
        <v>90.5</v>
      </c>
      <c r="K523" t="str">
        <f t="shared" si="16"/>
        <v>Отлично</v>
      </c>
      <c r="L523" t="str">
        <f t="shared" si="17"/>
        <v>Часто</v>
      </c>
    </row>
    <row r="524" spans="1:12" x14ac:dyDescent="0.2">
      <c r="A524" t="s">
        <v>116</v>
      </c>
      <c r="B524">
        <v>2</v>
      </c>
      <c r="C524">
        <v>5</v>
      </c>
      <c r="D524">
        <v>1</v>
      </c>
      <c r="E524">
        <v>4</v>
      </c>
      <c r="F524">
        <v>4</v>
      </c>
      <c r="G524">
        <v>2</v>
      </c>
      <c r="H524">
        <v>1</v>
      </c>
      <c r="I524">
        <v>1</v>
      </c>
      <c r="J524" s="8">
        <v>91</v>
      </c>
      <c r="K524" t="str">
        <f t="shared" si="16"/>
        <v>Отлично</v>
      </c>
      <c r="L524" t="str">
        <f t="shared" si="17"/>
        <v>Часто</v>
      </c>
    </row>
    <row r="525" spans="1:12" x14ac:dyDescent="0.2">
      <c r="A525" t="s">
        <v>117</v>
      </c>
      <c r="B525">
        <v>8</v>
      </c>
      <c r="C525">
        <v>1</v>
      </c>
      <c r="D525">
        <v>1</v>
      </c>
      <c r="E525">
        <v>4</v>
      </c>
      <c r="F525">
        <v>2</v>
      </c>
      <c r="G525">
        <v>2</v>
      </c>
      <c r="H525">
        <v>1</v>
      </c>
      <c r="I525">
        <v>5</v>
      </c>
      <c r="J525" s="8">
        <v>88</v>
      </c>
      <c r="K525" t="str">
        <f t="shared" si="16"/>
        <v>Отлично</v>
      </c>
      <c r="L525" t="str">
        <f t="shared" si="17"/>
        <v>Редко</v>
      </c>
    </row>
    <row r="526" spans="1:12" x14ac:dyDescent="0.2">
      <c r="A526" t="s">
        <v>116</v>
      </c>
      <c r="B526">
        <v>8</v>
      </c>
      <c r="C526">
        <v>5</v>
      </c>
      <c r="D526">
        <v>1</v>
      </c>
      <c r="E526">
        <v>3</v>
      </c>
      <c r="F526">
        <v>4</v>
      </c>
      <c r="G526">
        <v>2</v>
      </c>
      <c r="H526">
        <v>1</v>
      </c>
      <c r="I526">
        <v>1</v>
      </c>
      <c r="J526" s="8">
        <v>92.5</v>
      </c>
      <c r="K526" t="str">
        <f t="shared" si="16"/>
        <v>Отлично</v>
      </c>
      <c r="L526" t="str">
        <f t="shared" si="17"/>
        <v>Часто</v>
      </c>
    </row>
    <row r="527" spans="1:12" x14ac:dyDescent="0.2">
      <c r="A527" t="s">
        <v>117</v>
      </c>
      <c r="B527">
        <v>4</v>
      </c>
      <c r="C527">
        <v>3</v>
      </c>
      <c r="D527">
        <v>1</v>
      </c>
      <c r="E527">
        <v>3</v>
      </c>
      <c r="F527">
        <v>5</v>
      </c>
      <c r="G527">
        <v>2</v>
      </c>
      <c r="H527">
        <v>1</v>
      </c>
      <c r="I527">
        <v>2</v>
      </c>
      <c r="J527" s="8">
        <v>93</v>
      </c>
      <c r="K527" t="str">
        <f t="shared" si="16"/>
        <v>Отлично</v>
      </c>
      <c r="L527" t="str">
        <f t="shared" si="17"/>
        <v>Часто</v>
      </c>
    </row>
    <row r="528" spans="1:12" x14ac:dyDescent="0.2">
      <c r="A528" t="s">
        <v>117</v>
      </c>
      <c r="B528">
        <v>1</v>
      </c>
      <c r="C528">
        <v>4</v>
      </c>
      <c r="D528">
        <v>1</v>
      </c>
      <c r="E528">
        <v>5</v>
      </c>
      <c r="F528">
        <v>5</v>
      </c>
      <c r="G528">
        <v>2</v>
      </c>
      <c r="H528">
        <v>4</v>
      </c>
      <c r="I528">
        <v>2</v>
      </c>
      <c r="J528" s="8">
        <v>93</v>
      </c>
      <c r="K528" t="str">
        <f t="shared" si="16"/>
        <v>Отлично</v>
      </c>
      <c r="L528" t="str">
        <f t="shared" si="17"/>
        <v>Часто</v>
      </c>
    </row>
    <row r="529" spans="1:12" x14ac:dyDescent="0.2">
      <c r="A529" t="s">
        <v>116</v>
      </c>
      <c r="B529">
        <v>8</v>
      </c>
      <c r="C529">
        <v>0</v>
      </c>
      <c r="D529">
        <v>0</v>
      </c>
      <c r="E529">
        <v>4</v>
      </c>
      <c r="F529">
        <v>2</v>
      </c>
      <c r="G529">
        <v>2</v>
      </c>
      <c r="H529">
        <v>0</v>
      </c>
      <c r="I529">
        <v>0</v>
      </c>
      <c r="J529" s="8">
        <v>89</v>
      </c>
      <c r="K529" t="str">
        <f t="shared" si="16"/>
        <v>Отлично</v>
      </c>
      <c r="L529" t="str">
        <f t="shared" si="17"/>
        <v>Редко</v>
      </c>
    </row>
    <row r="530" spans="1:12" x14ac:dyDescent="0.2">
      <c r="A530" t="s">
        <v>116</v>
      </c>
      <c r="B530">
        <v>4</v>
      </c>
      <c r="C530">
        <v>0</v>
      </c>
      <c r="D530">
        <v>0</v>
      </c>
      <c r="E530">
        <v>4</v>
      </c>
      <c r="F530">
        <v>4</v>
      </c>
      <c r="G530">
        <v>2</v>
      </c>
      <c r="H530">
        <v>0</v>
      </c>
      <c r="I530">
        <v>0</v>
      </c>
      <c r="J530" s="8">
        <v>89</v>
      </c>
      <c r="K530" t="str">
        <f t="shared" si="16"/>
        <v>Отлично</v>
      </c>
      <c r="L530" t="str">
        <f t="shared" si="17"/>
        <v>Редко</v>
      </c>
    </row>
    <row r="531" spans="1:12" x14ac:dyDescent="0.2">
      <c r="A531" t="s">
        <v>116</v>
      </c>
      <c r="B531">
        <v>2</v>
      </c>
      <c r="C531">
        <v>2</v>
      </c>
      <c r="D531">
        <v>1</v>
      </c>
      <c r="E531">
        <v>2</v>
      </c>
      <c r="F531">
        <v>3</v>
      </c>
      <c r="G531">
        <v>2</v>
      </c>
      <c r="H531">
        <v>1</v>
      </c>
      <c r="I531">
        <v>1</v>
      </c>
      <c r="J531" s="8">
        <v>89</v>
      </c>
      <c r="K531" t="str">
        <f t="shared" si="16"/>
        <v>Отлично</v>
      </c>
      <c r="L531" t="str">
        <f t="shared" si="17"/>
        <v>Редко</v>
      </c>
    </row>
    <row r="532" spans="1:12" x14ac:dyDescent="0.2">
      <c r="A532" t="s">
        <v>117</v>
      </c>
      <c r="B532">
        <v>8</v>
      </c>
      <c r="C532">
        <v>1</v>
      </c>
      <c r="D532">
        <v>1</v>
      </c>
      <c r="E532">
        <v>2</v>
      </c>
      <c r="F532">
        <v>2</v>
      </c>
      <c r="G532">
        <v>2</v>
      </c>
      <c r="H532">
        <v>3</v>
      </c>
      <c r="I532">
        <v>4</v>
      </c>
      <c r="J532" s="8">
        <v>89</v>
      </c>
      <c r="K532" t="str">
        <f t="shared" si="16"/>
        <v>Отлично</v>
      </c>
      <c r="L532" t="str">
        <f t="shared" si="17"/>
        <v>Редко</v>
      </c>
    </row>
    <row r="533" spans="1:12" x14ac:dyDescent="0.2">
      <c r="A533" t="s">
        <v>117</v>
      </c>
      <c r="B533">
        <v>4</v>
      </c>
      <c r="C533">
        <v>5</v>
      </c>
      <c r="D533">
        <v>1</v>
      </c>
      <c r="E533">
        <v>4</v>
      </c>
      <c r="F533">
        <v>3</v>
      </c>
      <c r="G533">
        <v>2</v>
      </c>
      <c r="H533">
        <v>4</v>
      </c>
      <c r="I533">
        <v>2</v>
      </c>
      <c r="J533" s="8">
        <v>93</v>
      </c>
      <c r="K533" t="str">
        <f t="shared" si="16"/>
        <v>Отлично</v>
      </c>
      <c r="L533" t="str">
        <f t="shared" si="17"/>
        <v>Часто</v>
      </c>
    </row>
    <row r="534" spans="1:12" x14ac:dyDescent="0.2">
      <c r="A534" t="s">
        <v>116</v>
      </c>
      <c r="B534">
        <v>1</v>
      </c>
      <c r="C534">
        <v>4</v>
      </c>
      <c r="D534">
        <v>1</v>
      </c>
      <c r="E534">
        <v>3</v>
      </c>
      <c r="F534">
        <v>3</v>
      </c>
      <c r="G534">
        <v>2</v>
      </c>
      <c r="H534">
        <v>1</v>
      </c>
      <c r="I534">
        <v>2</v>
      </c>
      <c r="J534" s="8">
        <v>95</v>
      </c>
      <c r="K534" t="str">
        <f t="shared" si="16"/>
        <v>Отлично</v>
      </c>
      <c r="L534" t="str">
        <f t="shared" si="17"/>
        <v>Часто</v>
      </c>
    </row>
    <row r="535" spans="1:12" x14ac:dyDescent="0.2">
      <c r="A535" t="s">
        <v>116</v>
      </c>
      <c r="B535">
        <v>8</v>
      </c>
      <c r="C535">
        <v>4</v>
      </c>
      <c r="D535">
        <v>1</v>
      </c>
      <c r="E535">
        <v>3</v>
      </c>
      <c r="F535">
        <v>4</v>
      </c>
      <c r="G535">
        <v>2</v>
      </c>
      <c r="H535">
        <v>2</v>
      </c>
      <c r="I535">
        <v>2</v>
      </c>
      <c r="J535" s="8">
        <v>95</v>
      </c>
      <c r="K535" t="str">
        <f t="shared" si="16"/>
        <v>Отлично</v>
      </c>
      <c r="L535" t="str">
        <f t="shared" si="17"/>
        <v>Часто</v>
      </c>
    </row>
    <row r="536" spans="1:12" x14ac:dyDescent="0.2">
      <c r="A536" t="s">
        <v>116</v>
      </c>
      <c r="B536">
        <v>8</v>
      </c>
      <c r="C536">
        <v>0</v>
      </c>
      <c r="D536">
        <v>0</v>
      </c>
      <c r="E536">
        <v>2</v>
      </c>
      <c r="F536">
        <v>3</v>
      </c>
      <c r="G536">
        <v>1</v>
      </c>
      <c r="H536">
        <v>0</v>
      </c>
      <c r="I536">
        <v>0</v>
      </c>
      <c r="J536" s="8">
        <v>90</v>
      </c>
      <c r="K536" t="str">
        <f t="shared" si="16"/>
        <v>Отлично</v>
      </c>
      <c r="L536" t="str">
        <f t="shared" si="17"/>
        <v>Редко</v>
      </c>
    </row>
    <row r="537" spans="1:12" x14ac:dyDescent="0.2">
      <c r="A537" t="s">
        <v>116</v>
      </c>
      <c r="B537">
        <v>8</v>
      </c>
      <c r="C537">
        <v>0</v>
      </c>
      <c r="D537">
        <v>0</v>
      </c>
      <c r="E537">
        <v>2</v>
      </c>
      <c r="F537">
        <v>5</v>
      </c>
      <c r="G537">
        <v>1</v>
      </c>
      <c r="H537">
        <v>0</v>
      </c>
      <c r="I537">
        <v>0</v>
      </c>
      <c r="J537" s="8">
        <v>90</v>
      </c>
      <c r="K537" t="str">
        <f t="shared" si="16"/>
        <v>Отлично</v>
      </c>
      <c r="L537" t="str">
        <f t="shared" si="17"/>
        <v>Редко</v>
      </c>
    </row>
    <row r="538" spans="1:12" x14ac:dyDescent="0.2">
      <c r="A538" t="s">
        <v>116</v>
      </c>
      <c r="B538">
        <v>10</v>
      </c>
      <c r="C538">
        <v>0</v>
      </c>
      <c r="D538">
        <v>0</v>
      </c>
      <c r="E538">
        <v>2</v>
      </c>
      <c r="F538">
        <v>4</v>
      </c>
      <c r="G538">
        <v>2</v>
      </c>
      <c r="H538">
        <v>0</v>
      </c>
      <c r="I538">
        <v>0</v>
      </c>
      <c r="J538" s="8">
        <v>90</v>
      </c>
      <c r="K538" t="str">
        <f t="shared" si="16"/>
        <v>Отлично</v>
      </c>
      <c r="L538" t="str">
        <f t="shared" si="17"/>
        <v>Редко</v>
      </c>
    </row>
    <row r="539" spans="1:12" x14ac:dyDescent="0.2">
      <c r="A539" t="s">
        <v>116</v>
      </c>
      <c r="B539">
        <v>11</v>
      </c>
      <c r="C539">
        <v>0</v>
      </c>
      <c r="D539">
        <v>0</v>
      </c>
      <c r="E539">
        <v>2</v>
      </c>
      <c r="F539">
        <v>3</v>
      </c>
      <c r="G539">
        <v>3</v>
      </c>
      <c r="H539">
        <v>0</v>
      </c>
      <c r="I539">
        <v>0</v>
      </c>
      <c r="J539" s="8">
        <v>90</v>
      </c>
      <c r="K539" t="str">
        <f t="shared" si="16"/>
        <v>Отлично</v>
      </c>
      <c r="L539" t="str">
        <f t="shared" si="17"/>
        <v>Редко</v>
      </c>
    </row>
    <row r="540" spans="1:12" x14ac:dyDescent="0.2">
      <c r="A540" t="s">
        <v>116</v>
      </c>
      <c r="B540">
        <v>8</v>
      </c>
      <c r="C540">
        <v>0</v>
      </c>
      <c r="D540">
        <v>0</v>
      </c>
      <c r="E540">
        <v>3</v>
      </c>
      <c r="F540">
        <v>4</v>
      </c>
      <c r="G540">
        <v>1</v>
      </c>
      <c r="H540">
        <v>0</v>
      </c>
      <c r="I540">
        <v>0</v>
      </c>
      <c r="J540" s="8">
        <v>90</v>
      </c>
      <c r="K540" t="str">
        <f t="shared" si="16"/>
        <v>Отлично</v>
      </c>
      <c r="L540" t="str">
        <f t="shared" si="17"/>
        <v>Редко</v>
      </c>
    </row>
    <row r="541" spans="1:12" x14ac:dyDescent="0.2">
      <c r="A541" t="s">
        <v>116</v>
      </c>
      <c r="B541">
        <v>7</v>
      </c>
      <c r="C541">
        <v>0</v>
      </c>
      <c r="D541">
        <v>0</v>
      </c>
      <c r="E541">
        <v>4</v>
      </c>
      <c r="F541">
        <v>5</v>
      </c>
      <c r="G541">
        <v>0</v>
      </c>
      <c r="H541">
        <v>0</v>
      </c>
      <c r="I541">
        <v>0</v>
      </c>
      <c r="J541" s="8">
        <v>90</v>
      </c>
      <c r="K541" t="str">
        <f t="shared" si="16"/>
        <v>Отлично</v>
      </c>
      <c r="L541" t="str">
        <f t="shared" si="17"/>
        <v>Редко</v>
      </c>
    </row>
    <row r="542" spans="1:12" x14ac:dyDescent="0.2">
      <c r="A542" t="s">
        <v>116</v>
      </c>
      <c r="B542">
        <v>8</v>
      </c>
      <c r="C542">
        <v>0</v>
      </c>
      <c r="D542">
        <v>0</v>
      </c>
      <c r="E542">
        <v>4</v>
      </c>
      <c r="F542">
        <v>2</v>
      </c>
      <c r="G542">
        <v>1</v>
      </c>
      <c r="H542">
        <v>0</v>
      </c>
      <c r="I542">
        <v>0</v>
      </c>
      <c r="J542" s="8">
        <v>90</v>
      </c>
      <c r="K542" t="str">
        <f t="shared" si="16"/>
        <v>Отлично</v>
      </c>
      <c r="L542" t="str">
        <f t="shared" si="17"/>
        <v>Редко</v>
      </c>
    </row>
    <row r="543" spans="1:12" x14ac:dyDescent="0.2">
      <c r="A543" t="s">
        <v>116</v>
      </c>
      <c r="B543">
        <v>1</v>
      </c>
      <c r="C543">
        <v>0</v>
      </c>
      <c r="D543">
        <v>0</v>
      </c>
      <c r="E543">
        <v>4</v>
      </c>
      <c r="F543">
        <v>0</v>
      </c>
      <c r="G543">
        <v>3</v>
      </c>
      <c r="H543">
        <v>0</v>
      </c>
      <c r="I543">
        <v>0</v>
      </c>
      <c r="J543" s="8">
        <v>90</v>
      </c>
      <c r="K543" t="str">
        <f t="shared" si="16"/>
        <v>Отлично</v>
      </c>
      <c r="L543" t="str">
        <f t="shared" si="17"/>
        <v>Редко</v>
      </c>
    </row>
    <row r="544" spans="1:12" x14ac:dyDescent="0.2">
      <c r="A544" t="s">
        <v>116</v>
      </c>
      <c r="B544">
        <v>3</v>
      </c>
      <c r="C544">
        <v>0</v>
      </c>
      <c r="D544">
        <v>0</v>
      </c>
      <c r="E544">
        <v>4</v>
      </c>
      <c r="F544">
        <v>4</v>
      </c>
      <c r="G544">
        <v>3</v>
      </c>
      <c r="H544">
        <v>0</v>
      </c>
      <c r="I544">
        <v>0</v>
      </c>
      <c r="J544" s="8">
        <v>90</v>
      </c>
      <c r="K544" t="str">
        <f t="shared" si="16"/>
        <v>Отлично</v>
      </c>
      <c r="L544" t="str">
        <f t="shared" si="17"/>
        <v>Редко</v>
      </c>
    </row>
    <row r="545" spans="1:12" x14ac:dyDescent="0.2">
      <c r="A545" t="s">
        <v>116</v>
      </c>
      <c r="B545">
        <v>5</v>
      </c>
      <c r="C545">
        <v>0</v>
      </c>
      <c r="D545">
        <v>0</v>
      </c>
      <c r="E545">
        <v>4</v>
      </c>
      <c r="F545">
        <v>4</v>
      </c>
      <c r="G545">
        <v>4</v>
      </c>
      <c r="H545">
        <v>0</v>
      </c>
      <c r="I545">
        <v>0</v>
      </c>
      <c r="J545" s="8">
        <v>90</v>
      </c>
      <c r="K545" t="str">
        <f t="shared" si="16"/>
        <v>Отлично</v>
      </c>
      <c r="L545" t="str">
        <f t="shared" si="17"/>
        <v>Редко</v>
      </c>
    </row>
    <row r="546" spans="1:12" x14ac:dyDescent="0.2">
      <c r="A546" t="s">
        <v>116</v>
      </c>
      <c r="B546">
        <v>7</v>
      </c>
      <c r="C546">
        <v>0</v>
      </c>
      <c r="D546">
        <v>0</v>
      </c>
      <c r="E546">
        <v>5</v>
      </c>
      <c r="F546">
        <v>5</v>
      </c>
      <c r="G546">
        <v>0</v>
      </c>
      <c r="H546">
        <v>0</v>
      </c>
      <c r="I546">
        <v>0</v>
      </c>
      <c r="J546" s="8">
        <v>90</v>
      </c>
      <c r="K546" t="str">
        <f t="shared" si="16"/>
        <v>Отлично</v>
      </c>
      <c r="L546" t="str">
        <f t="shared" si="17"/>
        <v>Редко</v>
      </c>
    </row>
    <row r="547" spans="1:12" x14ac:dyDescent="0.2">
      <c r="A547" t="s">
        <v>116</v>
      </c>
      <c r="B547">
        <v>9</v>
      </c>
      <c r="C547">
        <v>0</v>
      </c>
      <c r="D547">
        <v>0</v>
      </c>
      <c r="E547">
        <v>5</v>
      </c>
      <c r="F547">
        <v>5</v>
      </c>
      <c r="G547">
        <v>0</v>
      </c>
      <c r="H547">
        <v>0</v>
      </c>
      <c r="I547">
        <v>0</v>
      </c>
      <c r="J547" s="8">
        <v>90</v>
      </c>
      <c r="K547" t="str">
        <f t="shared" si="16"/>
        <v>Отлично</v>
      </c>
      <c r="L547" t="str">
        <f t="shared" si="17"/>
        <v>Редко</v>
      </c>
    </row>
    <row r="548" spans="1:12" x14ac:dyDescent="0.2">
      <c r="A548" t="s">
        <v>116</v>
      </c>
      <c r="B548">
        <v>4</v>
      </c>
      <c r="C548">
        <v>0</v>
      </c>
      <c r="D548">
        <v>0</v>
      </c>
      <c r="E548">
        <v>5</v>
      </c>
      <c r="F548">
        <v>4</v>
      </c>
      <c r="G548">
        <v>2</v>
      </c>
      <c r="H548">
        <v>0</v>
      </c>
      <c r="I548">
        <v>0</v>
      </c>
      <c r="J548" s="8">
        <v>90</v>
      </c>
      <c r="K548" t="str">
        <f t="shared" si="16"/>
        <v>Отлично</v>
      </c>
      <c r="L548" t="str">
        <f t="shared" si="17"/>
        <v>Редко</v>
      </c>
    </row>
    <row r="549" spans="1:12" x14ac:dyDescent="0.2">
      <c r="A549" t="s">
        <v>116</v>
      </c>
      <c r="B549">
        <v>1</v>
      </c>
      <c r="C549">
        <v>0</v>
      </c>
      <c r="D549">
        <v>0</v>
      </c>
      <c r="E549">
        <v>5</v>
      </c>
      <c r="F549">
        <v>6</v>
      </c>
      <c r="G549">
        <v>3</v>
      </c>
      <c r="H549">
        <v>0</v>
      </c>
      <c r="I549">
        <v>0</v>
      </c>
      <c r="J549" s="8">
        <v>90</v>
      </c>
      <c r="K549" t="str">
        <f t="shared" si="16"/>
        <v>Отлично</v>
      </c>
      <c r="L549" t="str">
        <f t="shared" si="17"/>
        <v>Редко</v>
      </c>
    </row>
    <row r="550" spans="1:12" x14ac:dyDescent="0.2">
      <c r="A550" t="s">
        <v>116</v>
      </c>
      <c r="B550">
        <v>6</v>
      </c>
      <c r="C550">
        <v>0</v>
      </c>
      <c r="D550">
        <v>0</v>
      </c>
      <c r="E550">
        <v>5</v>
      </c>
      <c r="F550">
        <v>6</v>
      </c>
      <c r="G550">
        <v>4</v>
      </c>
      <c r="H550">
        <v>0</v>
      </c>
      <c r="I550">
        <v>0</v>
      </c>
      <c r="J550" s="8">
        <v>90</v>
      </c>
      <c r="K550" t="str">
        <f t="shared" si="16"/>
        <v>Отлично</v>
      </c>
      <c r="L550" t="str">
        <f t="shared" si="17"/>
        <v>Редко</v>
      </c>
    </row>
    <row r="551" spans="1:12" x14ac:dyDescent="0.2">
      <c r="A551" t="s">
        <v>116</v>
      </c>
      <c r="B551">
        <v>4</v>
      </c>
      <c r="C551">
        <v>0</v>
      </c>
      <c r="D551">
        <v>0</v>
      </c>
      <c r="E551">
        <v>6</v>
      </c>
      <c r="F551">
        <v>6</v>
      </c>
      <c r="G551">
        <v>4</v>
      </c>
      <c r="H551">
        <v>0</v>
      </c>
      <c r="I551">
        <v>0</v>
      </c>
      <c r="J551" s="8">
        <v>90</v>
      </c>
      <c r="K551" t="str">
        <f t="shared" si="16"/>
        <v>Отлично</v>
      </c>
      <c r="L551" t="str">
        <f t="shared" si="17"/>
        <v>Редко</v>
      </c>
    </row>
    <row r="552" spans="1:12" x14ac:dyDescent="0.2">
      <c r="A552" t="s">
        <v>116</v>
      </c>
      <c r="B552">
        <v>8</v>
      </c>
      <c r="C552">
        <v>1</v>
      </c>
      <c r="D552">
        <v>1</v>
      </c>
      <c r="E552">
        <v>4</v>
      </c>
      <c r="F552">
        <v>4</v>
      </c>
      <c r="G552">
        <v>1</v>
      </c>
      <c r="H552">
        <v>4</v>
      </c>
      <c r="I552">
        <v>1</v>
      </c>
      <c r="J552" s="8">
        <v>90</v>
      </c>
      <c r="K552" t="str">
        <f t="shared" si="16"/>
        <v>Отлично</v>
      </c>
      <c r="L552" t="str">
        <f t="shared" si="17"/>
        <v>Редко</v>
      </c>
    </row>
    <row r="553" spans="1:12" x14ac:dyDescent="0.2">
      <c r="A553" t="s">
        <v>116</v>
      </c>
      <c r="B553">
        <v>2</v>
      </c>
      <c r="C553">
        <v>2</v>
      </c>
      <c r="D553">
        <v>1</v>
      </c>
      <c r="E553">
        <v>3</v>
      </c>
      <c r="F553">
        <v>2</v>
      </c>
      <c r="G553">
        <v>2</v>
      </c>
      <c r="H553">
        <v>1</v>
      </c>
      <c r="I553">
        <v>2</v>
      </c>
      <c r="J553" s="8">
        <v>90</v>
      </c>
      <c r="K553" t="str">
        <f t="shared" si="16"/>
        <v>Отлично</v>
      </c>
      <c r="L553" t="str">
        <f t="shared" si="17"/>
        <v>Редко</v>
      </c>
    </row>
    <row r="554" spans="1:12" x14ac:dyDescent="0.2">
      <c r="A554" t="s">
        <v>116</v>
      </c>
      <c r="B554">
        <v>7</v>
      </c>
      <c r="C554">
        <v>2</v>
      </c>
      <c r="D554">
        <v>1</v>
      </c>
      <c r="E554">
        <v>5</v>
      </c>
      <c r="F554">
        <v>5</v>
      </c>
      <c r="G554">
        <v>0</v>
      </c>
      <c r="H554">
        <v>3</v>
      </c>
      <c r="I554">
        <v>1</v>
      </c>
      <c r="J554" s="8">
        <v>90</v>
      </c>
      <c r="K554" t="str">
        <f t="shared" si="16"/>
        <v>Отлично</v>
      </c>
      <c r="L554" t="str">
        <f t="shared" si="17"/>
        <v>Редко</v>
      </c>
    </row>
    <row r="555" spans="1:12" x14ac:dyDescent="0.2">
      <c r="A555" t="s">
        <v>116</v>
      </c>
      <c r="B555">
        <v>4</v>
      </c>
      <c r="C555">
        <v>5</v>
      </c>
      <c r="D555">
        <v>1</v>
      </c>
      <c r="E555">
        <v>4</v>
      </c>
      <c r="F555">
        <v>4</v>
      </c>
      <c r="G555">
        <v>2</v>
      </c>
      <c r="H555">
        <v>1</v>
      </c>
      <c r="I555">
        <v>1</v>
      </c>
      <c r="J555" s="8">
        <v>95</v>
      </c>
      <c r="K555" t="str">
        <f t="shared" si="16"/>
        <v>Отлично</v>
      </c>
      <c r="L555" t="str">
        <f t="shared" si="17"/>
        <v>Часто</v>
      </c>
    </row>
    <row r="556" spans="1:12" x14ac:dyDescent="0.2">
      <c r="A556" t="s">
        <v>117</v>
      </c>
      <c r="B556">
        <v>1</v>
      </c>
      <c r="C556">
        <v>5</v>
      </c>
      <c r="D556">
        <v>1</v>
      </c>
      <c r="E556">
        <v>4</v>
      </c>
      <c r="F556">
        <v>4</v>
      </c>
      <c r="G556">
        <v>2</v>
      </c>
      <c r="H556">
        <v>3</v>
      </c>
      <c r="I556">
        <v>5</v>
      </c>
      <c r="J556" s="8">
        <v>95</v>
      </c>
      <c r="K556" t="str">
        <f t="shared" si="16"/>
        <v>Отлично</v>
      </c>
      <c r="L556" t="str">
        <f t="shared" si="17"/>
        <v>Часто</v>
      </c>
    </row>
    <row r="557" spans="1:12" x14ac:dyDescent="0.2">
      <c r="A557" t="s">
        <v>117</v>
      </c>
      <c r="B557">
        <v>11</v>
      </c>
      <c r="C557">
        <v>5</v>
      </c>
      <c r="D557">
        <v>1</v>
      </c>
      <c r="E557">
        <v>2</v>
      </c>
      <c r="F557">
        <v>1</v>
      </c>
      <c r="G557">
        <v>2</v>
      </c>
      <c r="H557">
        <v>2</v>
      </c>
      <c r="I557">
        <v>3</v>
      </c>
      <c r="J557" s="8">
        <v>95.5</v>
      </c>
      <c r="K557" t="str">
        <f t="shared" si="16"/>
        <v>Отлично</v>
      </c>
      <c r="L557" t="str">
        <f t="shared" si="17"/>
        <v>Часто</v>
      </c>
    </row>
    <row r="558" spans="1:12" x14ac:dyDescent="0.2">
      <c r="A558" t="s">
        <v>117</v>
      </c>
      <c r="B558">
        <v>10</v>
      </c>
      <c r="C558">
        <v>4</v>
      </c>
      <c r="D558">
        <v>1</v>
      </c>
      <c r="E558">
        <v>4</v>
      </c>
      <c r="F558">
        <v>3</v>
      </c>
      <c r="G558">
        <v>2</v>
      </c>
      <c r="H558">
        <v>3</v>
      </c>
      <c r="I558">
        <v>3</v>
      </c>
      <c r="J558" s="8">
        <v>96</v>
      </c>
      <c r="K558" t="str">
        <f t="shared" si="16"/>
        <v>Отлично</v>
      </c>
      <c r="L558" t="str">
        <f t="shared" si="17"/>
        <v>Часто</v>
      </c>
    </row>
    <row r="559" spans="1:12" x14ac:dyDescent="0.2">
      <c r="A559" t="s">
        <v>117</v>
      </c>
      <c r="B559">
        <v>4</v>
      </c>
      <c r="C559">
        <v>5</v>
      </c>
      <c r="D559">
        <v>1</v>
      </c>
      <c r="E559">
        <v>4</v>
      </c>
      <c r="F559">
        <v>4</v>
      </c>
      <c r="G559">
        <v>2</v>
      </c>
      <c r="H559">
        <v>1</v>
      </c>
      <c r="I559">
        <v>1</v>
      </c>
      <c r="J559" s="8">
        <v>96.5</v>
      </c>
      <c r="K559" t="str">
        <f t="shared" si="16"/>
        <v>Отлично</v>
      </c>
      <c r="L559" t="str">
        <f t="shared" si="17"/>
        <v>Часто</v>
      </c>
    </row>
    <row r="560" spans="1:12" x14ac:dyDescent="0.2">
      <c r="A560" t="s">
        <v>117</v>
      </c>
      <c r="B560">
        <v>8</v>
      </c>
      <c r="C560">
        <v>3</v>
      </c>
      <c r="D560">
        <v>1</v>
      </c>
      <c r="E560">
        <v>4</v>
      </c>
      <c r="F560">
        <v>3</v>
      </c>
      <c r="G560">
        <v>2</v>
      </c>
      <c r="H560">
        <v>1</v>
      </c>
      <c r="I560">
        <v>2</v>
      </c>
      <c r="J560" s="8">
        <v>97</v>
      </c>
      <c r="K560" t="str">
        <f t="shared" si="16"/>
        <v>Отлично</v>
      </c>
      <c r="L560" t="str">
        <f t="shared" si="17"/>
        <v>Часто</v>
      </c>
    </row>
    <row r="561" spans="1:12" x14ac:dyDescent="0.2">
      <c r="A561" t="s">
        <v>117</v>
      </c>
      <c r="B561">
        <v>2</v>
      </c>
      <c r="C561">
        <v>4</v>
      </c>
      <c r="D561">
        <v>1</v>
      </c>
      <c r="E561">
        <v>3</v>
      </c>
      <c r="F561">
        <v>3</v>
      </c>
      <c r="G561">
        <v>2</v>
      </c>
      <c r="H561">
        <v>3</v>
      </c>
      <c r="I561">
        <v>1</v>
      </c>
      <c r="J561" s="8">
        <v>98</v>
      </c>
      <c r="K561" t="str">
        <f t="shared" si="16"/>
        <v>Отлично</v>
      </c>
      <c r="L561" t="str">
        <f t="shared" si="17"/>
        <v>Часто</v>
      </c>
    </row>
    <row r="562" spans="1:12" x14ac:dyDescent="0.2">
      <c r="A562" t="s">
        <v>116</v>
      </c>
      <c r="B562">
        <v>5</v>
      </c>
      <c r="C562">
        <v>3</v>
      </c>
      <c r="D562">
        <v>1</v>
      </c>
      <c r="E562">
        <v>3</v>
      </c>
      <c r="F562">
        <v>3</v>
      </c>
      <c r="G562">
        <v>2</v>
      </c>
      <c r="H562">
        <v>3</v>
      </c>
      <c r="I562">
        <v>2</v>
      </c>
      <c r="J562" s="8">
        <v>100</v>
      </c>
      <c r="K562" t="str">
        <f t="shared" si="16"/>
        <v>Отлично</v>
      </c>
      <c r="L562" t="str">
        <f t="shared" si="17"/>
        <v>Часто</v>
      </c>
    </row>
    <row r="563" spans="1:12" x14ac:dyDescent="0.2">
      <c r="A563" t="s">
        <v>116</v>
      </c>
      <c r="B563">
        <v>3</v>
      </c>
      <c r="C563">
        <v>3</v>
      </c>
      <c r="D563">
        <v>1</v>
      </c>
      <c r="E563">
        <v>4</v>
      </c>
      <c r="F563">
        <v>4</v>
      </c>
      <c r="G563">
        <v>2</v>
      </c>
      <c r="H563">
        <v>1</v>
      </c>
      <c r="I563">
        <v>3</v>
      </c>
      <c r="J563" s="8">
        <v>100</v>
      </c>
      <c r="K563" t="str">
        <f t="shared" si="16"/>
        <v>Отлично</v>
      </c>
      <c r="L563" t="str">
        <f t="shared" si="17"/>
        <v>Часто</v>
      </c>
    </row>
    <row r="564" spans="1:12" x14ac:dyDescent="0.2">
      <c r="A564" t="s">
        <v>116</v>
      </c>
      <c r="B564">
        <v>1</v>
      </c>
      <c r="C564">
        <v>4</v>
      </c>
      <c r="D564">
        <v>1</v>
      </c>
      <c r="E564">
        <v>4</v>
      </c>
      <c r="F564">
        <v>4</v>
      </c>
      <c r="G564">
        <v>2</v>
      </c>
      <c r="H564">
        <v>2</v>
      </c>
      <c r="I564">
        <v>1</v>
      </c>
      <c r="J564" s="8">
        <v>100</v>
      </c>
      <c r="K564" t="str">
        <f t="shared" si="16"/>
        <v>Отлично</v>
      </c>
      <c r="L564" t="str">
        <f t="shared" si="17"/>
        <v>Часто</v>
      </c>
    </row>
    <row r="565" spans="1:12" x14ac:dyDescent="0.2">
      <c r="A565" t="s">
        <v>116</v>
      </c>
      <c r="B565">
        <v>8</v>
      </c>
      <c r="C565">
        <v>5</v>
      </c>
      <c r="D565">
        <v>1</v>
      </c>
      <c r="E565">
        <v>6</v>
      </c>
      <c r="F565">
        <v>4</v>
      </c>
      <c r="G565">
        <v>2</v>
      </c>
      <c r="H565">
        <v>2</v>
      </c>
      <c r="I565">
        <v>1</v>
      </c>
      <c r="J565" s="8">
        <v>100</v>
      </c>
      <c r="K565" t="str">
        <f t="shared" si="16"/>
        <v>Отлично</v>
      </c>
      <c r="L565" t="str">
        <f t="shared" si="17"/>
        <v>Часто</v>
      </c>
    </row>
    <row r="566" spans="1:12" x14ac:dyDescent="0.2">
      <c r="A566" t="s">
        <v>117</v>
      </c>
      <c r="B566">
        <v>1</v>
      </c>
      <c r="C566">
        <v>3</v>
      </c>
      <c r="D566">
        <v>1</v>
      </c>
      <c r="E566">
        <v>4</v>
      </c>
      <c r="F566">
        <v>4</v>
      </c>
      <c r="G566">
        <v>2</v>
      </c>
      <c r="H566">
        <v>3</v>
      </c>
      <c r="I566">
        <v>1</v>
      </c>
      <c r="J566" s="8">
        <v>100</v>
      </c>
      <c r="K566" t="str">
        <f t="shared" si="16"/>
        <v>Отлично</v>
      </c>
      <c r="L566" t="str">
        <f t="shared" si="17"/>
        <v>Часто</v>
      </c>
    </row>
    <row r="567" spans="1:12" x14ac:dyDescent="0.2">
      <c r="A567" t="s">
        <v>117</v>
      </c>
      <c r="B567">
        <v>3</v>
      </c>
      <c r="C567">
        <v>0</v>
      </c>
      <c r="D567">
        <v>0</v>
      </c>
      <c r="E567">
        <v>2</v>
      </c>
      <c r="F567">
        <v>4</v>
      </c>
      <c r="G567">
        <v>2</v>
      </c>
      <c r="H567">
        <v>0</v>
      </c>
      <c r="I567">
        <v>0</v>
      </c>
      <c r="J567" s="8">
        <v>90</v>
      </c>
      <c r="K567" t="str">
        <f t="shared" si="16"/>
        <v>Отлично</v>
      </c>
      <c r="L567" t="str">
        <f t="shared" si="17"/>
        <v>Редко</v>
      </c>
    </row>
    <row r="568" spans="1:12" x14ac:dyDescent="0.2">
      <c r="A568" t="s">
        <v>117</v>
      </c>
      <c r="B568">
        <v>1</v>
      </c>
      <c r="C568">
        <v>0</v>
      </c>
      <c r="D568">
        <v>0</v>
      </c>
      <c r="E568">
        <v>2</v>
      </c>
      <c r="F568">
        <v>2</v>
      </c>
      <c r="G568">
        <v>3</v>
      </c>
      <c r="H568">
        <v>0</v>
      </c>
      <c r="I568">
        <v>0</v>
      </c>
      <c r="J568" s="8">
        <v>90</v>
      </c>
      <c r="K568" t="str">
        <f t="shared" si="16"/>
        <v>Отлично</v>
      </c>
      <c r="L568" t="str">
        <f t="shared" si="17"/>
        <v>Редко</v>
      </c>
    </row>
    <row r="569" spans="1:12" x14ac:dyDescent="0.2">
      <c r="A569" t="s">
        <v>117</v>
      </c>
      <c r="B569">
        <v>8</v>
      </c>
      <c r="C569">
        <v>0</v>
      </c>
      <c r="D569">
        <v>0</v>
      </c>
      <c r="E569">
        <v>3</v>
      </c>
      <c r="F569">
        <v>3</v>
      </c>
      <c r="G569">
        <v>1</v>
      </c>
      <c r="H569">
        <v>0</v>
      </c>
      <c r="I569">
        <v>0</v>
      </c>
      <c r="J569" s="8">
        <v>90</v>
      </c>
      <c r="K569" t="str">
        <f t="shared" si="16"/>
        <v>Отлично</v>
      </c>
      <c r="L569" t="str">
        <f t="shared" si="17"/>
        <v>Редко</v>
      </c>
    </row>
    <row r="570" spans="1:12" x14ac:dyDescent="0.2">
      <c r="A570" t="s">
        <v>117</v>
      </c>
      <c r="B570">
        <v>4</v>
      </c>
      <c r="C570">
        <v>1</v>
      </c>
      <c r="D570">
        <v>1</v>
      </c>
      <c r="E570">
        <v>4</v>
      </c>
      <c r="F570">
        <v>3</v>
      </c>
      <c r="G570">
        <v>2</v>
      </c>
      <c r="H570">
        <v>4</v>
      </c>
      <c r="I570">
        <v>4</v>
      </c>
      <c r="J570" s="8">
        <v>90</v>
      </c>
      <c r="K570" t="str">
        <f t="shared" si="16"/>
        <v>Отлично</v>
      </c>
      <c r="L570" t="str">
        <f t="shared" si="17"/>
        <v>Редко</v>
      </c>
    </row>
    <row r="571" spans="1:12" x14ac:dyDescent="0.2">
      <c r="A571" t="s">
        <v>117</v>
      </c>
      <c r="B571">
        <v>8</v>
      </c>
      <c r="C571">
        <v>1</v>
      </c>
      <c r="D571">
        <v>1</v>
      </c>
      <c r="E571">
        <v>4</v>
      </c>
      <c r="F571">
        <v>6</v>
      </c>
      <c r="G571">
        <v>2</v>
      </c>
      <c r="H571">
        <v>3</v>
      </c>
      <c r="I571">
        <v>4</v>
      </c>
      <c r="J571" s="8">
        <v>90</v>
      </c>
      <c r="K571" t="str">
        <f t="shared" si="16"/>
        <v>Отлично</v>
      </c>
      <c r="L571" t="str">
        <f t="shared" si="17"/>
        <v>Редко</v>
      </c>
    </row>
    <row r="572" spans="1:12" x14ac:dyDescent="0.2">
      <c r="A572" t="s">
        <v>117</v>
      </c>
      <c r="B572">
        <v>11</v>
      </c>
      <c r="C572">
        <v>1</v>
      </c>
      <c r="D572">
        <v>1</v>
      </c>
      <c r="E572">
        <v>5</v>
      </c>
      <c r="F572">
        <v>4</v>
      </c>
      <c r="G572">
        <v>3</v>
      </c>
      <c r="H572">
        <v>4</v>
      </c>
      <c r="I572">
        <v>3</v>
      </c>
      <c r="J572" s="8">
        <v>90</v>
      </c>
      <c r="K572" t="str">
        <f t="shared" si="16"/>
        <v>Отлично</v>
      </c>
      <c r="L572" t="str">
        <f t="shared" si="17"/>
        <v>Редко</v>
      </c>
    </row>
    <row r="573" spans="1:12" x14ac:dyDescent="0.2">
      <c r="A573" t="s">
        <v>117</v>
      </c>
      <c r="B573">
        <v>1</v>
      </c>
      <c r="C573">
        <v>2</v>
      </c>
      <c r="D573">
        <v>1</v>
      </c>
      <c r="E573">
        <v>3</v>
      </c>
      <c r="F573">
        <v>5</v>
      </c>
      <c r="G573">
        <v>2</v>
      </c>
      <c r="H573">
        <v>2</v>
      </c>
      <c r="I573">
        <v>3</v>
      </c>
      <c r="J573" s="8">
        <v>90</v>
      </c>
      <c r="K573" t="str">
        <f t="shared" si="16"/>
        <v>Отлично</v>
      </c>
      <c r="L573" t="str">
        <f t="shared" si="17"/>
        <v>Редко</v>
      </c>
    </row>
    <row r="574" spans="1:12" x14ac:dyDescent="0.2">
      <c r="A574" t="s">
        <v>117</v>
      </c>
      <c r="B574">
        <v>3</v>
      </c>
      <c r="C574">
        <v>2</v>
      </c>
      <c r="D574">
        <v>1</v>
      </c>
      <c r="E574">
        <v>4</v>
      </c>
      <c r="F574">
        <v>5</v>
      </c>
      <c r="G574">
        <v>2</v>
      </c>
      <c r="H574">
        <v>2</v>
      </c>
      <c r="I574">
        <v>1</v>
      </c>
      <c r="J574" s="8">
        <v>90</v>
      </c>
      <c r="K574" t="str">
        <f t="shared" si="16"/>
        <v>Отлично</v>
      </c>
      <c r="L574" t="str">
        <f t="shared" si="17"/>
        <v>Редко</v>
      </c>
    </row>
    <row r="575" spans="1:12" x14ac:dyDescent="0.2">
      <c r="A575" t="s">
        <v>117</v>
      </c>
      <c r="B575">
        <v>6</v>
      </c>
      <c r="C575">
        <v>5</v>
      </c>
      <c r="D575">
        <v>1</v>
      </c>
      <c r="E575">
        <v>4</v>
      </c>
      <c r="F575">
        <v>4</v>
      </c>
      <c r="G575">
        <v>2</v>
      </c>
      <c r="H575">
        <v>3</v>
      </c>
      <c r="I575">
        <v>2</v>
      </c>
      <c r="J575" s="8">
        <v>100</v>
      </c>
      <c r="K575" t="str">
        <f t="shared" si="16"/>
        <v>Отлично</v>
      </c>
      <c r="L575" t="str">
        <f t="shared" si="17"/>
        <v>Часто</v>
      </c>
    </row>
    <row r="576" spans="1:12" x14ac:dyDescent="0.2">
      <c r="A576" t="s">
        <v>117</v>
      </c>
      <c r="B576">
        <v>9</v>
      </c>
      <c r="C576">
        <v>5</v>
      </c>
      <c r="D576">
        <v>1</v>
      </c>
      <c r="E576">
        <v>5</v>
      </c>
      <c r="F576">
        <v>5</v>
      </c>
      <c r="G576">
        <v>2</v>
      </c>
      <c r="H576">
        <v>2</v>
      </c>
      <c r="I576">
        <v>1</v>
      </c>
      <c r="J576" s="8">
        <v>100</v>
      </c>
      <c r="K576" t="str">
        <f t="shared" si="16"/>
        <v>Отлично</v>
      </c>
      <c r="L576" t="str">
        <f t="shared" si="17"/>
        <v>Часто</v>
      </c>
    </row>
    <row r="577" spans="1:12" x14ac:dyDescent="0.2">
      <c r="A577" t="s">
        <v>117</v>
      </c>
      <c r="B577">
        <v>4</v>
      </c>
      <c r="C577">
        <v>3</v>
      </c>
      <c r="D577">
        <v>1</v>
      </c>
      <c r="E577">
        <v>4</v>
      </c>
      <c r="F577">
        <v>4</v>
      </c>
      <c r="G577">
        <v>3</v>
      </c>
      <c r="H577">
        <v>1</v>
      </c>
      <c r="I577">
        <v>3</v>
      </c>
      <c r="J577" s="8">
        <v>45</v>
      </c>
      <c r="K577" t="str">
        <f t="shared" si="16"/>
        <v>Средне</v>
      </c>
      <c r="L577" t="str">
        <f t="shared" si="17"/>
        <v>Часто</v>
      </c>
    </row>
    <row r="578" spans="1:12" x14ac:dyDescent="0.2">
      <c r="A578" t="s">
        <v>116</v>
      </c>
      <c r="B578">
        <v>11</v>
      </c>
      <c r="C578">
        <v>4</v>
      </c>
      <c r="D578">
        <v>1</v>
      </c>
      <c r="E578">
        <v>2</v>
      </c>
      <c r="F578">
        <v>4</v>
      </c>
      <c r="G578">
        <v>3</v>
      </c>
      <c r="H578">
        <v>1</v>
      </c>
      <c r="I578">
        <v>1</v>
      </c>
      <c r="J578" s="8">
        <v>50</v>
      </c>
      <c r="K578" t="str">
        <f t="shared" si="16"/>
        <v>Средне</v>
      </c>
      <c r="L578" t="str">
        <f t="shared" si="17"/>
        <v>Часто</v>
      </c>
    </row>
    <row r="579" spans="1:12" x14ac:dyDescent="0.2">
      <c r="A579" t="s">
        <v>117</v>
      </c>
      <c r="B579">
        <v>3</v>
      </c>
      <c r="C579">
        <v>3</v>
      </c>
      <c r="D579">
        <v>1</v>
      </c>
      <c r="E579">
        <v>3</v>
      </c>
      <c r="F579">
        <v>4</v>
      </c>
      <c r="G579">
        <v>3</v>
      </c>
      <c r="H579">
        <v>4</v>
      </c>
      <c r="I579">
        <v>2</v>
      </c>
      <c r="J579" s="8">
        <v>50</v>
      </c>
      <c r="K579" t="str">
        <f t="shared" ref="K579:K642" si="18">IF(J579&gt;20,IF(J579&gt;40,IF(J579&gt;60,IF(J579&gt;80,"Отлично","Хорошо"),"Средне"),"Плохо"),"Ужасно")</f>
        <v>Средне</v>
      </c>
      <c r="L579" t="str">
        <f t="shared" ref="L579:L642" si="19">IF(C579&gt;2,"Часто","Редко")</f>
        <v>Часто</v>
      </c>
    </row>
    <row r="580" spans="1:12" x14ac:dyDescent="0.2">
      <c r="A580" t="s">
        <v>117</v>
      </c>
      <c r="B580">
        <v>2</v>
      </c>
      <c r="C580">
        <v>5</v>
      </c>
      <c r="D580">
        <v>1</v>
      </c>
      <c r="E580">
        <v>2</v>
      </c>
      <c r="F580">
        <v>2</v>
      </c>
      <c r="G580">
        <v>3</v>
      </c>
      <c r="H580">
        <v>1</v>
      </c>
      <c r="I580">
        <v>1</v>
      </c>
      <c r="J580" s="8">
        <v>50</v>
      </c>
      <c r="K580" t="str">
        <f t="shared" si="18"/>
        <v>Средне</v>
      </c>
      <c r="L580" t="str">
        <f t="shared" si="19"/>
        <v>Часто</v>
      </c>
    </row>
    <row r="581" spans="1:12" x14ac:dyDescent="0.2">
      <c r="A581" t="s">
        <v>117</v>
      </c>
      <c r="B581">
        <v>1</v>
      </c>
      <c r="C581">
        <v>3</v>
      </c>
      <c r="D581">
        <v>1</v>
      </c>
      <c r="E581">
        <v>3</v>
      </c>
      <c r="F581">
        <v>3</v>
      </c>
      <c r="G581">
        <v>3</v>
      </c>
      <c r="H581">
        <v>1</v>
      </c>
      <c r="I581">
        <v>1</v>
      </c>
      <c r="J581" s="8">
        <v>55</v>
      </c>
      <c r="K581" t="str">
        <f t="shared" si="18"/>
        <v>Средне</v>
      </c>
      <c r="L581" t="str">
        <f t="shared" si="19"/>
        <v>Часто</v>
      </c>
    </row>
    <row r="582" spans="1:12" x14ac:dyDescent="0.2">
      <c r="A582" t="s">
        <v>117</v>
      </c>
      <c r="B582">
        <v>4</v>
      </c>
      <c r="C582">
        <v>5</v>
      </c>
      <c r="D582">
        <v>1</v>
      </c>
      <c r="E582">
        <v>4</v>
      </c>
      <c r="F582">
        <v>4</v>
      </c>
      <c r="G582">
        <v>3</v>
      </c>
      <c r="H582">
        <v>2</v>
      </c>
      <c r="I582">
        <v>2</v>
      </c>
      <c r="J582" s="8">
        <v>55</v>
      </c>
      <c r="K582" t="str">
        <f t="shared" si="18"/>
        <v>Средне</v>
      </c>
      <c r="L582" t="str">
        <f t="shared" si="19"/>
        <v>Часто</v>
      </c>
    </row>
    <row r="583" spans="1:12" x14ac:dyDescent="0.2">
      <c r="A583" t="s">
        <v>117</v>
      </c>
      <c r="B583">
        <v>4</v>
      </c>
      <c r="C583">
        <v>3</v>
      </c>
      <c r="D583">
        <v>1</v>
      </c>
      <c r="E583">
        <v>2</v>
      </c>
      <c r="F583">
        <v>4</v>
      </c>
      <c r="G583">
        <v>3</v>
      </c>
      <c r="H583">
        <v>3</v>
      </c>
      <c r="I583">
        <v>2</v>
      </c>
      <c r="J583" s="8">
        <v>55.5</v>
      </c>
      <c r="K583" t="str">
        <f t="shared" si="18"/>
        <v>Средне</v>
      </c>
      <c r="L583" t="str">
        <f t="shared" si="19"/>
        <v>Часто</v>
      </c>
    </row>
    <row r="584" spans="1:12" x14ac:dyDescent="0.2">
      <c r="A584" t="s">
        <v>117</v>
      </c>
      <c r="B584">
        <v>8</v>
      </c>
      <c r="C584">
        <v>5</v>
      </c>
      <c r="D584">
        <v>1</v>
      </c>
      <c r="E584">
        <v>5</v>
      </c>
      <c r="F584">
        <v>4</v>
      </c>
      <c r="G584">
        <v>3</v>
      </c>
      <c r="H584">
        <v>2</v>
      </c>
      <c r="I584">
        <v>3</v>
      </c>
      <c r="J584" s="8">
        <v>56.5</v>
      </c>
      <c r="K584" t="str">
        <f t="shared" si="18"/>
        <v>Средне</v>
      </c>
      <c r="L584" t="str">
        <f t="shared" si="19"/>
        <v>Часто</v>
      </c>
    </row>
    <row r="585" spans="1:12" x14ac:dyDescent="0.2">
      <c r="A585" t="s">
        <v>117</v>
      </c>
      <c r="B585">
        <v>2</v>
      </c>
      <c r="C585">
        <v>5</v>
      </c>
      <c r="D585">
        <v>1</v>
      </c>
      <c r="E585">
        <v>5</v>
      </c>
      <c r="F585">
        <v>5</v>
      </c>
      <c r="G585">
        <v>3</v>
      </c>
      <c r="H585">
        <v>3</v>
      </c>
      <c r="I585">
        <v>3</v>
      </c>
      <c r="J585" s="8">
        <v>57</v>
      </c>
      <c r="K585" t="str">
        <f t="shared" si="18"/>
        <v>Средне</v>
      </c>
      <c r="L585" t="str">
        <f t="shared" si="19"/>
        <v>Часто</v>
      </c>
    </row>
    <row r="586" spans="1:12" x14ac:dyDescent="0.2">
      <c r="A586" t="s">
        <v>117</v>
      </c>
      <c r="B586">
        <v>2</v>
      </c>
      <c r="C586">
        <v>4</v>
      </c>
      <c r="D586">
        <v>1</v>
      </c>
      <c r="E586">
        <v>3</v>
      </c>
      <c r="F586">
        <v>2</v>
      </c>
      <c r="G586">
        <v>3</v>
      </c>
      <c r="H586">
        <v>1</v>
      </c>
      <c r="I586">
        <v>1</v>
      </c>
      <c r="J586" s="8">
        <v>60</v>
      </c>
      <c r="K586" t="str">
        <f t="shared" si="18"/>
        <v>Средне</v>
      </c>
      <c r="L586" t="str">
        <f t="shared" si="19"/>
        <v>Часто</v>
      </c>
    </row>
    <row r="587" spans="1:12" x14ac:dyDescent="0.2">
      <c r="A587" t="s">
        <v>117</v>
      </c>
      <c r="B587">
        <v>1</v>
      </c>
      <c r="C587">
        <v>3</v>
      </c>
      <c r="D587">
        <v>1</v>
      </c>
      <c r="E587">
        <v>6</v>
      </c>
      <c r="F587">
        <v>6</v>
      </c>
      <c r="G587">
        <v>3</v>
      </c>
      <c r="H587">
        <v>4</v>
      </c>
      <c r="I587">
        <v>2</v>
      </c>
      <c r="J587" s="8">
        <v>65</v>
      </c>
      <c r="K587" t="str">
        <f t="shared" si="18"/>
        <v>Хорошо</v>
      </c>
      <c r="L587" t="str">
        <f t="shared" si="19"/>
        <v>Часто</v>
      </c>
    </row>
    <row r="588" spans="1:12" x14ac:dyDescent="0.2">
      <c r="A588" t="s">
        <v>117</v>
      </c>
      <c r="B588">
        <v>3</v>
      </c>
      <c r="C588">
        <v>4</v>
      </c>
      <c r="D588">
        <v>1</v>
      </c>
      <c r="E588">
        <v>3</v>
      </c>
      <c r="F588">
        <v>5</v>
      </c>
      <c r="G588">
        <v>3</v>
      </c>
      <c r="H588">
        <v>1</v>
      </c>
      <c r="I588">
        <v>3</v>
      </c>
      <c r="J588" s="8">
        <v>65</v>
      </c>
      <c r="K588" t="str">
        <f t="shared" si="18"/>
        <v>Хорошо</v>
      </c>
      <c r="L588" t="str">
        <f t="shared" si="19"/>
        <v>Часто</v>
      </c>
    </row>
    <row r="589" spans="1:12" x14ac:dyDescent="0.2">
      <c r="A589" t="s">
        <v>116</v>
      </c>
      <c r="B589">
        <v>1</v>
      </c>
      <c r="C589">
        <v>2</v>
      </c>
      <c r="D589">
        <v>1</v>
      </c>
      <c r="E589">
        <v>2</v>
      </c>
      <c r="F589">
        <v>2</v>
      </c>
      <c r="G589">
        <v>2</v>
      </c>
      <c r="H589">
        <v>1</v>
      </c>
      <c r="I589">
        <v>1</v>
      </c>
      <c r="J589" s="8">
        <v>90.7</v>
      </c>
      <c r="K589" t="str">
        <f t="shared" si="18"/>
        <v>Отлично</v>
      </c>
      <c r="L589" t="str">
        <f t="shared" si="19"/>
        <v>Редко</v>
      </c>
    </row>
    <row r="590" spans="1:12" x14ac:dyDescent="0.2">
      <c r="A590" t="s">
        <v>116</v>
      </c>
      <c r="B590">
        <v>2</v>
      </c>
      <c r="C590">
        <v>0</v>
      </c>
      <c r="D590">
        <v>0</v>
      </c>
      <c r="E590">
        <v>2</v>
      </c>
      <c r="F590">
        <v>4</v>
      </c>
      <c r="G590">
        <v>2</v>
      </c>
      <c r="H590">
        <v>0</v>
      </c>
      <c r="I590">
        <v>0</v>
      </c>
      <c r="J590" s="8">
        <v>90.8</v>
      </c>
      <c r="K590" t="str">
        <f t="shared" si="18"/>
        <v>Отлично</v>
      </c>
      <c r="L590" t="str">
        <f t="shared" si="19"/>
        <v>Редко</v>
      </c>
    </row>
    <row r="591" spans="1:12" x14ac:dyDescent="0.2">
      <c r="A591" t="s">
        <v>116</v>
      </c>
      <c r="B591">
        <v>10</v>
      </c>
      <c r="C591">
        <v>0</v>
      </c>
      <c r="D591">
        <v>0</v>
      </c>
      <c r="E591">
        <v>3</v>
      </c>
      <c r="F591">
        <v>3</v>
      </c>
      <c r="G591">
        <v>1</v>
      </c>
      <c r="H591">
        <v>0</v>
      </c>
      <c r="I591">
        <v>0</v>
      </c>
      <c r="J591" s="8">
        <v>91</v>
      </c>
      <c r="K591" t="str">
        <f t="shared" si="18"/>
        <v>Отлично</v>
      </c>
      <c r="L591" t="str">
        <f t="shared" si="19"/>
        <v>Редко</v>
      </c>
    </row>
    <row r="592" spans="1:12" x14ac:dyDescent="0.2">
      <c r="A592" t="s">
        <v>117</v>
      </c>
      <c r="B592">
        <v>8</v>
      </c>
      <c r="C592">
        <v>4</v>
      </c>
      <c r="D592">
        <v>1</v>
      </c>
      <c r="E592">
        <v>2</v>
      </c>
      <c r="F592">
        <v>4</v>
      </c>
      <c r="G592">
        <v>3</v>
      </c>
      <c r="H592">
        <v>1</v>
      </c>
      <c r="I592">
        <v>2</v>
      </c>
      <c r="J592" s="8">
        <v>67</v>
      </c>
      <c r="K592" t="str">
        <f t="shared" si="18"/>
        <v>Хорошо</v>
      </c>
      <c r="L592" t="str">
        <f t="shared" si="19"/>
        <v>Часто</v>
      </c>
    </row>
    <row r="593" spans="1:12" x14ac:dyDescent="0.2">
      <c r="A593" t="s">
        <v>117</v>
      </c>
      <c r="B593">
        <v>2</v>
      </c>
      <c r="C593">
        <v>1</v>
      </c>
      <c r="D593">
        <v>1</v>
      </c>
      <c r="E593">
        <v>3</v>
      </c>
      <c r="F593">
        <v>3</v>
      </c>
      <c r="G593">
        <v>1</v>
      </c>
      <c r="H593">
        <v>2</v>
      </c>
      <c r="I593">
        <v>2</v>
      </c>
      <c r="J593" s="8">
        <v>91</v>
      </c>
      <c r="K593" t="str">
        <f t="shared" si="18"/>
        <v>Отлично</v>
      </c>
      <c r="L593" t="str">
        <f t="shared" si="19"/>
        <v>Редко</v>
      </c>
    </row>
    <row r="594" spans="1:12" x14ac:dyDescent="0.2">
      <c r="A594" t="s">
        <v>116</v>
      </c>
      <c r="B594">
        <v>4</v>
      </c>
      <c r="C594">
        <v>3</v>
      </c>
      <c r="D594">
        <v>1</v>
      </c>
      <c r="E594">
        <v>4</v>
      </c>
      <c r="F594">
        <v>5</v>
      </c>
      <c r="G594">
        <v>3</v>
      </c>
      <c r="H594">
        <v>1</v>
      </c>
      <c r="I594">
        <v>2</v>
      </c>
      <c r="J594" s="8">
        <v>68</v>
      </c>
      <c r="K594" t="str">
        <f t="shared" si="18"/>
        <v>Хорошо</v>
      </c>
      <c r="L594" t="str">
        <f t="shared" si="19"/>
        <v>Часто</v>
      </c>
    </row>
    <row r="595" spans="1:12" x14ac:dyDescent="0.2">
      <c r="A595" t="s">
        <v>116</v>
      </c>
      <c r="B595">
        <v>8</v>
      </c>
      <c r="C595">
        <v>0</v>
      </c>
      <c r="D595">
        <v>0</v>
      </c>
      <c r="E595">
        <v>2</v>
      </c>
      <c r="F595">
        <v>4</v>
      </c>
      <c r="G595">
        <v>1</v>
      </c>
      <c r="H595">
        <v>0</v>
      </c>
      <c r="I595">
        <v>0</v>
      </c>
      <c r="J595" s="8">
        <v>92</v>
      </c>
      <c r="K595" t="str">
        <f t="shared" si="18"/>
        <v>Отлично</v>
      </c>
      <c r="L595" t="str">
        <f t="shared" si="19"/>
        <v>Редко</v>
      </c>
    </row>
    <row r="596" spans="1:12" x14ac:dyDescent="0.2">
      <c r="A596" t="s">
        <v>116</v>
      </c>
      <c r="B596">
        <v>4</v>
      </c>
      <c r="C596">
        <v>0</v>
      </c>
      <c r="D596">
        <v>0</v>
      </c>
      <c r="E596">
        <v>4</v>
      </c>
      <c r="F596">
        <v>4</v>
      </c>
      <c r="G596">
        <v>2</v>
      </c>
      <c r="H596">
        <v>0</v>
      </c>
      <c r="I596">
        <v>0</v>
      </c>
      <c r="J596" s="8">
        <v>92</v>
      </c>
      <c r="K596" t="str">
        <f t="shared" si="18"/>
        <v>Отлично</v>
      </c>
      <c r="L596" t="str">
        <f t="shared" si="19"/>
        <v>Редко</v>
      </c>
    </row>
    <row r="597" spans="1:12" x14ac:dyDescent="0.2">
      <c r="A597" t="s">
        <v>117</v>
      </c>
      <c r="B597">
        <v>5</v>
      </c>
      <c r="C597">
        <v>1</v>
      </c>
      <c r="D597">
        <v>1</v>
      </c>
      <c r="E597">
        <v>3</v>
      </c>
      <c r="F597">
        <v>4</v>
      </c>
      <c r="G597">
        <v>2</v>
      </c>
      <c r="H597">
        <v>3</v>
      </c>
      <c r="I597">
        <v>4</v>
      </c>
      <c r="J597" s="8">
        <v>92</v>
      </c>
      <c r="K597" t="str">
        <f t="shared" si="18"/>
        <v>Отлично</v>
      </c>
      <c r="L597" t="str">
        <f t="shared" si="19"/>
        <v>Редко</v>
      </c>
    </row>
    <row r="598" spans="1:12" x14ac:dyDescent="0.2">
      <c r="A598" t="s">
        <v>117</v>
      </c>
      <c r="B598">
        <v>10</v>
      </c>
      <c r="C598">
        <v>2</v>
      </c>
      <c r="D598">
        <v>1</v>
      </c>
      <c r="E598">
        <v>2</v>
      </c>
      <c r="F598">
        <v>4</v>
      </c>
      <c r="G598">
        <v>2</v>
      </c>
      <c r="H598">
        <v>2</v>
      </c>
      <c r="I598">
        <v>2</v>
      </c>
      <c r="J598" s="8">
        <v>92</v>
      </c>
      <c r="K598" t="str">
        <f t="shared" si="18"/>
        <v>Отлично</v>
      </c>
      <c r="L598" t="str">
        <f t="shared" si="19"/>
        <v>Редко</v>
      </c>
    </row>
    <row r="599" spans="1:12" x14ac:dyDescent="0.2">
      <c r="A599" t="s">
        <v>116</v>
      </c>
      <c r="B599">
        <v>3</v>
      </c>
      <c r="C599">
        <v>3</v>
      </c>
      <c r="D599">
        <v>1</v>
      </c>
      <c r="E599">
        <v>2</v>
      </c>
      <c r="F599">
        <v>2</v>
      </c>
      <c r="G599">
        <v>3</v>
      </c>
      <c r="H599">
        <v>2</v>
      </c>
      <c r="I599">
        <v>3</v>
      </c>
      <c r="J599" s="8">
        <v>70</v>
      </c>
      <c r="K599" t="str">
        <f t="shared" si="18"/>
        <v>Хорошо</v>
      </c>
      <c r="L599" t="str">
        <f t="shared" si="19"/>
        <v>Часто</v>
      </c>
    </row>
    <row r="600" spans="1:12" x14ac:dyDescent="0.2">
      <c r="A600" t="s">
        <v>116</v>
      </c>
      <c r="B600">
        <v>4</v>
      </c>
      <c r="C600">
        <v>1</v>
      </c>
      <c r="D600">
        <v>1</v>
      </c>
      <c r="E600">
        <v>3</v>
      </c>
      <c r="F600">
        <v>6</v>
      </c>
      <c r="G600">
        <v>2</v>
      </c>
      <c r="H600">
        <v>1</v>
      </c>
      <c r="I600">
        <v>1</v>
      </c>
      <c r="J600" s="8">
        <v>92.5</v>
      </c>
      <c r="K600" t="str">
        <f t="shared" si="18"/>
        <v>Отлично</v>
      </c>
      <c r="L600" t="str">
        <f t="shared" si="19"/>
        <v>Редко</v>
      </c>
    </row>
    <row r="601" spans="1:12" x14ac:dyDescent="0.2">
      <c r="A601" t="s">
        <v>117</v>
      </c>
      <c r="B601">
        <v>1</v>
      </c>
      <c r="C601">
        <v>3</v>
      </c>
      <c r="D601">
        <v>1</v>
      </c>
      <c r="E601">
        <v>3</v>
      </c>
      <c r="F601">
        <v>4</v>
      </c>
      <c r="G601">
        <v>3</v>
      </c>
      <c r="H601">
        <v>1</v>
      </c>
      <c r="I601">
        <v>1</v>
      </c>
      <c r="J601" s="8">
        <v>70</v>
      </c>
      <c r="K601" t="str">
        <f t="shared" si="18"/>
        <v>Хорошо</v>
      </c>
      <c r="L601" t="str">
        <f t="shared" si="19"/>
        <v>Часто</v>
      </c>
    </row>
    <row r="602" spans="1:12" x14ac:dyDescent="0.2">
      <c r="A602" t="s">
        <v>117</v>
      </c>
      <c r="B602">
        <v>8</v>
      </c>
      <c r="C602">
        <v>1</v>
      </c>
      <c r="D602">
        <v>1</v>
      </c>
      <c r="E602">
        <v>4</v>
      </c>
      <c r="F602">
        <v>4</v>
      </c>
      <c r="G602">
        <v>2</v>
      </c>
      <c r="H602">
        <v>3</v>
      </c>
      <c r="I602">
        <v>3</v>
      </c>
      <c r="J602" s="8">
        <v>92.5</v>
      </c>
      <c r="K602" t="str">
        <f t="shared" si="18"/>
        <v>Отлично</v>
      </c>
      <c r="L602" t="str">
        <f t="shared" si="19"/>
        <v>Редко</v>
      </c>
    </row>
    <row r="603" spans="1:12" x14ac:dyDescent="0.2">
      <c r="A603" t="s">
        <v>117</v>
      </c>
      <c r="B603">
        <v>4</v>
      </c>
      <c r="C603">
        <v>2</v>
      </c>
      <c r="D603">
        <v>1</v>
      </c>
      <c r="E603">
        <v>3</v>
      </c>
      <c r="F603">
        <v>5</v>
      </c>
      <c r="G603">
        <v>3</v>
      </c>
      <c r="H603">
        <v>1</v>
      </c>
      <c r="I603">
        <v>3</v>
      </c>
      <c r="J603" s="8">
        <v>92.5</v>
      </c>
      <c r="K603" t="str">
        <f t="shared" si="18"/>
        <v>Отлично</v>
      </c>
      <c r="L603" t="str">
        <f t="shared" si="19"/>
        <v>Редко</v>
      </c>
    </row>
    <row r="604" spans="1:12" x14ac:dyDescent="0.2">
      <c r="A604" t="s">
        <v>117</v>
      </c>
      <c r="B604">
        <v>1</v>
      </c>
      <c r="C604">
        <v>3</v>
      </c>
      <c r="D604">
        <v>1</v>
      </c>
      <c r="E604">
        <v>5</v>
      </c>
      <c r="F604">
        <v>4</v>
      </c>
      <c r="G604">
        <v>3</v>
      </c>
      <c r="H604">
        <v>4</v>
      </c>
      <c r="I604">
        <v>3</v>
      </c>
      <c r="J604" s="8">
        <v>70</v>
      </c>
      <c r="K604" t="str">
        <f t="shared" si="18"/>
        <v>Хорошо</v>
      </c>
      <c r="L604" t="str">
        <f t="shared" si="19"/>
        <v>Часто</v>
      </c>
    </row>
    <row r="605" spans="1:12" x14ac:dyDescent="0.2">
      <c r="A605" t="s">
        <v>117</v>
      </c>
      <c r="B605">
        <v>3</v>
      </c>
      <c r="C605">
        <v>0</v>
      </c>
      <c r="D605">
        <v>0</v>
      </c>
      <c r="E605">
        <v>2</v>
      </c>
      <c r="F605">
        <v>2</v>
      </c>
      <c r="G605">
        <v>1</v>
      </c>
      <c r="H605">
        <v>0</v>
      </c>
      <c r="I605">
        <v>0</v>
      </c>
      <c r="J605" s="8">
        <v>92.6</v>
      </c>
      <c r="K605" t="str">
        <f t="shared" si="18"/>
        <v>Отлично</v>
      </c>
      <c r="L605" t="str">
        <f t="shared" si="19"/>
        <v>Редко</v>
      </c>
    </row>
    <row r="606" spans="1:12" x14ac:dyDescent="0.2">
      <c r="A606" t="s">
        <v>117</v>
      </c>
      <c r="B606">
        <v>10</v>
      </c>
      <c r="C606">
        <v>4</v>
      </c>
      <c r="D606">
        <v>1</v>
      </c>
      <c r="E606">
        <v>3</v>
      </c>
      <c r="F606">
        <v>3</v>
      </c>
      <c r="G606">
        <v>3</v>
      </c>
      <c r="H606">
        <v>3</v>
      </c>
      <c r="I606">
        <v>1</v>
      </c>
      <c r="J606" s="8">
        <v>70</v>
      </c>
      <c r="K606" t="str">
        <f t="shared" si="18"/>
        <v>Хорошо</v>
      </c>
      <c r="L606" t="str">
        <f t="shared" si="19"/>
        <v>Часто</v>
      </c>
    </row>
    <row r="607" spans="1:12" x14ac:dyDescent="0.2">
      <c r="A607" t="s">
        <v>117</v>
      </c>
      <c r="B607">
        <v>1</v>
      </c>
      <c r="C607">
        <v>5</v>
      </c>
      <c r="D607">
        <v>1</v>
      </c>
      <c r="E607">
        <v>1</v>
      </c>
      <c r="F607">
        <v>4</v>
      </c>
      <c r="G607">
        <v>3</v>
      </c>
      <c r="H607">
        <v>1</v>
      </c>
      <c r="I607">
        <v>1</v>
      </c>
      <c r="J607" s="8">
        <v>70</v>
      </c>
      <c r="K607" t="str">
        <f t="shared" si="18"/>
        <v>Хорошо</v>
      </c>
      <c r="L607" t="str">
        <f t="shared" si="19"/>
        <v>Часто</v>
      </c>
    </row>
    <row r="608" spans="1:12" x14ac:dyDescent="0.2">
      <c r="A608" t="s">
        <v>117</v>
      </c>
      <c r="B608">
        <v>2</v>
      </c>
      <c r="C608">
        <v>5</v>
      </c>
      <c r="D608">
        <v>1</v>
      </c>
      <c r="E608">
        <v>2</v>
      </c>
      <c r="F608">
        <v>4</v>
      </c>
      <c r="G608">
        <v>3</v>
      </c>
      <c r="H608">
        <v>4</v>
      </c>
      <c r="I608">
        <v>5</v>
      </c>
      <c r="J608" s="8">
        <v>70</v>
      </c>
      <c r="K608" t="str">
        <f t="shared" si="18"/>
        <v>Хорошо</v>
      </c>
      <c r="L608" t="str">
        <f t="shared" si="19"/>
        <v>Часто</v>
      </c>
    </row>
    <row r="609" spans="1:12" x14ac:dyDescent="0.2">
      <c r="A609" t="s">
        <v>117</v>
      </c>
      <c r="B609">
        <v>4</v>
      </c>
      <c r="C609">
        <v>5</v>
      </c>
      <c r="D609">
        <v>1</v>
      </c>
      <c r="E609">
        <v>4</v>
      </c>
      <c r="F609">
        <v>6</v>
      </c>
      <c r="G609">
        <v>3</v>
      </c>
      <c r="H609">
        <v>4</v>
      </c>
      <c r="I609">
        <v>3</v>
      </c>
      <c r="J609" s="8">
        <v>70</v>
      </c>
      <c r="K609" t="str">
        <f t="shared" si="18"/>
        <v>Хорошо</v>
      </c>
      <c r="L609" t="str">
        <f t="shared" si="19"/>
        <v>Часто</v>
      </c>
    </row>
    <row r="610" spans="1:12" x14ac:dyDescent="0.2">
      <c r="A610" t="s">
        <v>116</v>
      </c>
      <c r="B610">
        <v>2</v>
      </c>
      <c r="C610">
        <v>4</v>
      </c>
      <c r="D610">
        <v>1</v>
      </c>
      <c r="E610">
        <v>2</v>
      </c>
      <c r="F610">
        <v>3</v>
      </c>
      <c r="G610">
        <v>3</v>
      </c>
      <c r="H610">
        <v>4</v>
      </c>
      <c r="I610">
        <v>2</v>
      </c>
      <c r="J610" s="8">
        <v>71</v>
      </c>
      <c r="K610" t="str">
        <f t="shared" si="18"/>
        <v>Хорошо</v>
      </c>
      <c r="L610" t="str">
        <f t="shared" si="19"/>
        <v>Часто</v>
      </c>
    </row>
    <row r="611" spans="1:12" x14ac:dyDescent="0.2">
      <c r="A611" t="s">
        <v>117</v>
      </c>
      <c r="B611">
        <v>4</v>
      </c>
      <c r="C611">
        <v>3</v>
      </c>
      <c r="D611">
        <v>1</v>
      </c>
      <c r="E611">
        <v>4</v>
      </c>
      <c r="F611">
        <v>4</v>
      </c>
      <c r="G611">
        <v>3</v>
      </c>
      <c r="H611">
        <v>2</v>
      </c>
      <c r="I611">
        <v>2</v>
      </c>
      <c r="J611" s="8">
        <v>71</v>
      </c>
      <c r="K611" t="str">
        <f t="shared" si="18"/>
        <v>Хорошо</v>
      </c>
      <c r="L611" t="str">
        <f t="shared" si="19"/>
        <v>Часто</v>
      </c>
    </row>
    <row r="612" spans="1:12" x14ac:dyDescent="0.2">
      <c r="A612" t="s">
        <v>116</v>
      </c>
      <c r="B612">
        <v>2</v>
      </c>
      <c r="C612">
        <v>0</v>
      </c>
      <c r="D612">
        <v>0</v>
      </c>
      <c r="E612">
        <v>3</v>
      </c>
      <c r="F612">
        <v>5</v>
      </c>
      <c r="G612">
        <v>1</v>
      </c>
      <c r="H612">
        <v>0</v>
      </c>
      <c r="I612">
        <v>0</v>
      </c>
      <c r="J612" s="8">
        <v>94</v>
      </c>
      <c r="K612" t="str">
        <f t="shared" si="18"/>
        <v>Отлично</v>
      </c>
      <c r="L612" t="str">
        <f t="shared" si="19"/>
        <v>Редко</v>
      </c>
    </row>
    <row r="613" spans="1:12" x14ac:dyDescent="0.2">
      <c r="A613" t="s">
        <v>116</v>
      </c>
      <c r="B613">
        <v>2</v>
      </c>
      <c r="C613">
        <v>0</v>
      </c>
      <c r="D613">
        <v>0</v>
      </c>
      <c r="E613">
        <v>3</v>
      </c>
      <c r="F613">
        <v>3</v>
      </c>
      <c r="G613">
        <v>2</v>
      </c>
      <c r="H613">
        <v>0</v>
      </c>
      <c r="I613">
        <v>0</v>
      </c>
      <c r="J613" s="8">
        <v>94</v>
      </c>
      <c r="K613" t="str">
        <f t="shared" si="18"/>
        <v>Отлично</v>
      </c>
      <c r="L613" t="str">
        <f t="shared" si="19"/>
        <v>Редко</v>
      </c>
    </row>
    <row r="614" spans="1:12" x14ac:dyDescent="0.2">
      <c r="A614" t="s">
        <v>116</v>
      </c>
      <c r="B614">
        <v>3</v>
      </c>
      <c r="C614">
        <v>5</v>
      </c>
      <c r="D614">
        <v>1</v>
      </c>
      <c r="E614">
        <v>4</v>
      </c>
      <c r="F614">
        <v>4</v>
      </c>
      <c r="G614">
        <v>3</v>
      </c>
      <c r="H614">
        <v>1</v>
      </c>
      <c r="I614">
        <v>2</v>
      </c>
      <c r="J614" s="8">
        <v>74</v>
      </c>
      <c r="K614" t="str">
        <f t="shared" si="18"/>
        <v>Хорошо</v>
      </c>
      <c r="L614" t="str">
        <f t="shared" si="19"/>
        <v>Часто</v>
      </c>
    </row>
    <row r="615" spans="1:12" x14ac:dyDescent="0.2">
      <c r="A615" t="s">
        <v>117</v>
      </c>
      <c r="B615">
        <v>8</v>
      </c>
      <c r="C615">
        <v>0</v>
      </c>
      <c r="D615">
        <v>0</v>
      </c>
      <c r="E615">
        <v>4</v>
      </c>
      <c r="F615">
        <v>3</v>
      </c>
      <c r="G615">
        <v>3</v>
      </c>
      <c r="H615">
        <v>0</v>
      </c>
      <c r="I615">
        <v>0</v>
      </c>
      <c r="J615" s="8">
        <v>94.5</v>
      </c>
      <c r="K615" t="str">
        <f t="shared" si="18"/>
        <v>Отлично</v>
      </c>
      <c r="L615" t="str">
        <f t="shared" si="19"/>
        <v>Редко</v>
      </c>
    </row>
    <row r="616" spans="1:12" x14ac:dyDescent="0.2">
      <c r="A616" t="s">
        <v>116</v>
      </c>
      <c r="B616">
        <v>8</v>
      </c>
      <c r="C616">
        <v>0</v>
      </c>
      <c r="D616">
        <v>0</v>
      </c>
      <c r="E616">
        <v>2</v>
      </c>
      <c r="F616">
        <v>2</v>
      </c>
      <c r="G616">
        <v>2</v>
      </c>
      <c r="H616">
        <v>0</v>
      </c>
      <c r="I616">
        <v>0</v>
      </c>
      <c r="J616" s="8">
        <v>95</v>
      </c>
      <c r="K616" t="str">
        <f t="shared" si="18"/>
        <v>Отлично</v>
      </c>
      <c r="L616" t="str">
        <f t="shared" si="19"/>
        <v>Редко</v>
      </c>
    </row>
    <row r="617" spans="1:12" x14ac:dyDescent="0.2">
      <c r="A617" t="s">
        <v>116</v>
      </c>
      <c r="B617">
        <v>8</v>
      </c>
      <c r="C617">
        <v>0</v>
      </c>
      <c r="D617">
        <v>0</v>
      </c>
      <c r="E617">
        <v>2</v>
      </c>
      <c r="F617">
        <v>3</v>
      </c>
      <c r="G617">
        <v>2</v>
      </c>
      <c r="H617">
        <v>0</v>
      </c>
      <c r="I617">
        <v>0</v>
      </c>
      <c r="J617" s="8">
        <v>95</v>
      </c>
      <c r="K617" t="str">
        <f t="shared" si="18"/>
        <v>Отлично</v>
      </c>
      <c r="L617" t="str">
        <f t="shared" si="19"/>
        <v>Редко</v>
      </c>
    </row>
    <row r="618" spans="1:12" x14ac:dyDescent="0.2">
      <c r="A618" t="s">
        <v>116</v>
      </c>
      <c r="B618">
        <v>1</v>
      </c>
      <c r="C618">
        <v>0</v>
      </c>
      <c r="D618">
        <v>0</v>
      </c>
      <c r="E618">
        <v>2</v>
      </c>
      <c r="F618">
        <v>3</v>
      </c>
      <c r="G618">
        <v>3</v>
      </c>
      <c r="H618">
        <v>0</v>
      </c>
      <c r="I618">
        <v>0</v>
      </c>
      <c r="J618" s="8">
        <v>95</v>
      </c>
      <c r="K618" t="str">
        <f t="shared" si="18"/>
        <v>Отлично</v>
      </c>
      <c r="L618" t="str">
        <f t="shared" si="19"/>
        <v>Редко</v>
      </c>
    </row>
    <row r="619" spans="1:12" x14ac:dyDescent="0.2">
      <c r="A619" t="s">
        <v>116</v>
      </c>
      <c r="B619">
        <v>8</v>
      </c>
      <c r="C619">
        <v>0</v>
      </c>
      <c r="D619">
        <v>0</v>
      </c>
      <c r="E619">
        <v>3</v>
      </c>
      <c r="F619">
        <v>3</v>
      </c>
      <c r="G619">
        <v>2</v>
      </c>
      <c r="H619">
        <v>0</v>
      </c>
      <c r="I619">
        <v>0</v>
      </c>
      <c r="J619" s="8">
        <v>95</v>
      </c>
      <c r="K619" t="str">
        <f t="shared" si="18"/>
        <v>Отлично</v>
      </c>
      <c r="L619" t="str">
        <f t="shared" si="19"/>
        <v>Редко</v>
      </c>
    </row>
    <row r="620" spans="1:12" x14ac:dyDescent="0.2">
      <c r="A620" t="s">
        <v>116</v>
      </c>
      <c r="B620">
        <v>7</v>
      </c>
      <c r="C620">
        <v>0</v>
      </c>
      <c r="D620">
        <v>0</v>
      </c>
      <c r="E620">
        <v>4</v>
      </c>
      <c r="F620">
        <v>4</v>
      </c>
      <c r="G620">
        <v>0</v>
      </c>
      <c r="H620">
        <v>0</v>
      </c>
      <c r="I620">
        <v>0</v>
      </c>
      <c r="J620" s="8">
        <v>95</v>
      </c>
      <c r="K620" t="str">
        <f t="shared" si="18"/>
        <v>Отлично</v>
      </c>
      <c r="L620" t="str">
        <f t="shared" si="19"/>
        <v>Редко</v>
      </c>
    </row>
    <row r="621" spans="1:12" x14ac:dyDescent="0.2">
      <c r="A621" t="s">
        <v>116</v>
      </c>
      <c r="B621">
        <v>8</v>
      </c>
      <c r="C621">
        <v>0</v>
      </c>
      <c r="D621">
        <v>0</v>
      </c>
      <c r="E621">
        <v>4</v>
      </c>
      <c r="F621">
        <v>3</v>
      </c>
      <c r="G621">
        <v>1</v>
      </c>
      <c r="H621">
        <v>0</v>
      </c>
      <c r="I621">
        <v>0</v>
      </c>
      <c r="J621" s="8">
        <v>95</v>
      </c>
      <c r="K621" t="str">
        <f t="shared" si="18"/>
        <v>Отлично</v>
      </c>
      <c r="L621" t="str">
        <f t="shared" si="19"/>
        <v>Редко</v>
      </c>
    </row>
    <row r="622" spans="1:12" x14ac:dyDescent="0.2">
      <c r="A622" t="s">
        <v>116</v>
      </c>
      <c r="B622">
        <v>1</v>
      </c>
      <c r="C622">
        <v>0</v>
      </c>
      <c r="D622">
        <v>0</v>
      </c>
      <c r="E622">
        <v>6</v>
      </c>
      <c r="F622">
        <v>6</v>
      </c>
      <c r="G622">
        <v>3</v>
      </c>
      <c r="H622">
        <v>0</v>
      </c>
      <c r="I622">
        <v>0</v>
      </c>
      <c r="J622" s="8">
        <v>95</v>
      </c>
      <c r="K622" t="str">
        <f t="shared" si="18"/>
        <v>Отлично</v>
      </c>
      <c r="L622" t="str">
        <f t="shared" si="19"/>
        <v>Редко</v>
      </c>
    </row>
    <row r="623" spans="1:12" x14ac:dyDescent="0.2">
      <c r="A623" t="s">
        <v>116</v>
      </c>
      <c r="B623">
        <v>7</v>
      </c>
      <c r="C623">
        <v>2</v>
      </c>
      <c r="D623">
        <v>1</v>
      </c>
      <c r="E623">
        <v>4</v>
      </c>
      <c r="F623">
        <v>4</v>
      </c>
      <c r="G623">
        <v>0</v>
      </c>
      <c r="H623">
        <v>1</v>
      </c>
      <c r="I623">
        <v>2</v>
      </c>
      <c r="J623" s="8">
        <v>95</v>
      </c>
      <c r="K623" t="str">
        <f t="shared" si="18"/>
        <v>Отлично</v>
      </c>
      <c r="L623" t="str">
        <f t="shared" si="19"/>
        <v>Редко</v>
      </c>
    </row>
    <row r="624" spans="1:12" x14ac:dyDescent="0.2">
      <c r="A624" t="s">
        <v>116</v>
      </c>
      <c r="B624">
        <v>1</v>
      </c>
      <c r="C624">
        <v>2</v>
      </c>
      <c r="D624">
        <v>1</v>
      </c>
      <c r="E624">
        <v>4</v>
      </c>
      <c r="F624">
        <v>4</v>
      </c>
      <c r="G624">
        <v>4</v>
      </c>
      <c r="H624">
        <v>2</v>
      </c>
      <c r="I624">
        <v>2</v>
      </c>
      <c r="J624" s="8">
        <v>95</v>
      </c>
      <c r="K624" t="str">
        <f t="shared" si="18"/>
        <v>Отлично</v>
      </c>
      <c r="L624" t="str">
        <f t="shared" si="19"/>
        <v>Редко</v>
      </c>
    </row>
    <row r="625" spans="1:12" x14ac:dyDescent="0.2">
      <c r="A625" t="s">
        <v>116</v>
      </c>
      <c r="B625">
        <v>4</v>
      </c>
      <c r="C625">
        <v>3</v>
      </c>
      <c r="D625">
        <v>1</v>
      </c>
      <c r="E625">
        <v>5</v>
      </c>
      <c r="F625">
        <v>4</v>
      </c>
      <c r="G625">
        <v>3</v>
      </c>
      <c r="H625">
        <v>2</v>
      </c>
      <c r="I625">
        <v>1</v>
      </c>
      <c r="J625" s="8">
        <v>75</v>
      </c>
      <c r="K625" t="str">
        <f t="shared" si="18"/>
        <v>Хорошо</v>
      </c>
      <c r="L625" t="str">
        <f t="shared" si="19"/>
        <v>Часто</v>
      </c>
    </row>
    <row r="626" spans="1:12" x14ac:dyDescent="0.2">
      <c r="A626" t="s">
        <v>116</v>
      </c>
      <c r="B626">
        <v>2</v>
      </c>
      <c r="C626">
        <v>5</v>
      </c>
      <c r="D626">
        <v>1</v>
      </c>
      <c r="E626">
        <v>2</v>
      </c>
      <c r="F626">
        <v>3</v>
      </c>
      <c r="G626">
        <v>3</v>
      </c>
      <c r="H626">
        <v>1</v>
      </c>
      <c r="I626">
        <v>1</v>
      </c>
      <c r="J626" s="8">
        <v>75</v>
      </c>
      <c r="K626" t="str">
        <f t="shared" si="18"/>
        <v>Хорошо</v>
      </c>
      <c r="L626" t="str">
        <f t="shared" si="19"/>
        <v>Часто</v>
      </c>
    </row>
    <row r="627" spans="1:12" x14ac:dyDescent="0.2">
      <c r="A627" t="s">
        <v>116</v>
      </c>
      <c r="B627">
        <v>2</v>
      </c>
      <c r="C627">
        <v>5</v>
      </c>
      <c r="D627">
        <v>1</v>
      </c>
      <c r="E627">
        <v>4</v>
      </c>
      <c r="F627">
        <v>5</v>
      </c>
      <c r="G627">
        <v>3</v>
      </c>
      <c r="H627">
        <v>1</v>
      </c>
      <c r="I627">
        <v>1</v>
      </c>
      <c r="J627" s="8">
        <v>75</v>
      </c>
      <c r="K627" t="str">
        <f t="shared" si="18"/>
        <v>Хорошо</v>
      </c>
      <c r="L627" t="str">
        <f t="shared" si="19"/>
        <v>Часто</v>
      </c>
    </row>
    <row r="628" spans="1:12" x14ac:dyDescent="0.2">
      <c r="A628" t="s">
        <v>116</v>
      </c>
      <c r="B628">
        <v>4</v>
      </c>
      <c r="C628">
        <v>5</v>
      </c>
      <c r="D628">
        <v>1</v>
      </c>
      <c r="E628">
        <v>5</v>
      </c>
      <c r="F628">
        <v>4</v>
      </c>
      <c r="G628">
        <v>3</v>
      </c>
      <c r="H628">
        <v>1</v>
      </c>
      <c r="I628">
        <v>1</v>
      </c>
      <c r="J628" s="8">
        <v>75</v>
      </c>
      <c r="K628" t="str">
        <f t="shared" si="18"/>
        <v>Хорошо</v>
      </c>
      <c r="L628" t="str">
        <f t="shared" si="19"/>
        <v>Часто</v>
      </c>
    </row>
    <row r="629" spans="1:12" x14ac:dyDescent="0.2">
      <c r="A629" t="s">
        <v>117</v>
      </c>
      <c r="B629">
        <v>1</v>
      </c>
      <c r="C629">
        <v>3</v>
      </c>
      <c r="D629">
        <v>1</v>
      </c>
      <c r="E629">
        <v>6</v>
      </c>
      <c r="F629">
        <v>6</v>
      </c>
      <c r="G629">
        <v>3</v>
      </c>
      <c r="H629">
        <v>1</v>
      </c>
      <c r="I629">
        <v>3</v>
      </c>
      <c r="J629" s="8">
        <v>75</v>
      </c>
      <c r="K629" t="str">
        <f t="shared" si="18"/>
        <v>Хорошо</v>
      </c>
      <c r="L629" t="str">
        <f t="shared" si="19"/>
        <v>Часто</v>
      </c>
    </row>
    <row r="630" spans="1:12" x14ac:dyDescent="0.2">
      <c r="A630" t="s">
        <v>117</v>
      </c>
      <c r="B630">
        <v>7</v>
      </c>
      <c r="C630">
        <v>0</v>
      </c>
      <c r="D630">
        <v>0</v>
      </c>
      <c r="E630">
        <v>3</v>
      </c>
      <c r="F630">
        <v>4</v>
      </c>
      <c r="G630">
        <v>0</v>
      </c>
      <c r="H630">
        <v>0</v>
      </c>
      <c r="I630">
        <v>0</v>
      </c>
      <c r="J630" s="8">
        <v>95</v>
      </c>
      <c r="K630" t="str">
        <f t="shared" si="18"/>
        <v>Отлично</v>
      </c>
      <c r="L630" t="str">
        <f t="shared" si="19"/>
        <v>Редко</v>
      </c>
    </row>
    <row r="631" spans="1:12" x14ac:dyDescent="0.2">
      <c r="A631" t="s">
        <v>117</v>
      </c>
      <c r="B631">
        <v>8</v>
      </c>
      <c r="C631">
        <v>0</v>
      </c>
      <c r="D631">
        <v>0</v>
      </c>
      <c r="E631">
        <v>3</v>
      </c>
      <c r="F631">
        <v>5</v>
      </c>
      <c r="G631">
        <v>2</v>
      </c>
      <c r="H631">
        <v>0</v>
      </c>
      <c r="I631">
        <v>0</v>
      </c>
      <c r="J631" s="8">
        <v>95</v>
      </c>
      <c r="K631" t="str">
        <f t="shared" si="18"/>
        <v>Отлично</v>
      </c>
      <c r="L631" t="str">
        <f t="shared" si="19"/>
        <v>Редко</v>
      </c>
    </row>
    <row r="632" spans="1:12" x14ac:dyDescent="0.2">
      <c r="A632" t="s">
        <v>117</v>
      </c>
      <c r="B632">
        <v>1</v>
      </c>
      <c r="C632">
        <v>1</v>
      </c>
      <c r="D632">
        <v>1</v>
      </c>
      <c r="E632">
        <v>2</v>
      </c>
      <c r="F632">
        <v>2</v>
      </c>
      <c r="G632">
        <v>2</v>
      </c>
      <c r="H632">
        <v>4</v>
      </c>
      <c r="I632">
        <v>2</v>
      </c>
      <c r="J632" s="8">
        <v>95</v>
      </c>
      <c r="K632" t="str">
        <f t="shared" si="18"/>
        <v>Отлично</v>
      </c>
      <c r="L632" t="str">
        <f t="shared" si="19"/>
        <v>Редко</v>
      </c>
    </row>
    <row r="633" spans="1:12" x14ac:dyDescent="0.2">
      <c r="A633" t="s">
        <v>117</v>
      </c>
      <c r="B633">
        <v>4</v>
      </c>
      <c r="C633">
        <v>1</v>
      </c>
      <c r="D633">
        <v>1</v>
      </c>
      <c r="E633">
        <v>3</v>
      </c>
      <c r="F633">
        <v>5</v>
      </c>
      <c r="G633">
        <v>3</v>
      </c>
      <c r="H633">
        <v>3</v>
      </c>
      <c r="I633">
        <v>2</v>
      </c>
      <c r="J633" s="8">
        <v>95</v>
      </c>
      <c r="K633" t="str">
        <f t="shared" si="18"/>
        <v>Отлично</v>
      </c>
      <c r="L633" t="str">
        <f t="shared" si="19"/>
        <v>Редко</v>
      </c>
    </row>
    <row r="634" spans="1:12" x14ac:dyDescent="0.2">
      <c r="A634" t="s">
        <v>117</v>
      </c>
      <c r="B634">
        <v>8</v>
      </c>
      <c r="C634">
        <v>2</v>
      </c>
      <c r="D634">
        <v>1</v>
      </c>
      <c r="E634">
        <v>4</v>
      </c>
      <c r="F634">
        <v>4</v>
      </c>
      <c r="G634">
        <v>2</v>
      </c>
      <c r="H634">
        <v>4</v>
      </c>
      <c r="I634">
        <v>4</v>
      </c>
      <c r="J634" s="8">
        <v>95</v>
      </c>
      <c r="K634" t="str">
        <f t="shared" si="18"/>
        <v>Отлично</v>
      </c>
      <c r="L634" t="str">
        <f t="shared" si="19"/>
        <v>Редко</v>
      </c>
    </row>
    <row r="635" spans="1:12" x14ac:dyDescent="0.2">
      <c r="A635" t="s">
        <v>117</v>
      </c>
      <c r="B635">
        <v>4</v>
      </c>
      <c r="C635">
        <v>4</v>
      </c>
      <c r="D635">
        <v>1</v>
      </c>
      <c r="E635">
        <v>4</v>
      </c>
      <c r="F635">
        <v>5</v>
      </c>
      <c r="G635">
        <v>3</v>
      </c>
      <c r="H635">
        <v>3</v>
      </c>
      <c r="I635">
        <v>2</v>
      </c>
      <c r="J635" s="8">
        <v>75</v>
      </c>
      <c r="K635" t="str">
        <f t="shared" si="18"/>
        <v>Хорошо</v>
      </c>
      <c r="L635" t="str">
        <f t="shared" si="19"/>
        <v>Часто</v>
      </c>
    </row>
    <row r="636" spans="1:12" x14ac:dyDescent="0.2">
      <c r="A636" t="s">
        <v>117</v>
      </c>
      <c r="B636">
        <v>10</v>
      </c>
      <c r="C636">
        <v>3</v>
      </c>
      <c r="D636">
        <v>1</v>
      </c>
      <c r="E636">
        <v>5</v>
      </c>
      <c r="F636">
        <v>5</v>
      </c>
      <c r="G636">
        <v>3</v>
      </c>
      <c r="H636">
        <v>4</v>
      </c>
      <c r="I636">
        <v>2</v>
      </c>
      <c r="J636" s="8">
        <v>76</v>
      </c>
      <c r="K636" t="str">
        <f t="shared" si="18"/>
        <v>Хорошо</v>
      </c>
      <c r="L636" t="str">
        <f t="shared" si="19"/>
        <v>Часто</v>
      </c>
    </row>
    <row r="637" spans="1:12" x14ac:dyDescent="0.2">
      <c r="A637" t="s">
        <v>117</v>
      </c>
      <c r="B637">
        <v>4</v>
      </c>
      <c r="C637">
        <v>5</v>
      </c>
      <c r="D637">
        <v>1</v>
      </c>
      <c r="E637">
        <v>5</v>
      </c>
      <c r="F637">
        <v>6</v>
      </c>
      <c r="G637">
        <v>3</v>
      </c>
      <c r="H637">
        <v>1</v>
      </c>
      <c r="I637">
        <v>2</v>
      </c>
      <c r="J637" s="8">
        <v>79</v>
      </c>
      <c r="K637" t="str">
        <f t="shared" si="18"/>
        <v>Хорошо</v>
      </c>
      <c r="L637" t="str">
        <f t="shared" si="19"/>
        <v>Часто</v>
      </c>
    </row>
    <row r="638" spans="1:12" x14ac:dyDescent="0.2">
      <c r="A638" t="s">
        <v>116</v>
      </c>
      <c r="B638">
        <v>2</v>
      </c>
      <c r="C638">
        <v>4</v>
      </c>
      <c r="D638">
        <v>1</v>
      </c>
      <c r="E638">
        <v>5</v>
      </c>
      <c r="F638">
        <v>4</v>
      </c>
      <c r="G638">
        <v>3</v>
      </c>
      <c r="H638">
        <v>4</v>
      </c>
      <c r="I638">
        <v>2</v>
      </c>
      <c r="J638" s="8">
        <v>80</v>
      </c>
      <c r="K638" t="str">
        <f t="shared" si="18"/>
        <v>Хорошо</v>
      </c>
      <c r="L638" t="str">
        <f t="shared" si="19"/>
        <v>Часто</v>
      </c>
    </row>
    <row r="639" spans="1:12" x14ac:dyDescent="0.2">
      <c r="A639" t="s">
        <v>116</v>
      </c>
      <c r="B639">
        <v>2</v>
      </c>
      <c r="C639">
        <v>2</v>
      </c>
      <c r="D639">
        <v>1</v>
      </c>
      <c r="E639">
        <v>2</v>
      </c>
      <c r="F639">
        <v>2</v>
      </c>
      <c r="G639">
        <v>2</v>
      </c>
      <c r="H639">
        <v>1</v>
      </c>
      <c r="I639">
        <v>2</v>
      </c>
      <c r="J639" s="8">
        <v>95.24</v>
      </c>
      <c r="K639" t="str">
        <f t="shared" si="18"/>
        <v>Отлично</v>
      </c>
      <c r="L639" t="str">
        <f t="shared" si="19"/>
        <v>Редко</v>
      </c>
    </row>
    <row r="640" spans="1:12" x14ac:dyDescent="0.2">
      <c r="A640" t="s">
        <v>116</v>
      </c>
      <c r="B640">
        <v>10</v>
      </c>
      <c r="C640">
        <v>0</v>
      </c>
      <c r="D640">
        <v>0</v>
      </c>
      <c r="E640">
        <v>4</v>
      </c>
      <c r="F640">
        <v>4</v>
      </c>
      <c r="G640">
        <v>1</v>
      </c>
      <c r="H640">
        <v>0</v>
      </c>
      <c r="I640">
        <v>0</v>
      </c>
      <c r="J640" s="8">
        <v>95.33</v>
      </c>
      <c r="K640" t="str">
        <f t="shared" si="18"/>
        <v>Отлично</v>
      </c>
      <c r="L640" t="str">
        <f t="shared" si="19"/>
        <v>Редко</v>
      </c>
    </row>
    <row r="641" spans="1:12" x14ac:dyDescent="0.2">
      <c r="A641" t="s">
        <v>117</v>
      </c>
      <c r="B641">
        <v>8</v>
      </c>
      <c r="C641">
        <v>5</v>
      </c>
      <c r="D641">
        <v>1</v>
      </c>
      <c r="E641">
        <v>4</v>
      </c>
      <c r="F641">
        <v>4</v>
      </c>
      <c r="G641">
        <v>3</v>
      </c>
      <c r="H641">
        <v>2</v>
      </c>
      <c r="I641">
        <v>1</v>
      </c>
      <c r="J641" s="8">
        <v>80</v>
      </c>
      <c r="K641" t="str">
        <f t="shared" si="18"/>
        <v>Хорошо</v>
      </c>
      <c r="L641" t="str">
        <f t="shared" si="19"/>
        <v>Часто</v>
      </c>
    </row>
    <row r="642" spans="1:12" x14ac:dyDescent="0.2">
      <c r="A642" t="s">
        <v>116</v>
      </c>
      <c r="B642">
        <v>8</v>
      </c>
      <c r="C642">
        <v>0</v>
      </c>
      <c r="D642">
        <v>0</v>
      </c>
      <c r="E642">
        <v>4</v>
      </c>
      <c r="F642">
        <v>4</v>
      </c>
      <c r="G642">
        <v>1</v>
      </c>
      <c r="H642">
        <v>0</v>
      </c>
      <c r="I642">
        <v>0</v>
      </c>
      <c r="J642" s="8">
        <v>96</v>
      </c>
      <c r="K642" t="str">
        <f t="shared" si="18"/>
        <v>Отлично</v>
      </c>
      <c r="L642" t="str">
        <f t="shared" si="19"/>
        <v>Редко</v>
      </c>
    </row>
    <row r="643" spans="1:12" x14ac:dyDescent="0.2">
      <c r="A643" t="s">
        <v>117</v>
      </c>
      <c r="B643">
        <v>4</v>
      </c>
      <c r="C643">
        <v>5</v>
      </c>
      <c r="D643">
        <v>1</v>
      </c>
      <c r="E643">
        <v>4</v>
      </c>
      <c r="F643">
        <v>6</v>
      </c>
      <c r="G643">
        <v>3</v>
      </c>
      <c r="H643">
        <v>3</v>
      </c>
      <c r="I643">
        <v>2</v>
      </c>
      <c r="J643" s="8">
        <v>80.5</v>
      </c>
      <c r="K643" t="str">
        <f t="shared" ref="K643:K706" si="20">IF(J643&gt;20,IF(J643&gt;40,IF(J643&gt;60,IF(J643&gt;80,"Отлично","Хорошо"),"Средне"),"Плохо"),"Ужасно")</f>
        <v>Отлично</v>
      </c>
      <c r="L643" t="str">
        <f t="shared" ref="L643:L706" si="21">IF(C643&gt;2,"Часто","Редко")</f>
        <v>Часто</v>
      </c>
    </row>
    <row r="644" spans="1:12" x14ac:dyDescent="0.2">
      <c r="A644" t="s">
        <v>116</v>
      </c>
      <c r="B644">
        <v>5</v>
      </c>
      <c r="C644">
        <v>2</v>
      </c>
      <c r="D644">
        <v>1</v>
      </c>
      <c r="E644">
        <v>4</v>
      </c>
      <c r="F644">
        <v>4</v>
      </c>
      <c r="G644">
        <v>3</v>
      </c>
      <c r="H644">
        <v>1</v>
      </c>
      <c r="I644">
        <v>1</v>
      </c>
      <c r="J644" s="8">
        <v>96.5</v>
      </c>
      <c r="K644" t="str">
        <f t="shared" si="20"/>
        <v>Отлично</v>
      </c>
      <c r="L644" t="str">
        <f t="shared" si="21"/>
        <v>Редко</v>
      </c>
    </row>
    <row r="645" spans="1:12" x14ac:dyDescent="0.2">
      <c r="A645" t="s">
        <v>116</v>
      </c>
      <c r="B645">
        <v>5</v>
      </c>
      <c r="C645">
        <v>3</v>
      </c>
      <c r="D645">
        <v>1</v>
      </c>
      <c r="E645">
        <v>4</v>
      </c>
      <c r="F645">
        <v>4</v>
      </c>
      <c r="G645">
        <v>3</v>
      </c>
      <c r="H645">
        <v>3</v>
      </c>
      <c r="I645">
        <v>1</v>
      </c>
      <c r="J645" s="8">
        <v>85</v>
      </c>
      <c r="K645" t="str">
        <f t="shared" si="20"/>
        <v>Отлично</v>
      </c>
      <c r="L645" t="str">
        <f t="shared" si="21"/>
        <v>Часто</v>
      </c>
    </row>
    <row r="646" spans="1:12" x14ac:dyDescent="0.2">
      <c r="A646" t="s">
        <v>116</v>
      </c>
      <c r="B646">
        <v>7</v>
      </c>
      <c r="C646">
        <v>0</v>
      </c>
      <c r="D646">
        <v>0</v>
      </c>
      <c r="E646">
        <v>3</v>
      </c>
      <c r="F646">
        <v>5</v>
      </c>
      <c r="G646">
        <v>0</v>
      </c>
      <c r="H646">
        <v>0</v>
      </c>
      <c r="I646">
        <v>0</v>
      </c>
      <c r="J646" s="8">
        <v>97</v>
      </c>
      <c r="K646" t="str">
        <f t="shared" si="20"/>
        <v>Отлично</v>
      </c>
      <c r="L646" t="str">
        <f t="shared" si="21"/>
        <v>Редко</v>
      </c>
    </row>
    <row r="647" spans="1:12" x14ac:dyDescent="0.2">
      <c r="A647" t="s">
        <v>116</v>
      </c>
      <c r="B647">
        <v>4</v>
      </c>
      <c r="C647">
        <v>0</v>
      </c>
      <c r="D647">
        <v>0</v>
      </c>
      <c r="E647">
        <v>4</v>
      </c>
      <c r="F647">
        <v>4</v>
      </c>
      <c r="G647">
        <v>3</v>
      </c>
      <c r="H647">
        <v>0</v>
      </c>
      <c r="I647">
        <v>0</v>
      </c>
      <c r="J647" s="8">
        <v>97</v>
      </c>
      <c r="K647" t="str">
        <f t="shared" si="20"/>
        <v>Отлично</v>
      </c>
      <c r="L647" t="str">
        <f t="shared" si="21"/>
        <v>Редко</v>
      </c>
    </row>
    <row r="648" spans="1:12" x14ac:dyDescent="0.2">
      <c r="A648" t="s">
        <v>116</v>
      </c>
      <c r="B648">
        <v>5</v>
      </c>
      <c r="C648">
        <v>4</v>
      </c>
      <c r="D648">
        <v>1</v>
      </c>
      <c r="E648">
        <v>4</v>
      </c>
      <c r="F648">
        <v>4</v>
      </c>
      <c r="G648">
        <v>3</v>
      </c>
      <c r="H648">
        <v>2</v>
      </c>
      <c r="I648">
        <v>3</v>
      </c>
      <c r="J648" s="8">
        <v>85</v>
      </c>
      <c r="K648" t="str">
        <f t="shared" si="20"/>
        <v>Отлично</v>
      </c>
      <c r="L648" t="str">
        <f t="shared" si="21"/>
        <v>Часто</v>
      </c>
    </row>
    <row r="649" spans="1:12" x14ac:dyDescent="0.2">
      <c r="A649" t="s">
        <v>117</v>
      </c>
      <c r="B649">
        <v>4</v>
      </c>
      <c r="C649">
        <v>4</v>
      </c>
      <c r="D649">
        <v>1</v>
      </c>
      <c r="E649">
        <v>3</v>
      </c>
      <c r="F649">
        <v>3</v>
      </c>
      <c r="G649">
        <v>3</v>
      </c>
      <c r="H649">
        <v>4</v>
      </c>
      <c r="I649">
        <v>2</v>
      </c>
      <c r="J649" s="8">
        <v>85</v>
      </c>
      <c r="K649" t="str">
        <f t="shared" si="20"/>
        <v>Отлично</v>
      </c>
      <c r="L649" t="str">
        <f t="shared" si="21"/>
        <v>Часто</v>
      </c>
    </row>
    <row r="650" spans="1:12" x14ac:dyDescent="0.2">
      <c r="A650" t="s">
        <v>117</v>
      </c>
      <c r="B650">
        <v>5</v>
      </c>
      <c r="C650">
        <v>5</v>
      </c>
      <c r="D650">
        <v>1</v>
      </c>
      <c r="E650">
        <v>3</v>
      </c>
      <c r="F650">
        <v>4</v>
      </c>
      <c r="G650">
        <v>3</v>
      </c>
      <c r="H650">
        <v>2</v>
      </c>
      <c r="I650">
        <v>3</v>
      </c>
      <c r="J650" s="8">
        <v>85</v>
      </c>
      <c r="K650" t="str">
        <f t="shared" si="20"/>
        <v>Отлично</v>
      </c>
      <c r="L650" t="str">
        <f t="shared" si="21"/>
        <v>Часто</v>
      </c>
    </row>
    <row r="651" spans="1:12" x14ac:dyDescent="0.2">
      <c r="A651" t="s">
        <v>116</v>
      </c>
      <c r="B651">
        <v>2</v>
      </c>
      <c r="C651">
        <v>3</v>
      </c>
      <c r="D651">
        <v>1</v>
      </c>
      <c r="E651">
        <v>4</v>
      </c>
      <c r="F651">
        <v>4</v>
      </c>
      <c r="G651">
        <v>3</v>
      </c>
      <c r="H651">
        <v>2</v>
      </c>
      <c r="I651">
        <v>2</v>
      </c>
      <c r="J651" s="8">
        <v>86.7</v>
      </c>
      <c r="K651" t="str">
        <f t="shared" si="20"/>
        <v>Отлично</v>
      </c>
      <c r="L651" t="str">
        <f t="shared" si="21"/>
        <v>Часто</v>
      </c>
    </row>
    <row r="652" spans="1:12" x14ac:dyDescent="0.2">
      <c r="A652" t="s">
        <v>116</v>
      </c>
      <c r="B652">
        <v>2</v>
      </c>
      <c r="C652">
        <v>2</v>
      </c>
      <c r="D652">
        <v>1</v>
      </c>
      <c r="E652">
        <v>5</v>
      </c>
      <c r="F652">
        <v>5</v>
      </c>
      <c r="G652">
        <v>4</v>
      </c>
      <c r="H652">
        <v>2</v>
      </c>
      <c r="I652">
        <v>2</v>
      </c>
      <c r="J652" s="8">
        <v>97.66</v>
      </c>
      <c r="K652" t="str">
        <f t="shared" si="20"/>
        <v>Отлично</v>
      </c>
      <c r="L652" t="str">
        <f t="shared" si="21"/>
        <v>Редко</v>
      </c>
    </row>
    <row r="653" spans="1:12" x14ac:dyDescent="0.2">
      <c r="A653" t="s">
        <v>116</v>
      </c>
      <c r="B653">
        <v>8</v>
      </c>
      <c r="C653">
        <v>0</v>
      </c>
      <c r="D653">
        <v>0</v>
      </c>
      <c r="E653">
        <v>4</v>
      </c>
      <c r="F653">
        <v>3</v>
      </c>
      <c r="G653">
        <v>3</v>
      </c>
      <c r="H653">
        <v>0</v>
      </c>
      <c r="I653">
        <v>0</v>
      </c>
      <c r="J653" s="8">
        <v>98</v>
      </c>
      <c r="K653" t="str">
        <f t="shared" si="20"/>
        <v>Отлично</v>
      </c>
      <c r="L653" t="str">
        <f t="shared" si="21"/>
        <v>Редко</v>
      </c>
    </row>
    <row r="654" spans="1:12" x14ac:dyDescent="0.2">
      <c r="A654" t="s">
        <v>117</v>
      </c>
      <c r="B654">
        <v>1</v>
      </c>
      <c r="C654">
        <v>3</v>
      </c>
      <c r="D654">
        <v>1</v>
      </c>
      <c r="E654">
        <v>4</v>
      </c>
      <c r="F654">
        <v>3</v>
      </c>
      <c r="G654">
        <v>3</v>
      </c>
      <c r="H654">
        <v>3</v>
      </c>
      <c r="I654">
        <v>2</v>
      </c>
      <c r="J654" s="8">
        <v>87</v>
      </c>
      <c r="K654" t="str">
        <f t="shared" si="20"/>
        <v>Отлично</v>
      </c>
      <c r="L654" t="str">
        <f t="shared" si="21"/>
        <v>Часто</v>
      </c>
    </row>
    <row r="655" spans="1:12" x14ac:dyDescent="0.2">
      <c r="A655" t="s">
        <v>117</v>
      </c>
      <c r="B655">
        <v>4</v>
      </c>
      <c r="C655">
        <v>3</v>
      </c>
      <c r="D655">
        <v>1</v>
      </c>
      <c r="E655">
        <v>2</v>
      </c>
      <c r="F655">
        <v>2</v>
      </c>
      <c r="G655">
        <v>3</v>
      </c>
      <c r="H655">
        <v>3</v>
      </c>
      <c r="I655">
        <v>2</v>
      </c>
      <c r="J655" s="8">
        <v>88</v>
      </c>
      <c r="K655" t="str">
        <f t="shared" si="20"/>
        <v>Отлично</v>
      </c>
      <c r="L655" t="str">
        <f t="shared" si="21"/>
        <v>Часто</v>
      </c>
    </row>
    <row r="656" spans="1:12" x14ac:dyDescent="0.2">
      <c r="A656" t="s">
        <v>116</v>
      </c>
      <c r="B656">
        <v>4</v>
      </c>
      <c r="C656">
        <v>5</v>
      </c>
      <c r="D656">
        <v>1</v>
      </c>
      <c r="E656">
        <v>4</v>
      </c>
      <c r="F656">
        <v>5</v>
      </c>
      <c r="G656">
        <v>3</v>
      </c>
      <c r="H656">
        <v>2</v>
      </c>
      <c r="I656">
        <v>1</v>
      </c>
      <c r="J656" s="8">
        <v>89.5</v>
      </c>
      <c r="K656" t="str">
        <f t="shared" si="20"/>
        <v>Отлично</v>
      </c>
      <c r="L656" t="str">
        <f t="shared" si="21"/>
        <v>Часто</v>
      </c>
    </row>
    <row r="657" spans="1:12" x14ac:dyDescent="0.2">
      <c r="A657" t="s">
        <v>117</v>
      </c>
      <c r="B657">
        <v>2</v>
      </c>
      <c r="C657">
        <v>0</v>
      </c>
      <c r="D657">
        <v>0</v>
      </c>
      <c r="E657">
        <v>2</v>
      </c>
      <c r="F657">
        <v>4</v>
      </c>
      <c r="G657">
        <v>4</v>
      </c>
      <c r="H657">
        <v>0</v>
      </c>
      <c r="I657">
        <v>0</v>
      </c>
      <c r="J657" s="8">
        <v>98</v>
      </c>
      <c r="K657" t="str">
        <f t="shared" si="20"/>
        <v>Отлично</v>
      </c>
      <c r="L657" t="str">
        <f t="shared" si="21"/>
        <v>Редко</v>
      </c>
    </row>
    <row r="658" spans="1:12" x14ac:dyDescent="0.2">
      <c r="A658" t="s">
        <v>117</v>
      </c>
      <c r="B658">
        <v>7</v>
      </c>
      <c r="C658">
        <v>0</v>
      </c>
      <c r="D658">
        <v>0</v>
      </c>
      <c r="E658">
        <v>5</v>
      </c>
      <c r="F658">
        <v>4</v>
      </c>
      <c r="G658">
        <v>0</v>
      </c>
      <c r="H658">
        <v>0</v>
      </c>
      <c r="I658">
        <v>0</v>
      </c>
      <c r="J658" s="8">
        <v>98</v>
      </c>
      <c r="K658" t="str">
        <f t="shared" si="20"/>
        <v>Отлично</v>
      </c>
      <c r="L658" t="str">
        <f t="shared" si="21"/>
        <v>Редко</v>
      </c>
    </row>
    <row r="659" spans="1:12" x14ac:dyDescent="0.2">
      <c r="A659" t="s">
        <v>117</v>
      </c>
      <c r="B659">
        <v>5</v>
      </c>
      <c r="C659">
        <v>0</v>
      </c>
      <c r="D659">
        <v>0</v>
      </c>
      <c r="E659">
        <v>5</v>
      </c>
      <c r="F659">
        <v>6</v>
      </c>
      <c r="G659">
        <v>3</v>
      </c>
      <c r="H659">
        <v>0</v>
      </c>
      <c r="I659">
        <v>0</v>
      </c>
      <c r="J659" s="8">
        <v>98</v>
      </c>
      <c r="K659" t="str">
        <f t="shared" si="20"/>
        <v>Отлично</v>
      </c>
      <c r="L659" t="str">
        <f t="shared" si="21"/>
        <v>Редко</v>
      </c>
    </row>
    <row r="660" spans="1:12" x14ac:dyDescent="0.2">
      <c r="A660" t="s">
        <v>117</v>
      </c>
      <c r="B660">
        <v>4</v>
      </c>
      <c r="C660">
        <v>1</v>
      </c>
      <c r="D660">
        <v>1</v>
      </c>
      <c r="E660">
        <v>4</v>
      </c>
      <c r="F660">
        <v>4</v>
      </c>
      <c r="G660">
        <v>3</v>
      </c>
      <c r="H660">
        <v>4</v>
      </c>
      <c r="I660">
        <v>4</v>
      </c>
      <c r="J660" s="8">
        <v>98</v>
      </c>
      <c r="K660" t="str">
        <f t="shared" si="20"/>
        <v>Отлично</v>
      </c>
      <c r="L660" t="str">
        <f t="shared" si="21"/>
        <v>Редко</v>
      </c>
    </row>
    <row r="661" spans="1:12" x14ac:dyDescent="0.2">
      <c r="A661" t="s">
        <v>116</v>
      </c>
      <c r="B661">
        <v>2</v>
      </c>
      <c r="C661">
        <v>4</v>
      </c>
      <c r="D661">
        <v>1</v>
      </c>
      <c r="E661">
        <v>4</v>
      </c>
      <c r="F661">
        <v>5</v>
      </c>
      <c r="G661">
        <v>3</v>
      </c>
      <c r="H661">
        <v>2</v>
      </c>
      <c r="I661">
        <v>2</v>
      </c>
      <c r="J661" s="8">
        <v>90</v>
      </c>
      <c r="K661" t="str">
        <f t="shared" si="20"/>
        <v>Отлично</v>
      </c>
      <c r="L661" t="str">
        <f t="shared" si="21"/>
        <v>Часто</v>
      </c>
    </row>
    <row r="662" spans="1:12" x14ac:dyDescent="0.2">
      <c r="A662" t="s">
        <v>117</v>
      </c>
      <c r="B662">
        <v>10</v>
      </c>
      <c r="C662">
        <v>3</v>
      </c>
      <c r="D662">
        <v>1</v>
      </c>
      <c r="E662">
        <v>5</v>
      </c>
      <c r="F662">
        <v>5</v>
      </c>
      <c r="G662">
        <v>3</v>
      </c>
      <c r="H662">
        <v>3</v>
      </c>
      <c r="I662">
        <v>3</v>
      </c>
      <c r="J662" s="8">
        <v>90</v>
      </c>
      <c r="K662" t="str">
        <f t="shared" si="20"/>
        <v>Отлично</v>
      </c>
      <c r="L662" t="str">
        <f t="shared" si="21"/>
        <v>Часто</v>
      </c>
    </row>
    <row r="663" spans="1:12" x14ac:dyDescent="0.2">
      <c r="A663" t="s">
        <v>117</v>
      </c>
      <c r="B663">
        <v>4</v>
      </c>
      <c r="C663">
        <v>5</v>
      </c>
      <c r="D663">
        <v>1</v>
      </c>
      <c r="E663">
        <v>3</v>
      </c>
      <c r="F663">
        <v>3</v>
      </c>
      <c r="G663">
        <v>3</v>
      </c>
      <c r="H663">
        <v>1</v>
      </c>
      <c r="I663">
        <v>1</v>
      </c>
      <c r="J663" s="8">
        <v>90</v>
      </c>
      <c r="K663" t="str">
        <f t="shared" si="20"/>
        <v>Отлично</v>
      </c>
      <c r="L663" t="str">
        <f t="shared" si="21"/>
        <v>Часто</v>
      </c>
    </row>
    <row r="664" spans="1:12" x14ac:dyDescent="0.2">
      <c r="A664" t="s">
        <v>117</v>
      </c>
      <c r="B664">
        <v>10</v>
      </c>
      <c r="C664">
        <v>5</v>
      </c>
      <c r="D664">
        <v>1</v>
      </c>
      <c r="E664">
        <v>4</v>
      </c>
      <c r="F664">
        <v>5</v>
      </c>
      <c r="G664">
        <v>3</v>
      </c>
      <c r="H664">
        <v>3</v>
      </c>
      <c r="I664">
        <v>5</v>
      </c>
      <c r="J664" s="8">
        <v>90</v>
      </c>
      <c r="K664" t="str">
        <f t="shared" si="20"/>
        <v>Отлично</v>
      </c>
      <c r="L664" t="str">
        <f t="shared" si="21"/>
        <v>Часто</v>
      </c>
    </row>
    <row r="665" spans="1:12" x14ac:dyDescent="0.2">
      <c r="A665" t="s">
        <v>116</v>
      </c>
      <c r="B665">
        <v>1</v>
      </c>
      <c r="C665">
        <v>0</v>
      </c>
      <c r="D665">
        <v>0</v>
      </c>
      <c r="E665">
        <v>2</v>
      </c>
      <c r="F665">
        <v>3</v>
      </c>
      <c r="G665">
        <v>3</v>
      </c>
      <c r="H665">
        <v>0</v>
      </c>
      <c r="I665">
        <v>0</v>
      </c>
      <c r="J665" s="8">
        <v>99</v>
      </c>
      <c r="K665" t="str">
        <f t="shared" si="20"/>
        <v>Отлично</v>
      </c>
      <c r="L665" t="str">
        <f t="shared" si="21"/>
        <v>Редко</v>
      </c>
    </row>
    <row r="666" spans="1:12" x14ac:dyDescent="0.2">
      <c r="A666" t="s">
        <v>116</v>
      </c>
      <c r="B666">
        <v>1</v>
      </c>
      <c r="C666">
        <v>0</v>
      </c>
      <c r="D666">
        <v>0</v>
      </c>
      <c r="E666">
        <v>4</v>
      </c>
      <c r="F666">
        <v>2</v>
      </c>
      <c r="G666">
        <v>1</v>
      </c>
      <c r="H666">
        <v>0</v>
      </c>
      <c r="I666">
        <v>0</v>
      </c>
      <c r="J666" s="8">
        <v>99</v>
      </c>
      <c r="K666" t="str">
        <f t="shared" si="20"/>
        <v>Отлично</v>
      </c>
      <c r="L666" t="str">
        <f t="shared" si="21"/>
        <v>Редко</v>
      </c>
    </row>
    <row r="667" spans="1:12" x14ac:dyDescent="0.2">
      <c r="A667" t="s">
        <v>117</v>
      </c>
      <c r="B667">
        <v>4</v>
      </c>
      <c r="C667">
        <v>2</v>
      </c>
      <c r="D667">
        <v>1</v>
      </c>
      <c r="E667">
        <v>3</v>
      </c>
      <c r="F667">
        <v>4</v>
      </c>
      <c r="G667">
        <v>3</v>
      </c>
      <c r="H667">
        <v>4</v>
      </c>
      <c r="I667">
        <v>1</v>
      </c>
      <c r="J667" s="8">
        <v>99</v>
      </c>
      <c r="K667" t="str">
        <f t="shared" si="20"/>
        <v>Отлично</v>
      </c>
      <c r="L667" t="str">
        <f t="shared" si="21"/>
        <v>Редко</v>
      </c>
    </row>
    <row r="668" spans="1:12" x14ac:dyDescent="0.2">
      <c r="A668" t="s">
        <v>117</v>
      </c>
      <c r="B668">
        <v>4</v>
      </c>
      <c r="C668">
        <v>5</v>
      </c>
      <c r="D668">
        <v>1</v>
      </c>
      <c r="E668">
        <v>6</v>
      </c>
      <c r="F668">
        <v>5</v>
      </c>
      <c r="G668">
        <v>3</v>
      </c>
      <c r="H668">
        <v>3</v>
      </c>
      <c r="I668">
        <v>2</v>
      </c>
      <c r="J668" s="8">
        <v>90</v>
      </c>
      <c r="K668" t="str">
        <f t="shared" si="20"/>
        <v>Отлично</v>
      </c>
      <c r="L668" t="str">
        <f t="shared" si="21"/>
        <v>Часто</v>
      </c>
    </row>
    <row r="669" spans="1:12" x14ac:dyDescent="0.2">
      <c r="A669" t="s">
        <v>116</v>
      </c>
      <c r="B669">
        <v>5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 s="8">
        <v>100</v>
      </c>
      <c r="K669" t="str">
        <f t="shared" si="20"/>
        <v>Отлично</v>
      </c>
      <c r="L669" t="str">
        <f t="shared" si="21"/>
        <v>Редко</v>
      </c>
    </row>
    <row r="670" spans="1:12" x14ac:dyDescent="0.2">
      <c r="A670" t="s">
        <v>116</v>
      </c>
      <c r="B670">
        <v>10</v>
      </c>
      <c r="C670">
        <v>0</v>
      </c>
      <c r="D670">
        <v>0</v>
      </c>
      <c r="E670">
        <v>2</v>
      </c>
      <c r="F670">
        <v>5</v>
      </c>
      <c r="G670">
        <v>2</v>
      </c>
      <c r="H670">
        <v>0</v>
      </c>
      <c r="I670">
        <v>0</v>
      </c>
      <c r="J670" s="8">
        <v>100</v>
      </c>
      <c r="K670" t="str">
        <f t="shared" si="20"/>
        <v>Отлично</v>
      </c>
      <c r="L670" t="str">
        <f t="shared" si="21"/>
        <v>Редко</v>
      </c>
    </row>
    <row r="671" spans="1:12" x14ac:dyDescent="0.2">
      <c r="A671" t="s">
        <v>116</v>
      </c>
      <c r="B671">
        <v>9</v>
      </c>
      <c r="C671">
        <v>0</v>
      </c>
      <c r="D671">
        <v>0</v>
      </c>
      <c r="E671">
        <v>3</v>
      </c>
      <c r="F671">
        <v>4</v>
      </c>
      <c r="G671">
        <v>0</v>
      </c>
      <c r="H671">
        <v>0</v>
      </c>
      <c r="I671">
        <v>0</v>
      </c>
      <c r="J671" s="8">
        <v>100</v>
      </c>
      <c r="K671" t="str">
        <f t="shared" si="20"/>
        <v>Отлично</v>
      </c>
      <c r="L671" t="str">
        <f t="shared" si="21"/>
        <v>Редко</v>
      </c>
    </row>
    <row r="672" spans="1:12" x14ac:dyDescent="0.2">
      <c r="A672" t="s">
        <v>116</v>
      </c>
      <c r="B672">
        <v>9</v>
      </c>
      <c r="C672">
        <v>0</v>
      </c>
      <c r="D672">
        <v>0</v>
      </c>
      <c r="E672">
        <v>3</v>
      </c>
      <c r="F672">
        <v>5</v>
      </c>
      <c r="G672">
        <v>0</v>
      </c>
      <c r="H672">
        <v>0</v>
      </c>
      <c r="I672">
        <v>0</v>
      </c>
      <c r="J672" s="8">
        <v>100</v>
      </c>
      <c r="K672" t="str">
        <f t="shared" si="20"/>
        <v>Отлично</v>
      </c>
      <c r="L672" t="str">
        <f t="shared" si="21"/>
        <v>Редко</v>
      </c>
    </row>
    <row r="673" spans="1:12" x14ac:dyDescent="0.2">
      <c r="A673" t="s">
        <v>116</v>
      </c>
      <c r="B673">
        <v>9</v>
      </c>
      <c r="C673">
        <v>0</v>
      </c>
      <c r="D673">
        <v>0</v>
      </c>
      <c r="E673">
        <v>4</v>
      </c>
      <c r="F673">
        <v>3</v>
      </c>
      <c r="G673">
        <v>0</v>
      </c>
      <c r="H673">
        <v>0</v>
      </c>
      <c r="I673">
        <v>0</v>
      </c>
      <c r="J673" s="8">
        <v>100</v>
      </c>
      <c r="K673" t="str">
        <f t="shared" si="20"/>
        <v>Отлично</v>
      </c>
      <c r="L673" t="str">
        <f t="shared" si="21"/>
        <v>Редко</v>
      </c>
    </row>
    <row r="674" spans="1:12" x14ac:dyDescent="0.2">
      <c r="A674" t="s">
        <v>116</v>
      </c>
      <c r="B674">
        <v>7</v>
      </c>
      <c r="C674">
        <v>0</v>
      </c>
      <c r="D674">
        <v>0</v>
      </c>
      <c r="E674">
        <v>4</v>
      </c>
      <c r="F674">
        <v>4</v>
      </c>
      <c r="G674">
        <v>0</v>
      </c>
      <c r="H674">
        <v>0</v>
      </c>
      <c r="I674">
        <v>0</v>
      </c>
      <c r="J674" s="8">
        <v>100</v>
      </c>
      <c r="K674" t="str">
        <f t="shared" si="20"/>
        <v>Отлично</v>
      </c>
      <c r="L674" t="str">
        <f t="shared" si="21"/>
        <v>Редко</v>
      </c>
    </row>
    <row r="675" spans="1:12" x14ac:dyDescent="0.2">
      <c r="A675" t="s">
        <v>116</v>
      </c>
      <c r="B675">
        <v>7</v>
      </c>
      <c r="C675">
        <v>0</v>
      </c>
      <c r="D675">
        <v>0</v>
      </c>
      <c r="E675">
        <v>4</v>
      </c>
      <c r="F675">
        <v>4</v>
      </c>
      <c r="G675">
        <v>0</v>
      </c>
      <c r="H675">
        <v>0</v>
      </c>
      <c r="I675">
        <v>0</v>
      </c>
      <c r="J675" s="8">
        <v>100</v>
      </c>
      <c r="K675" t="str">
        <f t="shared" si="20"/>
        <v>Отлично</v>
      </c>
      <c r="L675" t="str">
        <f t="shared" si="21"/>
        <v>Редко</v>
      </c>
    </row>
    <row r="676" spans="1:12" x14ac:dyDescent="0.2">
      <c r="A676" t="s">
        <v>116</v>
      </c>
      <c r="B676">
        <v>9</v>
      </c>
      <c r="C676">
        <v>0</v>
      </c>
      <c r="D676">
        <v>0</v>
      </c>
      <c r="E676">
        <v>4</v>
      </c>
      <c r="F676">
        <v>4</v>
      </c>
      <c r="G676">
        <v>0</v>
      </c>
      <c r="H676">
        <v>0</v>
      </c>
      <c r="I676">
        <v>0</v>
      </c>
      <c r="J676" s="8">
        <v>100</v>
      </c>
      <c r="K676" t="str">
        <f t="shared" si="20"/>
        <v>Отлично</v>
      </c>
      <c r="L676" t="str">
        <f t="shared" si="21"/>
        <v>Редко</v>
      </c>
    </row>
    <row r="677" spans="1:12" x14ac:dyDescent="0.2">
      <c r="A677" t="s">
        <v>116</v>
      </c>
      <c r="B677">
        <v>9</v>
      </c>
      <c r="C677">
        <v>0</v>
      </c>
      <c r="D677">
        <v>0</v>
      </c>
      <c r="E677">
        <v>4</v>
      </c>
      <c r="F677">
        <v>4</v>
      </c>
      <c r="G677">
        <v>0</v>
      </c>
      <c r="H677">
        <v>0</v>
      </c>
      <c r="I677">
        <v>0</v>
      </c>
      <c r="J677" s="8">
        <v>100</v>
      </c>
      <c r="K677" t="str">
        <f t="shared" si="20"/>
        <v>Отлично</v>
      </c>
      <c r="L677" t="str">
        <f t="shared" si="21"/>
        <v>Редко</v>
      </c>
    </row>
    <row r="678" spans="1:12" x14ac:dyDescent="0.2">
      <c r="A678" t="s">
        <v>116</v>
      </c>
      <c r="B678">
        <v>9</v>
      </c>
      <c r="C678">
        <v>0</v>
      </c>
      <c r="D678">
        <v>0</v>
      </c>
      <c r="E678">
        <v>4</v>
      </c>
      <c r="F678">
        <v>4</v>
      </c>
      <c r="G678">
        <v>0</v>
      </c>
      <c r="H678">
        <v>0</v>
      </c>
      <c r="I678">
        <v>0</v>
      </c>
      <c r="J678" s="8">
        <v>100</v>
      </c>
      <c r="K678" t="str">
        <f t="shared" si="20"/>
        <v>Отлично</v>
      </c>
      <c r="L678" t="str">
        <f t="shared" si="21"/>
        <v>Редко</v>
      </c>
    </row>
    <row r="679" spans="1:12" x14ac:dyDescent="0.2">
      <c r="A679" t="s">
        <v>116</v>
      </c>
      <c r="B679">
        <v>9</v>
      </c>
      <c r="C679">
        <v>0</v>
      </c>
      <c r="D679">
        <v>0</v>
      </c>
      <c r="E679">
        <v>4</v>
      </c>
      <c r="F679">
        <v>4</v>
      </c>
      <c r="G679">
        <v>0</v>
      </c>
      <c r="H679">
        <v>0</v>
      </c>
      <c r="I679">
        <v>0</v>
      </c>
      <c r="J679" s="8">
        <v>100</v>
      </c>
      <c r="K679" t="str">
        <f t="shared" si="20"/>
        <v>Отлично</v>
      </c>
      <c r="L679" t="str">
        <f t="shared" si="21"/>
        <v>Редко</v>
      </c>
    </row>
    <row r="680" spans="1:12" x14ac:dyDescent="0.2">
      <c r="A680" t="s">
        <v>116</v>
      </c>
      <c r="B680">
        <v>7</v>
      </c>
      <c r="C680">
        <v>0</v>
      </c>
      <c r="D680">
        <v>0</v>
      </c>
      <c r="E680">
        <v>4</v>
      </c>
      <c r="F680">
        <v>5</v>
      </c>
      <c r="G680">
        <v>0</v>
      </c>
      <c r="H680">
        <v>0</v>
      </c>
      <c r="I680">
        <v>0</v>
      </c>
      <c r="J680" s="8">
        <v>100</v>
      </c>
      <c r="K680" t="str">
        <f t="shared" si="20"/>
        <v>Отлично</v>
      </c>
      <c r="L680" t="str">
        <f t="shared" si="21"/>
        <v>Редко</v>
      </c>
    </row>
    <row r="681" spans="1:12" x14ac:dyDescent="0.2">
      <c r="A681" t="s">
        <v>116</v>
      </c>
      <c r="B681">
        <v>9</v>
      </c>
      <c r="C681">
        <v>0</v>
      </c>
      <c r="D681">
        <v>0</v>
      </c>
      <c r="E681">
        <v>4</v>
      </c>
      <c r="F681">
        <v>5</v>
      </c>
      <c r="G681">
        <v>0</v>
      </c>
      <c r="H681">
        <v>0</v>
      </c>
      <c r="I681">
        <v>0</v>
      </c>
      <c r="J681" s="8">
        <v>100</v>
      </c>
      <c r="K681" t="str">
        <f t="shared" si="20"/>
        <v>Отлично</v>
      </c>
      <c r="L681" t="str">
        <f t="shared" si="21"/>
        <v>Редко</v>
      </c>
    </row>
    <row r="682" spans="1:12" x14ac:dyDescent="0.2">
      <c r="A682" t="s">
        <v>116</v>
      </c>
      <c r="B682">
        <v>5</v>
      </c>
      <c r="C682">
        <v>0</v>
      </c>
      <c r="D682">
        <v>0</v>
      </c>
      <c r="E682">
        <v>4</v>
      </c>
      <c r="F682">
        <v>4</v>
      </c>
      <c r="G682">
        <v>2</v>
      </c>
      <c r="H682">
        <v>0</v>
      </c>
      <c r="I682">
        <v>0</v>
      </c>
      <c r="J682" s="8">
        <v>100</v>
      </c>
      <c r="K682" t="str">
        <f t="shared" si="20"/>
        <v>Отлично</v>
      </c>
      <c r="L682" t="str">
        <f t="shared" si="21"/>
        <v>Редко</v>
      </c>
    </row>
    <row r="683" spans="1:12" x14ac:dyDescent="0.2">
      <c r="A683" t="s">
        <v>116</v>
      </c>
      <c r="B683">
        <v>8</v>
      </c>
      <c r="C683">
        <v>0</v>
      </c>
      <c r="D683">
        <v>0</v>
      </c>
      <c r="E683">
        <v>4</v>
      </c>
      <c r="F683">
        <v>4</v>
      </c>
      <c r="G683">
        <v>2</v>
      </c>
      <c r="H683">
        <v>0</v>
      </c>
      <c r="I683">
        <v>0</v>
      </c>
      <c r="J683" s="8">
        <v>100</v>
      </c>
      <c r="K683" t="str">
        <f t="shared" si="20"/>
        <v>Отлично</v>
      </c>
      <c r="L683" t="str">
        <f t="shared" si="21"/>
        <v>Редко</v>
      </c>
    </row>
    <row r="684" spans="1:12" x14ac:dyDescent="0.2">
      <c r="A684" t="s">
        <v>116</v>
      </c>
      <c r="B684">
        <v>5</v>
      </c>
      <c r="C684">
        <v>0</v>
      </c>
      <c r="D684">
        <v>0</v>
      </c>
      <c r="E684">
        <v>4</v>
      </c>
      <c r="F684">
        <v>5</v>
      </c>
      <c r="G684">
        <v>2</v>
      </c>
      <c r="H684">
        <v>0</v>
      </c>
      <c r="I684">
        <v>0</v>
      </c>
      <c r="J684" s="8">
        <v>100</v>
      </c>
      <c r="K684" t="str">
        <f t="shared" si="20"/>
        <v>Отлично</v>
      </c>
      <c r="L684" t="str">
        <f t="shared" si="21"/>
        <v>Редко</v>
      </c>
    </row>
    <row r="685" spans="1:12" x14ac:dyDescent="0.2">
      <c r="A685" t="s">
        <v>116</v>
      </c>
      <c r="B685">
        <v>5</v>
      </c>
      <c r="C685">
        <v>0</v>
      </c>
      <c r="D685">
        <v>0</v>
      </c>
      <c r="E685">
        <v>4</v>
      </c>
      <c r="F685">
        <v>5</v>
      </c>
      <c r="G685">
        <v>2</v>
      </c>
      <c r="H685">
        <v>0</v>
      </c>
      <c r="I685">
        <v>0</v>
      </c>
      <c r="J685" s="8">
        <v>100</v>
      </c>
      <c r="K685" t="str">
        <f t="shared" si="20"/>
        <v>Отлично</v>
      </c>
      <c r="L685" t="str">
        <f t="shared" si="21"/>
        <v>Редко</v>
      </c>
    </row>
    <row r="686" spans="1:12" x14ac:dyDescent="0.2">
      <c r="A686" t="s">
        <v>116</v>
      </c>
      <c r="B686">
        <v>5</v>
      </c>
      <c r="C686">
        <v>0</v>
      </c>
      <c r="D686">
        <v>0</v>
      </c>
      <c r="E686">
        <v>4</v>
      </c>
      <c r="F686">
        <v>3</v>
      </c>
      <c r="G686">
        <v>3</v>
      </c>
      <c r="H686">
        <v>0</v>
      </c>
      <c r="I686">
        <v>0</v>
      </c>
      <c r="J686" s="8">
        <v>100</v>
      </c>
      <c r="K686" t="str">
        <f t="shared" si="20"/>
        <v>Отлично</v>
      </c>
      <c r="L686" t="str">
        <f t="shared" si="21"/>
        <v>Редко</v>
      </c>
    </row>
    <row r="687" spans="1:12" x14ac:dyDescent="0.2">
      <c r="A687" t="s">
        <v>116</v>
      </c>
      <c r="B687">
        <v>6</v>
      </c>
      <c r="C687">
        <v>0</v>
      </c>
      <c r="D687">
        <v>0</v>
      </c>
      <c r="E687">
        <v>4</v>
      </c>
      <c r="F687">
        <v>5</v>
      </c>
      <c r="G687">
        <v>3</v>
      </c>
      <c r="H687">
        <v>0</v>
      </c>
      <c r="I687">
        <v>0</v>
      </c>
      <c r="J687" s="8">
        <v>100</v>
      </c>
      <c r="K687" t="str">
        <f t="shared" si="20"/>
        <v>Отлично</v>
      </c>
      <c r="L687" t="str">
        <f t="shared" si="21"/>
        <v>Редко</v>
      </c>
    </row>
    <row r="688" spans="1:12" x14ac:dyDescent="0.2">
      <c r="A688" t="s">
        <v>116</v>
      </c>
      <c r="B688">
        <v>7</v>
      </c>
      <c r="C688">
        <v>0</v>
      </c>
      <c r="D688">
        <v>0</v>
      </c>
      <c r="E688">
        <v>5</v>
      </c>
      <c r="F688">
        <v>5</v>
      </c>
      <c r="G688">
        <v>0</v>
      </c>
      <c r="H688">
        <v>0</v>
      </c>
      <c r="I688">
        <v>0</v>
      </c>
      <c r="J688" s="8">
        <v>100</v>
      </c>
      <c r="K688" t="str">
        <f t="shared" si="20"/>
        <v>Отлично</v>
      </c>
      <c r="L688" t="str">
        <f t="shared" si="21"/>
        <v>Редко</v>
      </c>
    </row>
    <row r="689" spans="1:12" x14ac:dyDescent="0.2">
      <c r="A689" t="s">
        <v>116</v>
      </c>
      <c r="B689">
        <v>7</v>
      </c>
      <c r="C689">
        <v>0</v>
      </c>
      <c r="D689">
        <v>0</v>
      </c>
      <c r="E689">
        <v>5</v>
      </c>
      <c r="F689">
        <v>5</v>
      </c>
      <c r="G689">
        <v>0</v>
      </c>
      <c r="H689">
        <v>0</v>
      </c>
      <c r="I689">
        <v>0</v>
      </c>
      <c r="J689" s="8">
        <v>100</v>
      </c>
      <c r="K689" t="str">
        <f t="shared" si="20"/>
        <v>Отлично</v>
      </c>
      <c r="L689" t="str">
        <f t="shared" si="21"/>
        <v>Редко</v>
      </c>
    </row>
    <row r="690" spans="1:12" x14ac:dyDescent="0.2">
      <c r="A690" t="s">
        <v>116</v>
      </c>
      <c r="B690">
        <v>9</v>
      </c>
      <c r="C690">
        <v>0</v>
      </c>
      <c r="D690">
        <v>0</v>
      </c>
      <c r="E690">
        <v>5</v>
      </c>
      <c r="F690">
        <v>5</v>
      </c>
      <c r="G690">
        <v>0</v>
      </c>
      <c r="H690">
        <v>0</v>
      </c>
      <c r="I690">
        <v>0</v>
      </c>
      <c r="J690" s="8">
        <v>100</v>
      </c>
      <c r="K690" t="str">
        <f t="shared" si="20"/>
        <v>Отлично</v>
      </c>
      <c r="L690" t="str">
        <f t="shared" si="21"/>
        <v>Редко</v>
      </c>
    </row>
    <row r="691" spans="1:12" x14ac:dyDescent="0.2">
      <c r="A691" t="s">
        <v>116</v>
      </c>
      <c r="B691">
        <v>9</v>
      </c>
      <c r="C691">
        <v>0</v>
      </c>
      <c r="D691">
        <v>0</v>
      </c>
      <c r="E691">
        <v>5</v>
      </c>
      <c r="F691">
        <v>5</v>
      </c>
      <c r="G691">
        <v>0</v>
      </c>
      <c r="H691">
        <v>0</v>
      </c>
      <c r="I691">
        <v>0</v>
      </c>
      <c r="J691" s="8">
        <v>100</v>
      </c>
      <c r="K691" t="str">
        <f t="shared" si="20"/>
        <v>Отлично</v>
      </c>
      <c r="L691" t="str">
        <f t="shared" si="21"/>
        <v>Редко</v>
      </c>
    </row>
    <row r="692" spans="1:12" x14ac:dyDescent="0.2">
      <c r="A692" t="s">
        <v>116</v>
      </c>
      <c r="B692">
        <v>9</v>
      </c>
      <c r="C692">
        <v>0</v>
      </c>
      <c r="D692">
        <v>0</v>
      </c>
      <c r="E692">
        <v>5</v>
      </c>
      <c r="F692">
        <v>5</v>
      </c>
      <c r="G692">
        <v>0</v>
      </c>
      <c r="H692">
        <v>0</v>
      </c>
      <c r="I692">
        <v>0</v>
      </c>
      <c r="J692" s="8">
        <v>100</v>
      </c>
      <c r="K692" t="str">
        <f t="shared" si="20"/>
        <v>Отлично</v>
      </c>
      <c r="L692" t="str">
        <f t="shared" si="21"/>
        <v>Редко</v>
      </c>
    </row>
    <row r="693" spans="1:12" x14ac:dyDescent="0.2">
      <c r="A693" t="s">
        <v>116</v>
      </c>
      <c r="B693">
        <v>9</v>
      </c>
      <c r="C693">
        <v>0</v>
      </c>
      <c r="D693">
        <v>0</v>
      </c>
      <c r="E693">
        <v>5</v>
      </c>
      <c r="F693">
        <v>5</v>
      </c>
      <c r="G693">
        <v>0</v>
      </c>
      <c r="H693">
        <v>0</v>
      </c>
      <c r="I693">
        <v>0</v>
      </c>
      <c r="J693" s="8">
        <v>100</v>
      </c>
      <c r="K693" t="str">
        <f t="shared" si="20"/>
        <v>Отлично</v>
      </c>
      <c r="L693" t="str">
        <f t="shared" si="21"/>
        <v>Редко</v>
      </c>
    </row>
    <row r="694" spans="1:12" x14ac:dyDescent="0.2">
      <c r="A694" t="s">
        <v>116</v>
      </c>
      <c r="B694">
        <v>6</v>
      </c>
      <c r="C694">
        <v>0</v>
      </c>
      <c r="D694">
        <v>0</v>
      </c>
      <c r="E694">
        <v>5</v>
      </c>
      <c r="F694">
        <v>4</v>
      </c>
      <c r="G694">
        <v>3</v>
      </c>
      <c r="H694">
        <v>0</v>
      </c>
      <c r="I694">
        <v>0</v>
      </c>
      <c r="J694" s="8">
        <v>100</v>
      </c>
      <c r="K694" t="str">
        <f t="shared" si="20"/>
        <v>Отлично</v>
      </c>
      <c r="L694" t="str">
        <f t="shared" si="21"/>
        <v>Редко</v>
      </c>
    </row>
    <row r="695" spans="1:12" x14ac:dyDescent="0.2">
      <c r="A695" t="s">
        <v>116</v>
      </c>
      <c r="B695">
        <v>7</v>
      </c>
      <c r="C695">
        <v>0</v>
      </c>
      <c r="D695">
        <v>0</v>
      </c>
      <c r="E695">
        <v>6</v>
      </c>
      <c r="F695">
        <v>5</v>
      </c>
      <c r="G695">
        <v>0</v>
      </c>
      <c r="H695">
        <v>0</v>
      </c>
      <c r="I695">
        <v>0</v>
      </c>
      <c r="J695" s="8">
        <v>100</v>
      </c>
      <c r="K695" t="str">
        <f t="shared" si="20"/>
        <v>Отлично</v>
      </c>
      <c r="L695" t="str">
        <f t="shared" si="21"/>
        <v>Редко</v>
      </c>
    </row>
    <row r="696" spans="1:12" x14ac:dyDescent="0.2">
      <c r="A696" t="s">
        <v>116</v>
      </c>
      <c r="B696">
        <v>9</v>
      </c>
      <c r="C696">
        <v>0</v>
      </c>
      <c r="D696">
        <v>0</v>
      </c>
      <c r="E696">
        <v>6</v>
      </c>
      <c r="F696">
        <v>5</v>
      </c>
      <c r="G696">
        <v>0</v>
      </c>
      <c r="H696">
        <v>0</v>
      </c>
      <c r="I696">
        <v>0</v>
      </c>
      <c r="J696" s="8">
        <v>100</v>
      </c>
      <c r="K696" t="str">
        <f t="shared" si="20"/>
        <v>Отлично</v>
      </c>
      <c r="L696" t="str">
        <f t="shared" si="21"/>
        <v>Редко</v>
      </c>
    </row>
    <row r="697" spans="1:12" x14ac:dyDescent="0.2">
      <c r="A697" t="s">
        <v>116</v>
      </c>
      <c r="B697">
        <v>9</v>
      </c>
      <c r="C697">
        <v>0</v>
      </c>
      <c r="D697">
        <v>0</v>
      </c>
      <c r="E697">
        <v>6</v>
      </c>
      <c r="F697">
        <v>5</v>
      </c>
      <c r="G697">
        <v>0</v>
      </c>
      <c r="H697">
        <v>0</v>
      </c>
      <c r="I697">
        <v>0</v>
      </c>
      <c r="J697" s="8">
        <v>100</v>
      </c>
      <c r="K697" t="str">
        <f t="shared" si="20"/>
        <v>Отлично</v>
      </c>
      <c r="L697" t="str">
        <f t="shared" si="21"/>
        <v>Редко</v>
      </c>
    </row>
    <row r="698" spans="1:12" x14ac:dyDescent="0.2">
      <c r="A698" t="s">
        <v>116</v>
      </c>
      <c r="B698">
        <v>7</v>
      </c>
      <c r="C698">
        <v>0</v>
      </c>
      <c r="D698">
        <v>0</v>
      </c>
      <c r="E698">
        <v>6</v>
      </c>
      <c r="F698">
        <v>6</v>
      </c>
      <c r="G698">
        <v>0</v>
      </c>
      <c r="H698">
        <v>0</v>
      </c>
      <c r="I698">
        <v>0</v>
      </c>
      <c r="J698" s="8">
        <v>100</v>
      </c>
      <c r="K698" t="str">
        <f t="shared" si="20"/>
        <v>Отлично</v>
      </c>
      <c r="L698" t="str">
        <f t="shared" si="21"/>
        <v>Редко</v>
      </c>
    </row>
    <row r="699" spans="1:12" x14ac:dyDescent="0.2">
      <c r="A699" t="s">
        <v>116</v>
      </c>
      <c r="B699">
        <v>7</v>
      </c>
      <c r="C699">
        <v>0</v>
      </c>
      <c r="D699">
        <v>0</v>
      </c>
      <c r="E699">
        <v>6</v>
      </c>
      <c r="F699">
        <v>6</v>
      </c>
      <c r="G699">
        <v>0</v>
      </c>
      <c r="H699">
        <v>0</v>
      </c>
      <c r="I699">
        <v>0</v>
      </c>
      <c r="J699" s="8">
        <v>100</v>
      </c>
      <c r="K699" t="str">
        <f t="shared" si="20"/>
        <v>Отлично</v>
      </c>
      <c r="L699" t="str">
        <f t="shared" si="21"/>
        <v>Редко</v>
      </c>
    </row>
    <row r="700" spans="1:12" x14ac:dyDescent="0.2">
      <c r="A700" t="s">
        <v>116</v>
      </c>
      <c r="B700">
        <v>9</v>
      </c>
      <c r="C700">
        <v>0</v>
      </c>
      <c r="D700">
        <v>0</v>
      </c>
      <c r="E700">
        <v>6</v>
      </c>
      <c r="F700">
        <v>6</v>
      </c>
      <c r="G700">
        <v>0</v>
      </c>
      <c r="H700">
        <v>0</v>
      </c>
      <c r="I700">
        <v>0</v>
      </c>
      <c r="J700" s="8">
        <v>100</v>
      </c>
      <c r="K700" t="str">
        <f t="shared" si="20"/>
        <v>Отлично</v>
      </c>
      <c r="L700" t="str">
        <f t="shared" si="21"/>
        <v>Редко</v>
      </c>
    </row>
    <row r="701" spans="1:12" x14ac:dyDescent="0.2">
      <c r="A701" t="s">
        <v>116</v>
      </c>
      <c r="B701">
        <v>9</v>
      </c>
      <c r="C701">
        <v>0</v>
      </c>
      <c r="D701">
        <v>0</v>
      </c>
      <c r="E701">
        <v>6</v>
      </c>
      <c r="F701">
        <v>6</v>
      </c>
      <c r="G701">
        <v>0</v>
      </c>
      <c r="H701">
        <v>0</v>
      </c>
      <c r="I701">
        <v>0</v>
      </c>
      <c r="J701" s="8">
        <v>100</v>
      </c>
      <c r="K701" t="str">
        <f t="shared" si="20"/>
        <v>Отлично</v>
      </c>
      <c r="L701" t="str">
        <f t="shared" si="21"/>
        <v>Редко</v>
      </c>
    </row>
    <row r="702" spans="1:12" x14ac:dyDescent="0.2">
      <c r="A702" t="s">
        <v>116</v>
      </c>
      <c r="B702">
        <v>9</v>
      </c>
      <c r="C702">
        <v>0</v>
      </c>
      <c r="D702">
        <v>0</v>
      </c>
      <c r="E702">
        <v>6</v>
      </c>
      <c r="F702">
        <v>6</v>
      </c>
      <c r="G702">
        <v>0</v>
      </c>
      <c r="H702">
        <v>0</v>
      </c>
      <c r="I702">
        <v>0</v>
      </c>
      <c r="J702" s="8">
        <v>100</v>
      </c>
      <c r="K702" t="str">
        <f t="shared" si="20"/>
        <v>Отлично</v>
      </c>
      <c r="L702" t="str">
        <f t="shared" si="21"/>
        <v>Редко</v>
      </c>
    </row>
    <row r="703" spans="1:12" x14ac:dyDescent="0.2">
      <c r="A703" t="s">
        <v>116</v>
      </c>
      <c r="B703">
        <v>9</v>
      </c>
      <c r="C703">
        <v>1</v>
      </c>
      <c r="D703">
        <v>1</v>
      </c>
      <c r="E703">
        <v>5</v>
      </c>
      <c r="F703">
        <v>5</v>
      </c>
      <c r="G703">
        <v>0</v>
      </c>
      <c r="H703">
        <v>1</v>
      </c>
      <c r="I703">
        <v>1</v>
      </c>
      <c r="J703" s="8">
        <v>100</v>
      </c>
      <c r="K703" t="str">
        <f t="shared" si="20"/>
        <v>Отлично</v>
      </c>
      <c r="L703" t="str">
        <f t="shared" si="21"/>
        <v>Редко</v>
      </c>
    </row>
    <row r="704" spans="1:12" x14ac:dyDescent="0.2">
      <c r="A704" t="s">
        <v>116</v>
      </c>
      <c r="B704">
        <v>7</v>
      </c>
      <c r="C704">
        <v>2</v>
      </c>
      <c r="D704">
        <v>1</v>
      </c>
      <c r="E704">
        <v>5</v>
      </c>
      <c r="F704">
        <v>5</v>
      </c>
      <c r="G704">
        <v>0</v>
      </c>
      <c r="H704">
        <v>3</v>
      </c>
      <c r="I704">
        <v>1</v>
      </c>
      <c r="J704" s="8">
        <v>100</v>
      </c>
      <c r="K704" t="str">
        <f t="shared" si="20"/>
        <v>Отлично</v>
      </c>
      <c r="L704" t="str">
        <f t="shared" si="21"/>
        <v>Редко</v>
      </c>
    </row>
    <row r="705" spans="1:12" x14ac:dyDescent="0.2">
      <c r="A705" t="s">
        <v>117</v>
      </c>
      <c r="B705">
        <v>4</v>
      </c>
      <c r="C705">
        <v>5</v>
      </c>
      <c r="D705">
        <v>1</v>
      </c>
      <c r="E705">
        <v>5</v>
      </c>
      <c r="F705">
        <v>5</v>
      </c>
      <c r="G705">
        <v>3</v>
      </c>
      <c r="H705">
        <v>4</v>
      </c>
      <c r="I705">
        <v>3</v>
      </c>
      <c r="J705" s="8">
        <v>91</v>
      </c>
      <c r="K705" t="str">
        <f t="shared" si="20"/>
        <v>Отлично</v>
      </c>
      <c r="L705" t="str">
        <f t="shared" si="21"/>
        <v>Часто</v>
      </c>
    </row>
    <row r="706" spans="1:12" x14ac:dyDescent="0.2">
      <c r="A706" t="s">
        <v>117</v>
      </c>
      <c r="B706">
        <v>1</v>
      </c>
      <c r="C706">
        <v>5</v>
      </c>
      <c r="D706">
        <v>1</v>
      </c>
      <c r="E706">
        <v>6</v>
      </c>
      <c r="F706">
        <v>6</v>
      </c>
      <c r="G706">
        <v>3</v>
      </c>
      <c r="H706">
        <v>4</v>
      </c>
      <c r="I706">
        <v>5</v>
      </c>
      <c r="J706" s="8">
        <v>92</v>
      </c>
      <c r="K706" t="str">
        <f t="shared" si="20"/>
        <v>Отлично</v>
      </c>
      <c r="L706" t="str">
        <f t="shared" si="21"/>
        <v>Часто</v>
      </c>
    </row>
    <row r="707" spans="1:12" x14ac:dyDescent="0.2">
      <c r="A707" t="s">
        <v>117</v>
      </c>
      <c r="B707">
        <v>4</v>
      </c>
      <c r="C707">
        <v>5</v>
      </c>
      <c r="D707">
        <v>1</v>
      </c>
      <c r="E707">
        <v>6</v>
      </c>
      <c r="F707">
        <v>6</v>
      </c>
      <c r="G707">
        <v>3</v>
      </c>
      <c r="H707">
        <v>1</v>
      </c>
      <c r="I707">
        <v>2</v>
      </c>
      <c r="J707" s="8">
        <v>92.5</v>
      </c>
      <c r="K707" t="str">
        <f t="shared" ref="K707:K770" si="22">IF(J707&gt;20,IF(J707&gt;40,IF(J707&gt;60,IF(J707&gt;80,"Отлично","Хорошо"),"Средне"),"Плохо"),"Ужасно")</f>
        <v>Отлично</v>
      </c>
      <c r="L707" t="str">
        <f t="shared" ref="L707:L770" si="23">IF(C707&gt;2,"Часто","Редко")</f>
        <v>Часто</v>
      </c>
    </row>
    <row r="708" spans="1:12" x14ac:dyDescent="0.2">
      <c r="A708" t="s">
        <v>116</v>
      </c>
      <c r="B708">
        <v>2</v>
      </c>
      <c r="C708">
        <v>4</v>
      </c>
      <c r="D708">
        <v>1</v>
      </c>
      <c r="E708">
        <v>5</v>
      </c>
      <c r="F708">
        <v>5</v>
      </c>
      <c r="G708">
        <v>3</v>
      </c>
      <c r="H708">
        <v>1</v>
      </c>
      <c r="I708">
        <v>1</v>
      </c>
      <c r="J708" s="8">
        <v>94.5</v>
      </c>
      <c r="K708" t="str">
        <f t="shared" si="22"/>
        <v>Отлично</v>
      </c>
      <c r="L708" t="str">
        <f t="shared" si="23"/>
        <v>Часто</v>
      </c>
    </row>
    <row r="709" spans="1:12" x14ac:dyDescent="0.2">
      <c r="A709" t="s">
        <v>116</v>
      </c>
      <c r="B709">
        <v>1</v>
      </c>
      <c r="C709">
        <v>4</v>
      </c>
      <c r="D709">
        <v>1</v>
      </c>
      <c r="E709">
        <v>5</v>
      </c>
      <c r="F709">
        <v>5</v>
      </c>
      <c r="G709">
        <v>3</v>
      </c>
      <c r="H709">
        <v>2</v>
      </c>
      <c r="I709">
        <v>2</v>
      </c>
      <c r="J709" s="8">
        <v>95</v>
      </c>
      <c r="K709" t="str">
        <f t="shared" si="22"/>
        <v>Отлично</v>
      </c>
      <c r="L709" t="str">
        <f t="shared" si="23"/>
        <v>Часто</v>
      </c>
    </row>
    <row r="710" spans="1:12" x14ac:dyDescent="0.2">
      <c r="A710" t="s">
        <v>117</v>
      </c>
      <c r="B710">
        <v>1</v>
      </c>
      <c r="C710">
        <v>5</v>
      </c>
      <c r="D710">
        <v>1</v>
      </c>
      <c r="E710">
        <v>4</v>
      </c>
      <c r="F710">
        <v>5</v>
      </c>
      <c r="G710">
        <v>3</v>
      </c>
      <c r="H710">
        <v>1</v>
      </c>
      <c r="I710">
        <v>2</v>
      </c>
      <c r="J710" s="8">
        <v>95</v>
      </c>
      <c r="K710" t="str">
        <f t="shared" si="22"/>
        <v>Отлично</v>
      </c>
      <c r="L710" t="str">
        <f t="shared" si="23"/>
        <v>Часто</v>
      </c>
    </row>
    <row r="711" spans="1:12" x14ac:dyDescent="0.2">
      <c r="A711" t="s">
        <v>116</v>
      </c>
      <c r="B711">
        <v>4</v>
      </c>
      <c r="C711">
        <v>5</v>
      </c>
      <c r="D711">
        <v>1</v>
      </c>
      <c r="E711">
        <v>4</v>
      </c>
      <c r="F711">
        <v>5</v>
      </c>
      <c r="G711">
        <v>3</v>
      </c>
      <c r="H711">
        <v>1</v>
      </c>
      <c r="I711">
        <v>1</v>
      </c>
      <c r="J711" s="8">
        <v>97.5</v>
      </c>
      <c r="K711" t="str">
        <f t="shared" si="22"/>
        <v>Отлично</v>
      </c>
      <c r="L711" t="str">
        <f t="shared" si="23"/>
        <v>Часто</v>
      </c>
    </row>
    <row r="712" spans="1:12" x14ac:dyDescent="0.2">
      <c r="A712" t="s">
        <v>116</v>
      </c>
      <c r="B712">
        <v>4</v>
      </c>
      <c r="C712">
        <v>3</v>
      </c>
      <c r="D712">
        <v>1</v>
      </c>
      <c r="E712">
        <v>5</v>
      </c>
      <c r="F712">
        <v>4</v>
      </c>
      <c r="G712">
        <v>3</v>
      </c>
      <c r="H712">
        <v>2</v>
      </c>
      <c r="I712">
        <v>1</v>
      </c>
      <c r="J712" s="8">
        <v>98</v>
      </c>
      <c r="K712" t="str">
        <f t="shared" si="22"/>
        <v>Отлично</v>
      </c>
      <c r="L712" t="str">
        <f t="shared" si="23"/>
        <v>Часто</v>
      </c>
    </row>
    <row r="713" spans="1:12" x14ac:dyDescent="0.2">
      <c r="A713" t="s">
        <v>116</v>
      </c>
      <c r="B713">
        <v>10</v>
      </c>
      <c r="C713">
        <v>5</v>
      </c>
      <c r="D713">
        <v>1</v>
      </c>
      <c r="E713">
        <v>5</v>
      </c>
      <c r="F713">
        <v>6</v>
      </c>
      <c r="G713">
        <v>3</v>
      </c>
      <c r="H713">
        <v>1</v>
      </c>
      <c r="I713">
        <v>1</v>
      </c>
      <c r="J713" s="8">
        <v>98</v>
      </c>
      <c r="K713" t="str">
        <f t="shared" si="22"/>
        <v>Отлично</v>
      </c>
      <c r="L713" t="str">
        <f t="shared" si="23"/>
        <v>Часто</v>
      </c>
    </row>
    <row r="714" spans="1:12" x14ac:dyDescent="0.2">
      <c r="A714" t="s">
        <v>117</v>
      </c>
      <c r="B714">
        <v>1</v>
      </c>
      <c r="C714">
        <v>5</v>
      </c>
      <c r="D714">
        <v>1</v>
      </c>
      <c r="E714">
        <v>4</v>
      </c>
      <c r="F714">
        <v>3</v>
      </c>
      <c r="G714">
        <v>3</v>
      </c>
      <c r="H714">
        <v>1</v>
      </c>
      <c r="I714">
        <v>1</v>
      </c>
      <c r="J714" s="8">
        <v>98</v>
      </c>
      <c r="K714" t="str">
        <f t="shared" si="22"/>
        <v>Отлично</v>
      </c>
      <c r="L714" t="str">
        <f t="shared" si="23"/>
        <v>Часто</v>
      </c>
    </row>
    <row r="715" spans="1:12" x14ac:dyDescent="0.2">
      <c r="A715" t="s">
        <v>116</v>
      </c>
      <c r="B715">
        <v>2</v>
      </c>
      <c r="C715">
        <v>5</v>
      </c>
      <c r="D715">
        <v>1</v>
      </c>
      <c r="E715">
        <v>5</v>
      </c>
      <c r="F715">
        <v>6</v>
      </c>
      <c r="G715">
        <v>3</v>
      </c>
      <c r="H715">
        <v>2</v>
      </c>
      <c r="I715">
        <v>1</v>
      </c>
      <c r="J715" s="8">
        <v>98.5</v>
      </c>
      <c r="K715" t="str">
        <f t="shared" si="22"/>
        <v>Отлично</v>
      </c>
      <c r="L715" t="str">
        <f t="shared" si="23"/>
        <v>Часто</v>
      </c>
    </row>
    <row r="716" spans="1:12" x14ac:dyDescent="0.2">
      <c r="A716" t="s">
        <v>117</v>
      </c>
      <c r="B716">
        <v>4</v>
      </c>
      <c r="C716">
        <v>5</v>
      </c>
      <c r="D716">
        <v>1</v>
      </c>
      <c r="E716">
        <v>5</v>
      </c>
      <c r="F716">
        <v>6</v>
      </c>
      <c r="G716">
        <v>3</v>
      </c>
      <c r="H716">
        <v>2</v>
      </c>
      <c r="I716">
        <v>3</v>
      </c>
      <c r="J716" s="8">
        <v>99</v>
      </c>
      <c r="K716" t="str">
        <f t="shared" si="22"/>
        <v>Отлично</v>
      </c>
      <c r="L716" t="str">
        <f t="shared" si="23"/>
        <v>Часто</v>
      </c>
    </row>
    <row r="717" spans="1:12" x14ac:dyDescent="0.2">
      <c r="A717" t="s">
        <v>116</v>
      </c>
      <c r="B717">
        <v>5</v>
      </c>
      <c r="C717">
        <v>3</v>
      </c>
      <c r="D717">
        <v>1</v>
      </c>
      <c r="E717">
        <v>3</v>
      </c>
      <c r="F717">
        <v>5</v>
      </c>
      <c r="G717">
        <v>3</v>
      </c>
      <c r="H717">
        <v>1</v>
      </c>
      <c r="I717">
        <v>1</v>
      </c>
      <c r="J717" s="8">
        <v>100</v>
      </c>
      <c r="K717" t="str">
        <f t="shared" si="22"/>
        <v>Отлично</v>
      </c>
      <c r="L717" t="str">
        <f t="shared" si="23"/>
        <v>Часто</v>
      </c>
    </row>
    <row r="718" spans="1:12" x14ac:dyDescent="0.2">
      <c r="A718" t="s">
        <v>116</v>
      </c>
      <c r="B718">
        <v>5</v>
      </c>
      <c r="C718">
        <v>5</v>
      </c>
      <c r="D718">
        <v>1</v>
      </c>
      <c r="E718">
        <v>3</v>
      </c>
      <c r="F718">
        <v>4</v>
      </c>
      <c r="G718">
        <v>3</v>
      </c>
      <c r="H718">
        <v>1</v>
      </c>
      <c r="I718">
        <v>2</v>
      </c>
      <c r="J718" s="8">
        <v>100</v>
      </c>
      <c r="K718" t="str">
        <f t="shared" si="22"/>
        <v>Отлично</v>
      </c>
      <c r="L718" t="str">
        <f t="shared" si="23"/>
        <v>Часто</v>
      </c>
    </row>
    <row r="719" spans="1:12" x14ac:dyDescent="0.2">
      <c r="A719" t="s">
        <v>117</v>
      </c>
      <c r="B719">
        <v>5</v>
      </c>
      <c r="C719">
        <v>4</v>
      </c>
      <c r="D719">
        <v>1</v>
      </c>
      <c r="E719">
        <v>2</v>
      </c>
      <c r="F719">
        <v>4</v>
      </c>
      <c r="G719">
        <v>3</v>
      </c>
      <c r="H719">
        <v>2</v>
      </c>
      <c r="I719">
        <v>2</v>
      </c>
      <c r="J719" s="8">
        <v>100</v>
      </c>
      <c r="K719" t="str">
        <f t="shared" si="22"/>
        <v>Отлично</v>
      </c>
      <c r="L719" t="str">
        <f t="shared" si="23"/>
        <v>Часто</v>
      </c>
    </row>
    <row r="720" spans="1:12" x14ac:dyDescent="0.2">
      <c r="A720" t="s">
        <v>117</v>
      </c>
      <c r="B720">
        <v>6</v>
      </c>
      <c r="C720">
        <v>5</v>
      </c>
      <c r="D720">
        <v>1</v>
      </c>
      <c r="E720">
        <v>5</v>
      </c>
      <c r="F720">
        <v>6</v>
      </c>
      <c r="G720">
        <v>3</v>
      </c>
      <c r="H720">
        <v>3</v>
      </c>
      <c r="I720">
        <v>2</v>
      </c>
      <c r="J720" s="8">
        <v>100</v>
      </c>
      <c r="K720" t="str">
        <f t="shared" si="22"/>
        <v>Отлично</v>
      </c>
      <c r="L720" t="str">
        <f t="shared" si="23"/>
        <v>Часто</v>
      </c>
    </row>
    <row r="721" spans="1:12" x14ac:dyDescent="0.2">
      <c r="A721" t="s">
        <v>117</v>
      </c>
      <c r="B721">
        <v>8</v>
      </c>
      <c r="C721">
        <v>5</v>
      </c>
      <c r="D721">
        <v>1</v>
      </c>
      <c r="E721">
        <v>1</v>
      </c>
      <c r="F721">
        <v>2</v>
      </c>
      <c r="G721">
        <v>4</v>
      </c>
      <c r="H721">
        <v>1</v>
      </c>
      <c r="I721">
        <v>2</v>
      </c>
      <c r="J721" s="8">
        <v>49.53</v>
      </c>
      <c r="K721" t="str">
        <f t="shared" si="22"/>
        <v>Средне</v>
      </c>
      <c r="L721" t="str">
        <f t="shared" si="23"/>
        <v>Часто</v>
      </c>
    </row>
    <row r="722" spans="1:12" x14ac:dyDescent="0.2">
      <c r="A722" t="s">
        <v>117</v>
      </c>
      <c r="B722">
        <v>6</v>
      </c>
      <c r="C722">
        <v>5</v>
      </c>
      <c r="D722">
        <v>1</v>
      </c>
      <c r="E722">
        <v>4</v>
      </c>
      <c r="F722">
        <v>4</v>
      </c>
      <c r="G722">
        <v>4</v>
      </c>
      <c r="H722">
        <v>4</v>
      </c>
      <c r="I722">
        <v>5</v>
      </c>
      <c r="J722" s="8">
        <v>70</v>
      </c>
      <c r="K722" t="str">
        <f t="shared" si="22"/>
        <v>Хорошо</v>
      </c>
      <c r="L722" t="str">
        <f t="shared" si="23"/>
        <v>Часто</v>
      </c>
    </row>
    <row r="723" spans="1:12" x14ac:dyDescent="0.2">
      <c r="A723" t="s">
        <v>117</v>
      </c>
      <c r="B723">
        <v>9</v>
      </c>
      <c r="C723">
        <v>0</v>
      </c>
      <c r="D723">
        <v>0</v>
      </c>
      <c r="E723">
        <v>3</v>
      </c>
      <c r="F723">
        <v>3</v>
      </c>
      <c r="G723">
        <v>0</v>
      </c>
      <c r="H723">
        <v>0</v>
      </c>
      <c r="I723">
        <v>0</v>
      </c>
      <c r="J723" s="8">
        <v>100</v>
      </c>
      <c r="K723" t="str">
        <f t="shared" si="22"/>
        <v>Отлично</v>
      </c>
      <c r="L723" t="str">
        <f t="shared" si="23"/>
        <v>Редко</v>
      </c>
    </row>
    <row r="724" spans="1:12" x14ac:dyDescent="0.2">
      <c r="A724" t="s">
        <v>117</v>
      </c>
      <c r="B724">
        <v>9</v>
      </c>
      <c r="C724">
        <v>0</v>
      </c>
      <c r="D724">
        <v>0</v>
      </c>
      <c r="E724">
        <v>3</v>
      </c>
      <c r="F724">
        <v>4</v>
      </c>
      <c r="G724">
        <v>0</v>
      </c>
      <c r="H724">
        <v>0</v>
      </c>
      <c r="I724">
        <v>0</v>
      </c>
      <c r="J724" s="8">
        <v>100</v>
      </c>
      <c r="K724" t="str">
        <f t="shared" si="22"/>
        <v>Отлично</v>
      </c>
      <c r="L724" t="str">
        <f t="shared" si="23"/>
        <v>Редко</v>
      </c>
    </row>
    <row r="725" spans="1:12" x14ac:dyDescent="0.2">
      <c r="A725" t="s">
        <v>117</v>
      </c>
      <c r="B725">
        <v>6</v>
      </c>
      <c r="C725">
        <v>0</v>
      </c>
      <c r="D725">
        <v>0</v>
      </c>
      <c r="E725">
        <v>3</v>
      </c>
      <c r="F725">
        <v>5</v>
      </c>
      <c r="G725">
        <v>3</v>
      </c>
      <c r="H725">
        <v>0</v>
      </c>
      <c r="I725">
        <v>0</v>
      </c>
      <c r="J725" s="8">
        <v>100</v>
      </c>
      <c r="K725" t="str">
        <f t="shared" si="22"/>
        <v>Отлично</v>
      </c>
      <c r="L725" t="str">
        <f t="shared" si="23"/>
        <v>Редко</v>
      </c>
    </row>
    <row r="726" spans="1:12" x14ac:dyDescent="0.2">
      <c r="A726" t="s">
        <v>117</v>
      </c>
      <c r="B726">
        <v>1</v>
      </c>
      <c r="C726">
        <v>0</v>
      </c>
      <c r="D726">
        <v>0</v>
      </c>
      <c r="E726">
        <v>4</v>
      </c>
      <c r="F726">
        <v>6</v>
      </c>
      <c r="G726">
        <v>2</v>
      </c>
      <c r="H726">
        <v>0</v>
      </c>
      <c r="I726">
        <v>0</v>
      </c>
      <c r="J726" s="8">
        <v>100</v>
      </c>
      <c r="K726" t="str">
        <f t="shared" si="22"/>
        <v>Отлично</v>
      </c>
      <c r="L726" t="str">
        <f t="shared" si="23"/>
        <v>Редко</v>
      </c>
    </row>
    <row r="727" spans="1:12" x14ac:dyDescent="0.2">
      <c r="A727" t="s">
        <v>117</v>
      </c>
      <c r="B727">
        <v>6</v>
      </c>
      <c r="C727">
        <v>0</v>
      </c>
      <c r="D727">
        <v>0</v>
      </c>
      <c r="E727">
        <v>4</v>
      </c>
      <c r="F727">
        <v>2</v>
      </c>
      <c r="G727">
        <v>3</v>
      </c>
      <c r="H727">
        <v>0</v>
      </c>
      <c r="I727">
        <v>0</v>
      </c>
      <c r="J727" s="8">
        <v>100</v>
      </c>
      <c r="K727" t="str">
        <f t="shared" si="22"/>
        <v>Отлично</v>
      </c>
      <c r="L727" t="str">
        <f t="shared" si="23"/>
        <v>Редко</v>
      </c>
    </row>
    <row r="728" spans="1:12" x14ac:dyDescent="0.2">
      <c r="A728" t="s">
        <v>117</v>
      </c>
      <c r="B728">
        <v>7</v>
      </c>
      <c r="C728">
        <v>0</v>
      </c>
      <c r="D728">
        <v>0</v>
      </c>
      <c r="E728">
        <v>5</v>
      </c>
      <c r="F728">
        <v>5</v>
      </c>
      <c r="G728">
        <v>0</v>
      </c>
      <c r="H728">
        <v>0</v>
      </c>
      <c r="I728">
        <v>0</v>
      </c>
      <c r="J728" s="8">
        <v>100</v>
      </c>
      <c r="K728" t="str">
        <f t="shared" si="22"/>
        <v>Отлично</v>
      </c>
      <c r="L728" t="str">
        <f t="shared" si="23"/>
        <v>Редко</v>
      </c>
    </row>
    <row r="729" spans="1:12" x14ac:dyDescent="0.2">
      <c r="A729" t="s">
        <v>117</v>
      </c>
      <c r="B729">
        <v>9</v>
      </c>
      <c r="C729">
        <v>0</v>
      </c>
      <c r="D729">
        <v>0</v>
      </c>
      <c r="E729">
        <v>5</v>
      </c>
      <c r="F729">
        <v>5</v>
      </c>
      <c r="G729">
        <v>0</v>
      </c>
      <c r="H729">
        <v>0</v>
      </c>
      <c r="I729">
        <v>0</v>
      </c>
      <c r="J729" s="8">
        <v>100</v>
      </c>
      <c r="K729" t="str">
        <f t="shared" si="22"/>
        <v>Отлично</v>
      </c>
      <c r="L729" t="str">
        <f t="shared" si="23"/>
        <v>Редко</v>
      </c>
    </row>
    <row r="730" spans="1:12" x14ac:dyDescent="0.2">
      <c r="A730" t="s">
        <v>117</v>
      </c>
      <c r="B730">
        <v>9</v>
      </c>
      <c r="C730">
        <v>0</v>
      </c>
      <c r="D730">
        <v>0</v>
      </c>
      <c r="E730">
        <v>6</v>
      </c>
      <c r="F730">
        <v>6</v>
      </c>
      <c r="G730">
        <v>0</v>
      </c>
      <c r="H730">
        <v>0</v>
      </c>
      <c r="I730">
        <v>0</v>
      </c>
      <c r="J730" s="8">
        <v>100</v>
      </c>
      <c r="K730" t="str">
        <f t="shared" si="22"/>
        <v>Отлично</v>
      </c>
      <c r="L730" t="str">
        <f t="shared" si="23"/>
        <v>Редко</v>
      </c>
    </row>
    <row r="731" spans="1:12" x14ac:dyDescent="0.2">
      <c r="A731" t="s">
        <v>117</v>
      </c>
      <c r="B731">
        <v>9</v>
      </c>
      <c r="C731">
        <v>1</v>
      </c>
      <c r="D731">
        <v>1</v>
      </c>
      <c r="E731">
        <v>4</v>
      </c>
      <c r="F731">
        <v>5</v>
      </c>
      <c r="G731">
        <v>0</v>
      </c>
      <c r="H731">
        <v>4</v>
      </c>
      <c r="I731">
        <v>2</v>
      </c>
      <c r="J731" s="8">
        <v>100</v>
      </c>
      <c r="K731" t="str">
        <f t="shared" si="22"/>
        <v>Отлично</v>
      </c>
      <c r="L731" t="str">
        <f t="shared" si="23"/>
        <v>Редко</v>
      </c>
    </row>
    <row r="732" spans="1:12" x14ac:dyDescent="0.2">
      <c r="A732" t="s">
        <v>117</v>
      </c>
      <c r="B732">
        <v>6</v>
      </c>
      <c r="C732">
        <v>1</v>
      </c>
      <c r="D732">
        <v>1</v>
      </c>
      <c r="E732">
        <v>4</v>
      </c>
      <c r="F732">
        <v>4</v>
      </c>
      <c r="G732">
        <v>1</v>
      </c>
      <c r="H732">
        <v>4</v>
      </c>
      <c r="I732">
        <v>4</v>
      </c>
      <c r="J732" s="8">
        <v>100</v>
      </c>
      <c r="K732" t="str">
        <f t="shared" si="22"/>
        <v>Отлично</v>
      </c>
      <c r="L732" t="str">
        <f t="shared" si="23"/>
        <v>Редко</v>
      </c>
    </row>
    <row r="733" spans="1:12" x14ac:dyDescent="0.2">
      <c r="A733" t="s">
        <v>117</v>
      </c>
      <c r="B733">
        <v>5</v>
      </c>
      <c r="C733">
        <v>1</v>
      </c>
      <c r="D733">
        <v>1</v>
      </c>
      <c r="E733">
        <v>4</v>
      </c>
      <c r="F733">
        <v>4</v>
      </c>
      <c r="G733">
        <v>3</v>
      </c>
      <c r="H733">
        <v>4</v>
      </c>
      <c r="I733">
        <v>4</v>
      </c>
      <c r="J733" s="8">
        <v>100</v>
      </c>
      <c r="K733" t="str">
        <f t="shared" si="22"/>
        <v>Отлично</v>
      </c>
      <c r="L733" t="str">
        <f t="shared" si="23"/>
        <v>Редко</v>
      </c>
    </row>
    <row r="734" spans="1:12" x14ac:dyDescent="0.2">
      <c r="A734" t="s">
        <v>117</v>
      </c>
      <c r="B734">
        <v>5</v>
      </c>
      <c r="C734">
        <v>1</v>
      </c>
      <c r="D734">
        <v>1</v>
      </c>
      <c r="E734">
        <v>4</v>
      </c>
      <c r="F734">
        <v>5</v>
      </c>
      <c r="G734">
        <v>3</v>
      </c>
      <c r="H734">
        <v>4</v>
      </c>
      <c r="I734">
        <v>3</v>
      </c>
      <c r="J734" s="8">
        <v>100</v>
      </c>
      <c r="K734" t="str">
        <f t="shared" si="22"/>
        <v>Отлично</v>
      </c>
      <c r="L734" t="str">
        <f t="shared" si="23"/>
        <v>Редко</v>
      </c>
    </row>
    <row r="735" spans="1:12" x14ac:dyDescent="0.2">
      <c r="A735" t="s">
        <v>117</v>
      </c>
      <c r="B735">
        <v>9</v>
      </c>
      <c r="C735">
        <v>1</v>
      </c>
      <c r="D735">
        <v>1</v>
      </c>
      <c r="E735">
        <v>5</v>
      </c>
      <c r="F735">
        <v>5</v>
      </c>
      <c r="G735">
        <v>0</v>
      </c>
      <c r="H735">
        <v>1</v>
      </c>
      <c r="I735">
        <v>4</v>
      </c>
      <c r="J735" s="8">
        <v>100</v>
      </c>
      <c r="K735" t="str">
        <f t="shared" si="22"/>
        <v>Отлично</v>
      </c>
      <c r="L735" t="str">
        <f t="shared" si="23"/>
        <v>Редко</v>
      </c>
    </row>
    <row r="736" spans="1:12" x14ac:dyDescent="0.2">
      <c r="A736" t="s">
        <v>117</v>
      </c>
      <c r="B736">
        <v>6</v>
      </c>
      <c r="C736">
        <v>1</v>
      </c>
      <c r="D736">
        <v>1</v>
      </c>
      <c r="E736">
        <v>5</v>
      </c>
      <c r="F736">
        <v>5</v>
      </c>
      <c r="G736">
        <v>3</v>
      </c>
      <c r="H736">
        <v>3</v>
      </c>
      <c r="I736">
        <v>3</v>
      </c>
      <c r="J736" s="8">
        <v>100</v>
      </c>
      <c r="K736" t="str">
        <f t="shared" si="22"/>
        <v>Отлично</v>
      </c>
      <c r="L736" t="str">
        <f t="shared" si="23"/>
        <v>Редко</v>
      </c>
    </row>
    <row r="737" spans="1:12" x14ac:dyDescent="0.2">
      <c r="A737" t="s">
        <v>117</v>
      </c>
      <c r="B737">
        <v>6</v>
      </c>
      <c r="C737">
        <v>1</v>
      </c>
      <c r="D737">
        <v>1</v>
      </c>
      <c r="E737">
        <v>5</v>
      </c>
      <c r="F737">
        <v>5</v>
      </c>
      <c r="G737">
        <v>4</v>
      </c>
      <c r="H737">
        <v>2</v>
      </c>
      <c r="I737">
        <v>2</v>
      </c>
      <c r="J737" s="8">
        <v>100</v>
      </c>
      <c r="K737" t="str">
        <f t="shared" si="22"/>
        <v>Отлично</v>
      </c>
      <c r="L737" t="str">
        <f t="shared" si="23"/>
        <v>Редко</v>
      </c>
    </row>
    <row r="738" spans="1:12" x14ac:dyDescent="0.2">
      <c r="A738" t="s">
        <v>117</v>
      </c>
      <c r="B738">
        <v>7</v>
      </c>
      <c r="C738">
        <v>2</v>
      </c>
      <c r="D738">
        <v>1</v>
      </c>
      <c r="E738">
        <v>3</v>
      </c>
      <c r="F738">
        <v>3</v>
      </c>
      <c r="G738">
        <v>0</v>
      </c>
      <c r="H738">
        <v>3</v>
      </c>
      <c r="I738">
        <v>3</v>
      </c>
      <c r="J738" s="8">
        <v>100</v>
      </c>
      <c r="K738" t="str">
        <f t="shared" si="22"/>
        <v>Отлично</v>
      </c>
      <c r="L738" t="str">
        <f t="shared" si="23"/>
        <v>Редко</v>
      </c>
    </row>
    <row r="739" spans="1:12" x14ac:dyDescent="0.2">
      <c r="A739" t="s">
        <v>117</v>
      </c>
      <c r="B739">
        <v>7</v>
      </c>
      <c r="C739">
        <v>2</v>
      </c>
      <c r="D739">
        <v>1</v>
      </c>
      <c r="E739">
        <v>3</v>
      </c>
      <c r="F739">
        <v>5</v>
      </c>
      <c r="G739">
        <v>0</v>
      </c>
      <c r="H739">
        <v>1</v>
      </c>
      <c r="I739">
        <v>1</v>
      </c>
      <c r="J739" s="8">
        <v>100</v>
      </c>
      <c r="K739" t="str">
        <f t="shared" si="22"/>
        <v>Отлично</v>
      </c>
      <c r="L739" t="str">
        <f t="shared" si="23"/>
        <v>Редко</v>
      </c>
    </row>
    <row r="740" spans="1:12" x14ac:dyDescent="0.2">
      <c r="A740" t="s">
        <v>117</v>
      </c>
      <c r="B740">
        <v>5</v>
      </c>
      <c r="C740">
        <v>2</v>
      </c>
      <c r="D740">
        <v>1</v>
      </c>
      <c r="E740">
        <v>4</v>
      </c>
      <c r="F740">
        <v>4</v>
      </c>
      <c r="G740">
        <v>2</v>
      </c>
      <c r="H740">
        <v>4</v>
      </c>
      <c r="I740">
        <v>1</v>
      </c>
      <c r="J740" s="8">
        <v>100</v>
      </c>
      <c r="K740" t="str">
        <f t="shared" si="22"/>
        <v>Отлично</v>
      </c>
      <c r="L740" t="str">
        <f t="shared" si="23"/>
        <v>Редко</v>
      </c>
    </row>
    <row r="741" spans="1:12" x14ac:dyDescent="0.2">
      <c r="A741" t="s">
        <v>117</v>
      </c>
      <c r="B741">
        <v>7</v>
      </c>
      <c r="C741">
        <v>2</v>
      </c>
      <c r="D741">
        <v>1</v>
      </c>
      <c r="E741">
        <v>5</v>
      </c>
      <c r="F741">
        <v>5</v>
      </c>
      <c r="G741">
        <v>0</v>
      </c>
      <c r="H741">
        <v>2</v>
      </c>
      <c r="I741">
        <v>1</v>
      </c>
      <c r="J741" s="8">
        <v>100</v>
      </c>
      <c r="K741" t="str">
        <f t="shared" si="22"/>
        <v>Отлично</v>
      </c>
      <c r="L741" t="str">
        <f t="shared" si="23"/>
        <v>Редко</v>
      </c>
    </row>
    <row r="742" spans="1:12" x14ac:dyDescent="0.2">
      <c r="A742" t="s">
        <v>117</v>
      </c>
      <c r="B742">
        <v>9</v>
      </c>
      <c r="C742">
        <v>2</v>
      </c>
      <c r="D742">
        <v>1</v>
      </c>
      <c r="E742">
        <v>5</v>
      </c>
      <c r="F742">
        <v>6</v>
      </c>
      <c r="G742">
        <v>0</v>
      </c>
      <c r="H742">
        <v>4</v>
      </c>
      <c r="I742">
        <v>2</v>
      </c>
      <c r="J742" s="8">
        <v>100</v>
      </c>
      <c r="K742" t="str">
        <f t="shared" si="22"/>
        <v>Отлично</v>
      </c>
      <c r="L742" t="str">
        <f t="shared" si="23"/>
        <v>Редко</v>
      </c>
    </row>
    <row r="743" spans="1:12" x14ac:dyDescent="0.2">
      <c r="A743" t="s">
        <v>117</v>
      </c>
      <c r="B743">
        <v>6</v>
      </c>
      <c r="C743">
        <v>2</v>
      </c>
      <c r="D743">
        <v>1</v>
      </c>
      <c r="E743">
        <v>6</v>
      </c>
      <c r="F743">
        <v>6</v>
      </c>
      <c r="G743">
        <v>3</v>
      </c>
      <c r="H743">
        <v>3</v>
      </c>
      <c r="I743">
        <v>3</v>
      </c>
      <c r="J743" s="8">
        <v>100</v>
      </c>
      <c r="K743" t="str">
        <f t="shared" si="22"/>
        <v>Отлично</v>
      </c>
      <c r="L743" t="str">
        <f t="shared" si="23"/>
        <v>Редко</v>
      </c>
    </row>
    <row r="744" spans="1:12" x14ac:dyDescent="0.2">
      <c r="A744" t="s">
        <v>117</v>
      </c>
      <c r="B744">
        <v>6</v>
      </c>
      <c r="C744">
        <v>2</v>
      </c>
      <c r="D744">
        <v>1</v>
      </c>
      <c r="E744">
        <v>6</v>
      </c>
      <c r="F744">
        <v>6</v>
      </c>
      <c r="G744">
        <v>4</v>
      </c>
      <c r="H744">
        <v>3</v>
      </c>
      <c r="I744">
        <v>2</v>
      </c>
      <c r="J744" s="8">
        <v>100</v>
      </c>
      <c r="K744" t="str">
        <f t="shared" si="22"/>
        <v>Отлично</v>
      </c>
      <c r="L744" t="str">
        <f t="shared" si="23"/>
        <v>Редко</v>
      </c>
    </row>
    <row r="745" spans="1:12" x14ac:dyDescent="0.2">
      <c r="A745" t="s">
        <v>117</v>
      </c>
      <c r="B745">
        <v>10</v>
      </c>
      <c r="C745">
        <v>5</v>
      </c>
      <c r="D745">
        <v>1</v>
      </c>
      <c r="E745">
        <v>3</v>
      </c>
      <c r="F745">
        <v>3</v>
      </c>
      <c r="G745">
        <v>4</v>
      </c>
      <c r="H745">
        <v>2</v>
      </c>
      <c r="I745">
        <v>2</v>
      </c>
      <c r="J745" s="8">
        <v>72.5</v>
      </c>
      <c r="K745" t="str">
        <f t="shared" si="22"/>
        <v>Хорошо</v>
      </c>
      <c r="L745" t="str">
        <f t="shared" si="23"/>
        <v>Часто</v>
      </c>
    </row>
    <row r="746" spans="1:12" x14ac:dyDescent="0.2">
      <c r="A746" t="s">
        <v>117</v>
      </c>
      <c r="B746">
        <v>4</v>
      </c>
      <c r="C746">
        <v>4</v>
      </c>
      <c r="D746">
        <v>1</v>
      </c>
      <c r="E746">
        <v>4</v>
      </c>
      <c r="F746">
        <v>3</v>
      </c>
      <c r="G746">
        <v>4</v>
      </c>
      <c r="H746">
        <v>1</v>
      </c>
      <c r="I746">
        <v>1</v>
      </c>
      <c r="J746" s="8">
        <v>75</v>
      </c>
      <c r="K746" t="str">
        <f t="shared" si="22"/>
        <v>Хорошо</v>
      </c>
      <c r="L746" t="str">
        <f t="shared" si="23"/>
        <v>Часто</v>
      </c>
    </row>
    <row r="747" spans="1:12" x14ac:dyDescent="0.2">
      <c r="A747" t="s">
        <v>117</v>
      </c>
      <c r="B747">
        <v>4</v>
      </c>
      <c r="C747">
        <v>3</v>
      </c>
      <c r="D747">
        <v>1</v>
      </c>
      <c r="E747">
        <v>4</v>
      </c>
      <c r="F747">
        <v>3</v>
      </c>
      <c r="G747">
        <v>4</v>
      </c>
      <c r="H747">
        <v>4</v>
      </c>
      <c r="I747">
        <v>1</v>
      </c>
      <c r="J747" s="8">
        <v>80</v>
      </c>
      <c r="K747" t="str">
        <f t="shared" si="22"/>
        <v>Хорошо</v>
      </c>
      <c r="L747" t="str">
        <f t="shared" si="23"/>
        <v>Часто</v>
      </c>
    </row>
    <row r="748" spans="1:12" x14ac:dyDescent="0.2">
      <c r="A748" t="s">
        <v>117</v>
      </c>
      <c r="B748">
        <v>4</v>
      </c>
      <c r="C748">
        <v>3</v>
      </c>
      <c r="D748">
        <v>1</v>
      </c>
      <c r="E748">
        <v>4</v>
      </c>
      <c r="F748">
        <v>4</v>
      </c>
      <c r="G748">
        <v>4</v>
      </c>
      <c r="H748">
        <v>4</v>
      </c>
      <c r="I748">
        <v>3</v>
      </c>
      <c r="J748" s="8">
        <v>80</v>
      </c>
      <c r="K748" t="str">
        <f t="shared" si="22"/>
        <v>Хорошо</v>
      </c>
      <c r="L748" t="str">
        <f t="shared" si="23"/>
        <v>Часто</v>
      </c>
    </row>
    <row r="749" spans="1:12" x14ac:dyDescent="0.2">
      <c r="A749" t="s">
        <v>117</v>
      </c>
      <c r="B749">
        <v>1</v>
      </c>
      <c r="C749">
        <v>5</v>
      </c>
      <c r="D749">
        <v>1</v>
      </c>
      <c r="E749">
        <v>6</v>
      </c>
      <c r="F749">
        <v>6</v>
      </c>
      <c r="G749">
        <v>4</v>
      </c>
      <c r="H749">
        <v>4</v>
      </c>
      <c r="I749">
        <v>3</v>
      </c>
      <c r="J749" s="8">
        <v>80</v>
      </c>
      <c r="K749" t="str">
        <f t="shared" si="22"/>
        <v>Хорошо</v>
      </c>
      <c r="L749" t="str">
        <f t="shared" si="23"/>
        <v>Часто</v>
      </c>
    </row>
    <row r="750" spans="1:12" x14ac:dyDescent="0.2">
      <c r="A750" t="s">
        <v>116</v>
      </c>
      <c r="B750">
        <v>5</v>
      </c>
      <c r="C750">
        <v>5</v>
      </c>
      <c r="D750">
        <v>1</v>
      </c>
      <c r="E750">
        <v>4</v>
      </c>
      <c r="F750">
        <v>5</v>
      </c>
      <c r="G750">
        <v>4</v>
      </c>
      <c r="H750">
        <v>1</v>
      </c>
      <c r="I750">
        <v>2</v>
      </c>
      <c r="J750" s="8">
        <v>85</v>
      </c>
      <c r="K750" t="str">
        <f t="shared" si="22"/>
        <v>Отлично</v>
      </c>
      <c r="L750" t="str">
        <f t="shared" si="23"/>
        <v>Часто</v>
      </c>
    </row>
    <row r="751" spans="1:12" x14ac:dyDescent="0.2">
      <c r="A751" t="s">
        <v>117</v>
      </c>
      <c r="B751">
        <v>5</v>
      </c>
      <c r="C751">
        <v>3</v>
      </c>
      <c r="D751">
        <v>1</v>
      </c>
      <c r="E751">
        <v>4</v>
      </c>
      <c r="F751">
        <v>4</v>
      </c>
      <c r="G751">
        <v>4</v>
      </c>
      <c r="H751">
        <v>3</v>
      </c>
      <c r="I751">
        <v>2</v>
      </c>
      <c r="J751" s="8">
        <v>85</v>
      </c>
      <c r="K751" t="str">
        <f t="shared" si="22"/>
        <v>Отлично</v>
      </c>
      <c r="L751" t="str">
        <f t="shared" si="23"/>
        <v>Часто</v>
      </c>
    </row>
    <row r="752" spans="1:12" x14ac:dyDescent="0.2">
      <c r="A752" t="s">
        <v>117</v>
      </c>
      <c r="B752">
        <v>1</v>
      </c>
      <c r="C752">
        <v>4</v>
      </c>
      <c r="D752">
        <v>1</v>
      </c>
      <c r="E752">
        <v>4</v>
      </c>
      <c r="F752">
        <v>4</v>
      </c>
      <c r="G752">
        <v>4</v>
      </c>
      <c r="H752">
        <v>1</v>
      </c>
      <c r="I752">
        <v>2</v>
      </c>
      <c r="J752" s="8">
        <v>85</v>
      </c>
      <c r="K752" t="str">
        <f t="shared" si="22"/>
        <v>Отлично</v>
      </c>
      <c r="L752" t="str">
        <f t="shared" si="23"/>
        <v>Часто</v>
      </c>
    </row>
    <row r="753" spans="1:12" x14ac:dyDescent="0.2">
      <c r="A753" t="s">
        <v>117</v>
      </c>
      <c r="B753">
        <v>6</v>
      </c>
      <c r="C753">
        <v>5</v>
      </c>
      <c r="D753">
        <v>1</v>
      </c>
      <c r="E753">
        <v>3</v>
      </c>
      <c r="F753">
        <v>3</v>
      </c>
      <c r="G753">
        <v>4</v>
      </c>
      <c r="H753">
        <v>4</v>
      </c>
      <c r="I753">
        <v>5</v>
      </c>
      <c r="J753" s="8">
        <v>85</v>
      </c>
      <c r="K753" t="str">
        <f t="shared" si="22"/>
        <v>Отлично</v>
      </c>
      <c r="L753" t="str">
        <f t="shared" si="23"/>
        <v>Часто</v>
      </c>
    </row>
    <row r="754" spans="1:12" x14ac:dyDescent="0.2">
      <c r="A754" t="s">
        <v>117</v>
      </c>
      <c r="B754">
        <v>2</v>
      </c>
      <c r="C754">
        <v>5</v>
      </c>
      <c r="D754">
        <v>1</v>
      </c>
      <c r="E754">
        <v>5</v>
      </c>
      <c r="F754">
        <v>5</v>
      </c>
      <c r="G754">
        <v>4</v>
      </c>
      <c r="H754">
        <v>4</v>
      </c>
      <c r="I754">
        <v>5</v>
      </c>
      <c r="J754" s="8">
        <v>86</v>
      </c>
      <c r="K754" t="str">
        <f t="shared" si="22"/>
        <v>Отлично</v>
      </c>
      <c r="L754" t="str">
        <f t="shared" si="23"/>
        <v>Часто</v>
      </c>
    </row>
    <row r="755" spans="1:12" x14ac:dyDescent="0.2">
      <c r="A755" t="s">
        <v>116</v>
      </c>
      <c r="B755">
        <v>10</v>
      </c>
      <c r="C755">
        <v>5</v>
      </c>
      <c r="D755">
        <v>1</v>
      </c>
      <c r="E755">
        <v>2</v>
      </c>
      <c r="F755">
        <v>4</v>
      </c>
      <c r="G755">
        <v>4</v>
      </c>
      <c r="H755">
        <v>1</v>
      </c>
      <c r="I755">
        <v>1</v>
      </c>
      <c r="J755" s="8">
        <v>90</v>
      </c>
      <c r="K755" t="str">
        <f t="shared" si="22"/>
        <v>Отлично</v>
      </c>
      <c r="L755" t="str">
        <f t="shared" si="23"/>
        <v>Часто</v>
      </c>
    </row>
    <row r="756" spans="1:12" x14ac:dyDescent="0.2">
      <c r="A756" t="s">
        <v>116</v>
      </c>
      <c r="B756">
        <v>1</v>
      </c>
      <c r="C756">
        <v>5</v>
      </c>
      <c r="D756">
        <v>1</v>
      </c>
      <c r="E756">
        <v>5</v>
      </c>
      <c r="F756">
        <v>5</v>
      </c>
      <c r="G756">
        <v>4</v>
      </c>
      <c r="H756">
        <v>3</v>
      </c>
      <c r="I756">
        <v>1</v>
      </c>
      <c r="J756" s="8">
        <v>90</v>
      </c>
      <c r="K756" t="str">
        <f t="shared" si="22"/>
        <v>Отлично</v>
      </c>
      <c r="L756" t="str">
        <f t="shared" si="23"/>
        <v>Часто</v>
      </c>
    </row>
    <row r="757" spans="1:12" x14ac:dyDescent="0.2">
      <c r="A757" t="s">
        <v>117</v>
      </c>
      <c r="B757">
        <v>5</v>
      </c>
      <c r="C757">
        <v>4</v>
      </c>
      <c r="D757">
        <v>1</v>
      </c>
      <c r="E757">
        <v>4</v>
      </c>
      <c r="F757">
        <v>4</v>
      </c>
      <c r="G757">
        <v>4</v>
      </c>
      <c r="H757">
        <v>3</v>
      </c>
      <c r="I757">
        <v>1</v>
      </c>
      <c r="J757" s="8">
        <v>90</v>
      </c>
      <c r="K757" t="str">
        <f t="shared" si="22"/>
        <v>Отлично</v>
      </c>
      <c r="L757" t="str">
        <f t="shared" si="23"/>
        <v>Часто</v>
      </c>
    </row>
    <row r="758" spans="1:12" x14ac:dyDescent="0.2">
      <c r="A758" t="s">
        <v>117</v>
      </c>
      <c r="B758">
        <v>2</v>
      </c>
      <c r="C758">
        <v>3</v>
      </c>
      <c r="D758">
        <v>1</v>
      </c>
      <c r="E758">
        <v>4</v>
      </c>
      <c r="F758">
        <v>5</v>
      </c>
      <c r="G758">
        <v>4</v>
      </c>
      <c r="H758">
        <v>2</v>
      </c>
      <c r="I758">
        <v>2</v>
      </c>
      <c r="J758" s="8">
        <v>93.5</v>
      </c>
      <c r="K758" t="str">
        <f t="shared" si="22"/>
        <v>Отлично</v>
      </c>
      <c r="L758" t="str">
        <f t="shared" si="23"/>
        <v>Часто</v>
      </c>
    </row>
    <row r="759" spans="1:12" x14ac:dyDescent="0.2">
      <c r="A759" t="s">
        <v>117</v>
      </c>
      <c r="B759">
        <v>4</v>
      </c>
      <c r="C759">
        <v>5</v>
      </c>
      <c r="D759">
        <v>1</v>
      </c>
      <c r="E759">
        <v>4</v>
      </c>
      <c r="F759">
        <v>4</v>
      </c>
      <c r="G759">
        <v>4</v>
      </c>
      <c r="H759">
        <v>4</v>
      </c>
      <c r="I759">
        <v>4</v>
      </c>
      <c r="J759" s="8">
        <v>95</v>
      </c>
      <c r="K759" t="str">
        <f t="shared" si="22"/>
        <v>Отлично</v>
      </c>
      <c r="L759" t="str">
        <f t="shared" si="23"/>
        <v>Часто</v>
      </c>
    </row>
    <row r="760" spans="1:12" x14ac:dyDescent="0.2">
      <c r="A760" t="s">
        <v>117</v>
      </c>
      <c r="B760">
        <v>4</v>
      </c>
      <c r="C760">
        <v>5</v>
      </c>
      <c r="D760">
        <v>1</v>
      </c>
      <c r="E760">
        <v>5</v>
      </c>
      <c r="F760">
        <v>5</v>
      </c>
      <c r="G760">
        <v>4</v>
      </c>
      <c r="H760">
        <v>3</v>
      </c>
      <c r="I760">
        <v>2</v>
      </c>
      <c r="J760" s="8">
        <v>95</v>
      </c>
      <c r="K760" t="str">
        <f t="shared" si="22"/>
        <v>Отлично</v>
      </c>
      <c r="L760" t="str">
        <f t="shared" si="23"/>
        <v>Часто</v>
      </c>
    </row>
    <row r="761" spans="1:12" x14ac:dyDescent="0.2">
      <c r="A761" t="s">
        <v>116</v>
      </c>
      <c r="B761">
        <v>5</v>
      </c>
      <c r="C761">
        <v>3</v>
      </c>
      <c r="D761">
        <v>1</v>
      </c>
      <c r="E761">
        <v>4</v>
      </c>
      <c r="F761">
        <v>4</v>
      </c>
      <c r="G761">
        <v>4</v>
      </c>
      <c r="H761">
        <v>2</v>
      </c>
      <c r="I761">
        <v>3</v>
      </c>
      <c r="J761" s="8">
        <v>100</v>
      </c>
      <c r="K761" t="str">
        <f t="shared" si="22"/>
        <v>Отлично</v>
      </c>
      <c r="L761" t="str">
        <f t="shared" si="23"/>
        <v>Часто</v>
      </c>
    </row>
    <row r="762" spans="1:12" x14ac:dyDescent="0.2">
      <c r="A762" t="s">
        <v>116</v>
      </c>
      <c r="B762">
        <v>5</v>
      </c>
      <c r="C762">
        <v>5</v>
      </c>
      <c r="D762">
        <v>1</v>
      </c>
      <c r="E762">
        <v>3</v>
      </c>
      <c r="F762">
        <v>5</v>
      </c>
      <c r="G762">
        <v>4</v>
      </c>
      <c r="H762">
        <v>2</v>
      </c>
      <c r="I762">
        <v>2</v>
      </c>
      <c r="J762" s="8">
        <v>100</v>
      </c>
      <c r="K762" t="str">
        <f t="shared" si="22"/>
        <v>Отлично</v>
      </c>
      <c r="L762" t="str">
        <f t="shared" si="23"/>
        <v>Часто</v>
      </c>
    </row>
    <row r="763" spans="1:12" x14ac:dyDescent="0.2">
      <c r="A763" t="s">
        <v>116</v>
      </c>
      <c r="B763">
        <v>6</v>
      </c>
      <c r="C763">
        <v>5</v>
      </c>
      <c r="D763">
        <v>1</v>
      </c>
      <c r="E763">
        <v>4</v>
      </c>
      <c r="F763">
        <v>4</v>
      </c>
      <c r="G763">
        <v>4</v>
      </c>
      <c r="H763">
        <v>1</v>
      </c>
      <c r="I763">
        <v>2</v>
      </c>
      <c r="J763" s="8">
        <v>100</v>
      </c>
      <c r="K763" t="str">
        <f t="shared" si="22"/>
        <v>Отлично</v>
      </c>
      <c r="L763" t="str">
        <f t="shared" si="23"/>
        <v>Часто</v>
      </c>
    </row>
    <row r="764" spans="1:12" x14ac:dyDescent="0.2">
      <c r="A764" t="s">
        <v>116</v>
      </c>
      <c r="B764">
        <v>5</v>
      </c>
      <c r="C764">
        <v>5</v>
      </c>
      <c r="D764">
        <v>1</v>
      </c>
      <c r="E764">
        <v>5</v>
      </c>
      <c r="F764">
        <v>6</v>
      </c>
      <c r="G764">
        <v>4</v>
      </c>
      <c r="H764">
        <v>3</v>
      </c>
      <c r="I764">
        <v>2</v>
      </c>
      <c r="J764" s="8">
        <v>100</v>
      </c>
      <c r="K764" t="str">
        <f t="shared" si="22"/>
        <v>Отлично</v>
      </c>
      <c r="L764" t="str">
        <f t="shared" si="23"/>
        <v>Часто</v>
      </c>
    </row>
    <row r="765" spans="1:12" x14ac:dyDescent="0.2">
      <c r="A765" t="s">
        <v>116</v>
      </c>
      <c r="B765">
        <v>5</v>
      </c>
      <c r="C765">
        <v>5</v>
      </c>
      <c r="D765">
        <v>1</v>
      </c>
      <c r="E765">
        <v>6</v>
      </c>
      <c r="F765">
        <v>6</v>
      </c>
      <c r="G765">
        <v>4</v>
      </c>
      <c r="H765">
        <v>1</v>
      </c>
      <c r="I765">
        <v>1</v>
      </c>
      <c r="J765" s="8">
        <v>100</v>
      </c>
      <c r="K765" t="str">
        <f t="shared" si="22"/>
        <v>Отлично</v>
      </c>
      <c r="L765" t="str">
        <f t="shared" si="23"/>
        <v>Часто</v>
      </c>
    </row>
    <row r="766" spans="1:12" x14ac:dyDescent="0.2">
      <c r="A766" t="s">
        <v>117</v>
      </c>
      <c r="B766">
        <v>6</v>
      </c>
      <c r="C766">
        <v>3</v>
      </c>
      <c r="D766">
        <v>1</v>
      </c>
      <c r="E766">
        <v>4</v>
      </c>
      <c r="F766">
        <v>6</v>
      </c>
      <c r="G766">
        <v>4</v>
      </c>
      <c r="H766">
        <v>4</v>
      </c>
      <c r="I766">
        <v>3</v>
      </c>
      <c r="J766" s="8">
        <v>100</v>
      </c>
      <c r="K766" t="str">
        <f t="shared" si="22"/>
        <v>Отлично</v>
      </c>
      <c r="L766" t="str">
        <f t="shared" si="23"/>
        <v>Часто</v>
      </c>
    </row>
    <row r="767" spans="1:12" x14ac:dyDescent="0.2">
      <c r="A767" t="s">
        <v>117</v>
      </c>
      <c r="B767">
        <v>6</v>
      </c>
      <c r="C767">
        <v>4</v>
      </c>
      <c r="D767">
        <v>1</v>
      </c>
      <c r="E767">
        <v>2</v>
      </c>
      <c r="F767">
        <v>2</v>
      </c>
      <c r="G767">
        <v>4</v>
      </c>
      <c r="H767">
        <v>1</v>
      </c>
      <c r="I767">
        <v>1</v>
      </c>
      <c r="J767" s="8">
        <v>100</v>
      </c>
      <c r="K767" t="str">
        <f t="shared" si="22"/>
        <v>Отлично</v>
      </c>
      <c r="L767" t="str">
        <f t="shared" si="23"/>
        <v>Часто</v>
      </c>
    </row>
    <row r="768" spans="1:12" x14ac:dyDescent="0.2">
      <c r="A768" t="s">
        <v>117</v>
      </c>
      <c r="B768">
        <v>5</v>
      </c>
      <c r="C768">
        <v>4</v>
      </c>
      <c r="D768">
        <v>1</v>
      </c>
      <c r="E768">
        <v>4</v>
      </c>
      <c r="F768">
        <v>2</v>
      </c>
      <c r="G768">
        <v>4</v>
      </c>
      <c r="H768">
        <v>2</v>
      </c>
      <c r="I768">
        <v>3</v>
      </c>
      <c r="J768" s="8">
        <v>100</v>
      </c>
      <c r="K768" t="str">
        <f t="shared" si="22"/>
        <v>Отлично</v>
      </c>
      <c r="L768" t="str">
        <f t="shared" si="23"/>
        <v>Часто</v>
      </c>
    </row>
    <row r="769" spans="1:12" x14ac:dyDescent="0.2">
      <c r="A769" t="s">
        <v>117</v>
      </c>
      <c r="B769">
        <v>6</v>
      </c>
      <c r="C769">
        <v>5</v>
      </c>
      <c r="D769">
        <v>1</v>
      </c>
      <c r="E769">
        <v>2</v>
      </c>
      <c r="F769">
        <v>2</v>
      </c>
      <c r="G769">
        <v>4</v>
      </c>
      <c r="H769">
        <v>2</v>
      </c>
      <c r="I769">
        <v>2</v>
      </c>
      <c r="J769" s="8">
        <v>100</v>
      </c>
      <c r="K769" t="str">
        <f t="shared" si="22"/>
        <v>Отлично</v>
      </c>
      <c r="L769" t="str">
        <f t="shared" si="23"/>
        <v>Часто</v>
      </c>
    </row>
    <row r="770" spans="1:12" x14ac:dyDescent="0.2">
      <c r="A770" t="s">
        <v>117</v>
      </c>
      <c r="B770">
        <v>6</v>
      </c>
      <c r="C770">
        <v>5</v>
      </c>
      <c r="D770">
        <v>1</v>
      </c>
      <c r="E770">
        <v>5</v>
      </c>
      <c r="F770">
        <v>6</v>
      </c>
      <c r="G770">
        <v>4</v>
      </c>
      <c r="H770">
        <v>1</v>
      </c>
      <c r="I770">
        <v>2</v>
      </c>
      <c r="J770" s="8">
        <v>100</v>
      </c>
      <c r="K770" t="str">
        <f t="shared" si="22"/>
        <v>Отлично</v>
      </c>
      <c r="L770" t="str">
        <f t="shared" si="23"/>
        <v>Часто</v>
      </c>
    </row>
    <row r="771" spans="1:12" x14ac:dyDescent="0.2">
      <c r="A771" t="s">
        <v>117</v>
      </c>
      <c r="B771">
        <v>6</v>
      </c>
      <c r="C771">
        <v>5</v>
      </c>
      <c r="D771">
        <v>1</v>
      </c>
      <c r="E771">
        <v>6</v>
      </c>
      <c r="F771">
        <v>0</v>
      </c>
      <c r="G771">
        <v>4</v>
      </c>
      <c r="H771">
        <v>3</v>
      </c>
      <c r="I771">
        <v>3</v>
      </c>
      <c r="J771" s="8">
        <v>100</v>
      </c>
      <c r="K771" t="str">
        <f>IF(J771&gt;20,IF(J771&gt;40,IF(J771&gt;60,IF(J771&gt;80,"Отлично","Хорошо"),"Средне"),"Плохо"),"Ужасно")</f>
        <v>Отлично</v>
      </c>
      <c r="L771" t="str">
        <f>IF(C771&gt;2,"Часто","Редко")</f>
        <v>Часто</v>
      </c>
    </row>
    <row r="773" spans="1:12" x14ac:dyDescent="0.2">
      <c r="J773" s="9"/>
    </row>
  </sheetData>
  <autoFilter ref="A1:J771" xr:uid="{F30EAD57-2722-2640-9045-129DE337E71B}">
    <sortState xmlns:xlrd2="http://schemas.microsoft.com/office/spreadsheetml/2017/richdata2" ref="A2:J771">
      <sortCondition ref="G1:G771"/>
    </sortState>
  </autoFilter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C7712-80AA-0042-850D-83C161A19578}">
  <dimension ref="A1:U387"/>
  <sheetViews>
    <sheetView zoomScale="85" zoomScaleNormal="85" workbookViewId="0">
      <selection activeCell="J32" sqref="J32"/>
    </sheetView>
  </sheetViews>
  <sheetFormatPr baseColWidth="10" defaultColWidth="11" defaultRowHeight="16" x14ac:dyDescent="0.2"/>
  <sheetData>
    <row r="1" spans="1:21" x14ac:dyDescent="0.2">
      <c r="A1" s="1"/>
      <c r="B1" s="1"/>
      <c r="C1" s="1"/>
      <c r="D1" s="1"/>
      <c r="E1" s="1"/>
      <c r="F1" s="1"/>
      <c r="G1" s="1"/>
      <c r="H1" s="1"/>
      <c r="I1" s="1"/>
      <c r="J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">
      <c r="J2" s="8"/>
      <c r="U2" s="8"/>
    </row>
    <row r="3" spans="1:21" x14ac:dyDescent="0.2">
      <c r="J3" s="8"/>
      <c r="U3" s="8"/>
    </row>
    <row r="4" spans="1:21" x14ac:dyDescent="0.2">
      <c r="J4" s="8"/>
      <c r="U4" s="8"/>
    </row>
    <row r="5" spans="1:21" x14ac:dyDescent="0.2">
      <c r="J5" s="8"/>
      <c r="U5" s="8"/>
    </row>
    <row r="6" spans="1:21" x14ac:dyDescent="0.2">
      <c r="J6" s="8"/>
      <c r="U6" s="8"/>
    </row>
    <row r="7" spans="1:21" x14ac:dyDescent="0.2">
      <c r="J7" s="8"/>
      <c r="U7" s="8"/>
    </row>
    <row r="8" spans="1:21" x14ac:dyDescent="0.2">
      <c r="J8" s="8"/>
      <c r="U8" s="8"/>
    </row>
    <row r="9" spans="1:21" x14ac:dyDescent="0.2">
      <c r="J9" s="8"/>
      <c r="U9" s="8"/>
    </row>
    <row r="10" spans="1:21" x14ac:dyDescent="0.2">
      <c r="J10" s="8"/>
      <c r="U10" s="8"/>
    </row>
    <row r="11" spans="1:21" x14ac:dyDescent="0.2">
      <c r="J11" s="8"/>
      <c r="U11" s="8"/>
    </row>
    <row r="12" spans="1:21" x14ac:dyDescent="0.2">
      <c r="J12" s="8"/>
      <c r="U12" s="8"/>
    </row>
    <row r="13" spans="1:21" x14ac:dyDescent="0.2">
      <c r="J13" s="8"/>
      <c r="U13" s="8"/>
    </row>
    <row r="14" spans="1:21" x14ac:dyDescent="0.2">
      <c r="J14" s="8"/>
      <c r="U14" s="8"/>
    </row>
    <row r="15" spans="1:21" x14ac:dyDescent="0.2">
      <c r="J15" s="8"/>
      <c r="U15" s="8"/>
    </row>
    <row r="16" spans="1:21" x14ac:dyDescent="0.2">
      <c r="J16" s="8"/>
      <c r="U16" s="8"/>
    </row>
    <row r="17" spans="10:21" x14ac:dyDescent="0.2">
      <c r="J17" s="8"/>
      <c r="U17" s="8"/>
    </row>
    <row r="18" spans="10:21" x14ac:dyDescent="0.2">
      <c r="J18" s="8"/>
      <c r="U18" s="8"/>
    </row>
    <row r="19" spans="10:21" x14ac:dyDescent="0.2">
      <c r="J19" s="8"/>
      <c r="U19" s="8"/>
    </row>
    <row r="20" spans="10:21" x14ac:dyDescent="0.2">
      <c r="J20" s="8"/>
      <c r="U20" s="8"/>
    </row>
    <row r="21" spans="10:21" x14ac:dyDescent="0.2">
      <c r="J21" s="8"/>
      <c r="U21" s="8"/>
    </row>
    <row r="22" spans="10:21" x14ac:dyDescent="0.2">
      <c r="J22" s="8"/>
      <c r="U22" s="8"/>
    </row>
    <row r="23" spans="10:21" x14ac:dyDescent="0.2">
      <c r="J23" s="8"/>
      <c r="U23" s="8"/>
    </row>
    <row r="24" spans="10:21" x14ac:dyDescent="0.2">
      <c r="J24" s="8"/>
      <c r="U24" s="8"/>
    </row>
    <row r="25" spans="10:21" x14ac:dyDescent="0.2">
      <c r="J25" s="8"/>
      <c r="U25" s="8"/>
    </row>
    <row r="26" spans="10:21" x14ac:dyDescent="0.2">
      <c r="J26" s="8"/>
      <c r="U26" s="8"/>
    </row>
    <row r="27" spans="10:21" x14ac:dyDescent="0.2">
      <c r="J27" s="8"/>
      <c r="U27" s="8"/>
    </row>
    <row r="28" spans="10:21" x14ac:dyDescent="0.2">
      <c r="J28" s="8"/>
      <c r="U28" s="8"/>
    </row>
    <row r="29" spans="10:21" x14ac:dyDescent="0.2">
      <c r="J29" s="8"/>
      <c r="U29" s="8"/>
    </row>
    <row r="30" spans="10:21" x14ac:dyDescent="0.2">
      <c r="J30" s="8"/>
      <c r="U30" s="8"/>
    </row>
    <row r="31" spans="10:21" x14ac:dyDescent="0.2">
      <c r="J31" s="8"/>
      <c r="U31" s="8"/>
    </row>
    <row r="32" spans="10:21" x14ac:dyDescent="0.2">
      <c r="J32" s="8"/>
      <c r="U32" s="8"/>
    </row>
    <row r="33" spans="10:21" x14ac:dyDescent="0.2">
      <c r="J33" s="8"/>
      <c r="U33" s="8"/>
    </row>
    <row r="34" spans="10:21" x14ac:dyDescent="0.2">
      <c r="J34" s="8"/>
      <c r="U34" s="8"/>
    </row>
    <row r="35" spans="10:21" x14ac:dyDescent="0.2">
      <c r="J35" s="8"/>
      <c r="U35" s="8"/>
    </row>
    <row r="36" spans="10:21" x14ac:dyDescent="0.2">
      <c r="J36" s="8"/>
      <c r="U36" s="8"/>
    </row>
    <row r="37" spans="10:21" x14ac:dyDescent="0.2">
      <c r="J37" s="8"/>
      <c r="U37" s="8"/>
    </row>
    <row r="38" spans="10:21" x14ac:dyDescent="0.2">
      <c r="J38" s="8"/>
      <c r="U38" s="8"/>
    </row>
    <row r="39" spans="10:21" x14ac:dyDescent="0.2">
      <c r="J39" s="8"/>
      <c r="U39" s="8"/>
    </row>
    <row r="40" spans="10:21" x14ac:dyDescent="0.2">
      <c r="J40" s="8"/>
      <c r="U40" s="8"/>
    </row>
    <row r="41" spans="10:21" x14ac:dyDescent="0.2">
      <c r="J41" s="8"/>
      <c r="U41" s="8"/>
    </row>
    <row r="42" spans="10:21" x14ac:dyDescent="0.2">
      <c r="J42" s="8"/>
      <c r="U42" s="8"/>
    </row>
    <row r="43" spans="10:21" x14ac:dyDescent="0.2">
      <c r="J43" s="8"/>
      <c r="U43" s="8"/>
    </row>
    <row r="44" spans="10:21" x14ac:dyDescent="0.2">
      <c r="J44" s="8"/>
      <c r="U44" s="8"/>
    </row>
    <row r="45" spans="10:21" x14ac:dyDescent="0.2">
      <c r="J45" s="8"/>
      <c r="U45" s="8"/>
    </row>
    <row r="46" spans="10:21" x14ac:dyDescent="0.2">
      <c r="J46" s="8"/>
      <c r="U46" s="8"/>
    </row>
    <row r="47" spans="10:21" x14ac:dyDescent="0.2">
      <c r="J47" s="8"/>
      <c r="U47" s="8"/>
    </row>
    <row r="48" spans="10:21" x14ac:dyDescent="0.2">
      <c r="J48" s="8"/>
      <c r="U48" s="8"/>
    </row>
    <row r="49" spans="10:21" x14ac:dyDescent="0.2">
      <c r="J49" s="8"/>
      <c r="U49" s="8"/>
    </row>
    <row r="50" spans="10:21" x14ac:dyDescent="0.2">
      <c r="J50" s="8"/>
      <c r="U50" s="8"/>
    </row>
    <row r="51" spans="10:21" x14ac:dyDescent="0.2">
      <c r="J51" s="8"/>
      <c r="U51" s="8"/>
    </row>
    <row r="52" spans="10:21" x14ac:dyDescent="0.2">
      <c r="J52" s="8"/>
      <c r="U52" s="8"/>
    </row>
    <row r="53" spans="10:21" x14ac:dyDescent="0.2">
      <c r="J53" s="8"/>
      <c r="U53" s="8"/>
    </row>
    <row r="54" spans="10:21" x14ac:dyDescent="0.2">
      <c r="J54" s="8"/>
      <c r="U54" s="8"/>
    </row>
    <row r="55" spans="10:21" x14ac:dyDescent="0.2">
      <c r="J55" s="8"/>
      <c r="U55" s="8"/>
    </row>
    <row r="56" spans="10:21" x14ac:dyDescent="0.2">
      <c r="J56" s="8"/>
      <c r="U56" s="8"/>
    </row>
    <row r="57" spans="10:21" x14ac:dyDescent="0.2">
      <c r="J57" s="8"/>
      <c r="U57" s="8"/>
    </row>
    <row r="58" spans="10:21" x14ac:dyDescent="0.2">
      <c r="J58" s="8"/>
      <c r="U58" s="8"/>
    </row>
    <row r="59" spans="10:21" x14ac:dyDescent="0.2">
      <c r="J59" s="8"/>
      <c r="U59" s="8"/>
    </row>
    <row r="60" spans="10:21" x14ac:dyDescent="0.2">
      <c r="J60" s="8"/>
      <c r="U60" s="8"/>
    </row>
    <row r="61" spans="10:21" x14ac:dyDescent="0.2">
      <c r="J61" s="8"/>
      <c r="U61" s="8"/>
    </row>
    <row r="62" spans="10:21" x14ac:dyDescent="0.2">
      <c r="J62" s="8"/>
      <c r="U62" s="8"/>
    </row>
    <row r="63" spans="10:21" x14ac:dyDescent="0.2">
      <c r="J63" s="8"/>
      <c r="U63" s="8"/>
    </row>
    <row r="64" spans="10:21" x14ac:dyDescent="0.2">
      <c r="J64" s="8"/>
      <c r="U64" s="8"/>
    </row>
    <row r="65" spans="10:21" x14ac:dyDescent="0.2">
      <c r="J65" s="8"/>
      <c r="U65" s="8"/>
    </row>
    <row r="66" spans="10:21" x14ac:dyDescent="0.2">
      <c r="J66" s="8"/>
      <c r="U66" s="8"/>
    </row>
    <row r="67" spans="10:21" x14ac:dyDescent="0.2">
      <c r="J67" s="8"/>
      <c r="U67" s="8"/>
    </row>
    <row r="68" spans="10:21" x14ac:dyDescent="0.2">
      <c r="J68" s="8"/>
      <c r="U68" s="8"/>
    </row>
    <row r="69" spans="10:21" x14ac:dyDescent="0.2">
      <c r="J69" s="8"/>
      <c r="U69" s="8"/>
    </row>
    <row r="70" spans="10:21" x14ac:dyDescent="0.2">
      <c r="J70" s="8"/>
      <c r="U70" s="8"/>
    </row>
    <row r="71" spans="10:21" x14ac:dyDescent="0.2">
      <c r="J71" s="8"/>
      <c r="U71" s="8"/>
    </row>
    <row r="72" spans="10:21" x14ac:dyDescent="0.2">
      <c r="J72" s="8"/>
      <c r="U72" s="8"/>
    </row>
    <row r="73" spans="10:21" x14ac:dyDescent="0.2">
      <c r="J73" s="8"/>
      <c r="U73" s="8"/>
    </row>
    <row r="74" spans="10:21" x14ac:dyDescent="0.2">
      <c r="J74" s="8"/>
      <c r="U74" s="8"/>
    </row>
    <row r="75" spans="10:21" x14ac:dyDescent="0.2">
      <c r="J75" s="8"/>
      <c r="U75" s="8"/>
    </row>
    <row r="76" spans="10:21" x14ac:dyDescent="0.2">
      <c r="J76" s="8"/>
      <c r="U76" s="8"/>
    </row>
    <row r="77" spans="10:21" x14ac:dyDescent="0.2">
      <c r="J77" s="8"/>
      <c r="U77" s="8"/>
    </row>
    <row r="78" spans="10:21" x14ac:dyDescent="0.2">
      <c r="J78" s="8"/>
      <c r="U78" s="8"/>
    </row>
    <row r="79" spans="10:21" x14ac:dyDescent="0.2">
      <c r="J79" s="8"/>
      <c r="U79" s="8"/>
    </row>
    <row r="80" spans="10:21" x14ac:dyDescent="0.2">
      <c r="J80" s="8"/>
      <c r="U80" s="8"/>
    </row>
    <row r="81" spans="10:21" x14ac:dyDescent="0.2">
      <c r="J81" s="8"/>
      <c r="U81" s="8"/>
    </row>
    <row r="82" spans="10:21" x14ac:dyDescent="0.2">
      <c r="J82" s="8"/>
      <c r="U82" s="8"/>
    </row>
    <row r="83" spans="10:21" x14ac:dyDescent="0.2">
      <c r="J83" s="8"/>
      <c r="U83" s="8"/>
    </row>
    <row r="84" spans="10:21" x14ac:dyDescent="0.2">
      <c r="J84" s="8"/>
      <c r="U84" s="8"/>
    </row>
    <row r="85" spans="10:21" x14ac:dyDescent="0.2">
      <c r="J85" s="8"/>
      <c r="U85" s="8"/>
    </row>
    <row r="86" spans="10:21" x14ac:dyDescent="0.2">
      <c r="J86" s="8"/>
      <c r="U86" s="8"/>
    </row>
    <row r="87" spans="10:21" x14ac:dyDescent="0.2">
      <c r="J87" s="8"/>
      <c r="U87" s="8"/>
    </row>
    <row r="88" spans="10:21" x14ac:dyDescent="0.2">
      <c r="J88" s="8"/>
      <c r="U88" s="8"/>
    </row>
    <row r="89" spans="10:21" x14ac:dyDescent="0.2">
      <c r="J89" s="8"/>
      <c r="U89" s="8"/>
    </row>
    <row r="90" spans="10:21" x14ac:dyDescent="0.2">
      <c r="J90" s="8"/>
      <c r="U90" s="8"/>
    </row>
    <row r="91" spans="10:21" x14ac:dyDescent="0.2">
      <c r="J91" s="8"/>
      <c r="U91" s="8"/>
    </row>
    <row r="92" spans="10:21" x14ac:dyDescent="0.2">
      <c r="J92" s="8"/>
      <c r="U92" s="8"/>
    </row>
    <row r="93" spans="10:21" x14ac:dyDescent="0.2">
      <c r="J93" s="8"/>
      <c r="U93" s="8"/>
    </row>
    <row r="94" spans="10:21" x14ac:dyDescent="0.2">
      <c r="J94" s="8"/>
      <c r="U94" s="8"/>
    </row>
    <row r="95" spans="10:21" x14ac:dyDescent="0.2">
      <c r="J95" s="8"/>
      <c r="U95" s="8"/>
    </row>
    <row r="96" spans="10:21" x14ac:dyDescent="0.2">
      <c r="J96" s="8"/>
      <c r="U96" s="8"/>
    </row>
    <row r="97" spans="10:21" x14ac:dyDescent="0.2">
      <c r="J97" s="8"/>
      <c r="U97" s="8"/>
    </row>
    <row r="98" spans="10:21" x14ac:dyDescent="0.2">
      <c r="J98" s="8"/>
      <c r="U98" s="8"/>
    </row>
    <row r="99" spans="10:21" x14ac:dyDescent="0.2">
      <c r="J99" s="8"/>
      <c r="U99" s="8"/>
    </row>
    <row r="100" spans="10:21" x14ac:dyDescent="0.2">
      <c r="J100" s="8"/>
      <c r="U100" s="8"/>
    </row>
    <row r="101" spans="10:21" x14ac:dyDescent="0.2">
      <c r="J101" s="8"/>
      <c r="U101" s="8"/>
    </row>
    <row r="102" spans="10:21" x14ac:dyDescent="0.2">
      <c r="J102" s="8"/>
      <c r="U102" s="8"/>
    </row>
    <row r="103" spans="10:21" x14ac:dyDescent="0.2">
      <c r="J103" s="8"/>
      <c r="U103" s="8"/>
    </row>
    <row r="104" spans="10:21" x14ac:dyDescent="0.2">
      <c r="J104" s="8"/>
      <c r="U104" s="8"/>
    </row>
    <row r="105" spans="10:21" x14ac:dyDescent="0.2">
      <c r="J105" s="8"/>
      <c r="U105" s="8"/>
    </row>
    <row r="106" spans="10:21" x14ac:dyDescent="0.2">
      <c r="J106" s="8"/>
      <c r="U106" s="8"/>
    </row>
    <row r="107" spans="10:21" x14ac:dyDescent="0.2">
      <c r="J107" s="8"/>
      <c r="U107" s="8"/>
    </row>
    <row r="108" spans="10:21" x14ac:dyDescent="0.2">
      <c r="J108" s="8"/>
      <c r="U108" s="8"/>
    </row>
    <row r="109" spans="10:21" x14ac:dyDescent="0.2">
      <c r="J109" s="8"/>
      <c r="U109" s="8"/>
    </row>
    <row r="110" spans="10:21" x14ac:dyDescent="0.2">
      <c r="J110" s="8"/>
      <c r="U110" s="8"/>
    </row>
    <row r="111" spans="10:21" x14ac:dyDescent="0.2">
      <c r="J111" s="8"/>
      <c r="U111" s="8"/>
    </row>
    <row r="112" spans="10:21" x14ac:dyDescent="0.2">
      <c r="J112" s="8"/>
      <c r="U112" s="8"/>
    </row>
    <row r="113" spans="10:21" x14ac:dyDescent="0.2">
      <c r="J113" s="8"/>
      <c r="U113" s="8"/>
    </row>
    <row r="114" spans="10:21" x14ac:dyDescent="0.2">
      <c r="J114" s="8"/>
      <c r="U114" s="8"/>
    </row>
    <row r="115" spans="10:21" x14ac:dyDescent="0.2">
      <c r="J115" s="8"/>
      <c r="U115" s="8"/>
    </row>
    <row r="116" spans="10:21" x14ac:dyDescent="0.2">
      <c r="J116" s="8"/>
      <c r="U116" s="8"/>
    </row>
    <row r="117" spans="10:21" x14ac:dyDescent="0.2">
      <c r="J117" s="8"/>
      <c r="U117" s="8"/>
    </row>
    <row r="118" spans="10:21" x14ac:dyDescent="0.2">
      <c r="J118" s="8"/>
      <c r="U118" s="8"/>
    </row>
    <row r="119" spans="10:21" x14ac:dyDescent="0.2">
      <c r="J119" s="8"/>
      <c r="U119" s="8"/>
    </row>
    <row r="120" spans="10:21" x14ac:dyDescent="0.2">
      <c r="J120" s="8"/>
      <c r="U120" s="8"/>
    </row>
    <row r="121" spans="10:21" x14ac:dyDescent="0.2">
      <c r="J121" s="8"/>
      <c r="U121" s="8"/>
    </row>
    <row r="122" spans="10:21" x14ac:dyDescent="0.2">
      <c r="J122" s="8"/>
      <c r="U122" s="8"/>
    </row>
    <row r="123" spans="10:21" x14ac:dyDescent="0.2">
      <c r="J123" s="8"/>
      <c r="U123" s="8"/>
    </row>
    <row r="124" spans="10:21" x14ac:dyDescent="0.2">
      <c r="J124" s="8"/>
      <c r="U124" s="8"/>
    </row>
    <row r="125" spans="10:21" x14ac:dyDescent="0.2">
      <c r="J125" s="8"/>
      <c r="U125" s="8"/>
    </row>
    <row r="126" spans="10:21" x14ac:dyDescent="0.2">
      <c r="J126" s="8"/>
      <c r="U126" s="8"/>
    </row>
    <row r="127" spans="10:21" x14ac:dyDescent="0.2">
      <c r="J127" s="8"/>
      <c r="U127" s="8"/>
    </row>
    <row r="128" spans="10:21" x14ac:dyDescent="0.2">
      <c r="J128" s="8"/>
      <c r="U128" s="8"/>
    </row>
    <row r="129" spans="10:21" x14ac:dyDescent="0.2">
      <c r="J129" s="8"/>
      <c r="U129" s="8"/>
    </row>
    <row r="130" spans="10:21" x14ac:dyDescent="0.2">
      <c r="J130" s="8"/>
      <c r="U130" s="8"/>
    </row>
    <row r="131" spans="10:21" x14ac:dyDescent="0.2">
      <c r="J131" s="8"/>
      <c r="U131" s="8"/>
    </row>
    <row r="132" spans="10:21" x14ac:dyDescent="0.2">
      <c r="J132" s="8"/>
      <c r="U132" s="8"/>
    </row>
    <row r="133" spans="10:21" x14ac:dyDescent="0.2">
      <c r="J133" s="8"/>
      <c r="U133" s="8"/>
    </row>
    <row r="134" spans="10:21" x14ac:dyDescent="0.2">
      <c r="J134" s="8"/>
      <c r="U134" s="8"/>
    </row>
    <row r="135" spans="10:21" x14ac:dyDescent="0.2">
      <c r="J135" s="8"/>
      <c r="U135" s="8"/>
    </row>
    <row r="136" spans="10:21" x14ac:dyDescent="0.2">
      <c r="J136" s="8"/>
      <c r="U136" s="8"/>
    </row>
    <row r="137" spans="10:21" x14ac:dyDescent="0.2">
      <c r="J137" s="8"/>
      <c r="U137" s="8"/>
    </row>
    <row r="138" spans="10:21" x14ac:dyDescent="0.2">
      <c r="J138" s="8"/>
      <c r="U138" s="8"/>
    </row>
    <row r="139" spans="10:21" x14ac:dyDescent="0.2">
      <c r="J139" s="8"/>
      <c r="U139" s="8"/>
    </row>
    <row r="140" spans="10:21" x14ac:dyDescent="0.2">
      <c r="J140" s="8"/>
      <c r="U140" s="8"/>
    </row>
    <row r="141" spans="10:21" x14ac:dyDescent="0.2">
      <c r="J141" s="8"/>
      <c r="U141" s="8"/>
    </row>
    <row r="142" spans="10:21" x14ac:dyDescent="0.2">
      <c r="J142" s="8"/>
      <c r="U142" s="8"/>
    </row>
    <row r="143" spans="10:21" x14ac:dyDescent="0.2">
      <c r="J143" s="8"/>
      <c r="U143" s="8"/>
    </row>
    <row r="144" spans="10:21" x14ac:dyDescent="0.2">
      <c r="J144" s="8"/>
      <c r="U144" s="8"/>
    </row>
    <row r="145" spans="10:21" x14ac:dyDescent="0.2">
      <c r="J145" s="8"/>
      <c r="U145" s="8"/>
    </row>
    <row r="146" spans="10:21" x14ac:dyDescent="0.2">
      <c r="J146" s="8"/>
      <c r="U146" s="8"/>
    </row>
    <row r="147" spans="10:21" x14ac:dyDescent="0.2">
      <c r="J147" s="8"/>
      <c r="U147" s="8"/>
    </row>
    <row r="148" spans="10:21" x14ac:dyDescent="0.2">
      <c r="J148" s="8"/>
      <c r="U148" s="8"/>
    </row>
    <row r="149" spans="10:21" x14ac:dyDescent="0.2">
      <c r="J149" s="8"/>
      <c r="U149" s="8"/>
    </row>
    <row r="150" spans="10:21" x14ac:dyDescent="0.2">
      <c r="J150" s="8"/>
      <c r="U150" s="8"/>
    </row>
    <row r="151" spans="10:21" x14ac:dyDescent="0.2">
      <c r="J151" s="8"/>
      <c r="U151" s="8"/>
    </row>
    <row r="152" spans="10:21" x14ac:dyDescent="0.2">
      <c r="J152" s="8"/>
      <c r="U152" s="8"/>
    </row>
    <row r="153" spans="10:21" x14ac:dyDescent="0.2">
      <c r="J153" s="8"/>
      <c r="U153" s="8"/>
    </row>
    <row r="154" spans="10:21" x14ac:dyDescent="0.2">
      <c r="J154" s="8"/>
      <c r="U154" s="8"/>
    </row>
    <row r="155" spans="10:21" x14ac:dyDescent="0.2">
      <c r="J155" s="8"/>
      <c r="U155" s="8"/>
    </row>
    <row r="156" spans="10:21" x14ac:dyDescent="0.2">
      <c r="J156" s="8"/>
      <c r="U156" s="8"/>
    </row>
    <row r="157" spans="10:21" x14ac:dyDescent="0.2">
      <c r="J157" s="8"/>
      <c r="U157" s="8"/>
    </row>
    <row r="158" spans="10:21" x14ac:dyDescent="0.2">
      <c r="J158" s="8"/>
      <c r="U158" s="8"/>
    </row>
    <row r="159" spans="10:21" x14ac:dyDescent="0.2">
      <c r="J159" s="8"/>
      <c r="U159" s="8"/>
    </row>
    <row r="160" spans="10:21" x14ac:dyDescent="0.2">
      <c r="J160" s="8"/>
      <c r="U160" s="8"/>
    </row>
    <row r="161" spans="10:21" x14ac:dyDescent="0.2">
      <c r="J161" s="8"/>
      <c r="U161" s="8"/>
    </row>
    <row r="162" spans="10:21" x14ac:dyDescent="0.2">
      <c r="J162" s="8"/>
      <c r="U162" s="8"/>
    </row>
    <row r="163" spans="10:21" x14ac:dyDescent="0.2">
      <c r="J163" s="8"/>
      <c r="U163" s="8"/>
    </row>
    <row r="164" spans="10:21" x14ac:dyDescent="0.2">
      <c r="J164" s="8"/>
      <c r="U164" s="8"/>
    </row>
    <row r="165" spans="10:21" x14ac:dyDescent="0.2">
      <c r="J165" s="8"/>
      <c r="U165" s="8"/>
    </row>
    <row r="166" spans="10:21" x14ac:dyDescent="0.2">
      <c r="J166" s="8"/>
      <c r="U166" s="8"/>
    </row>
    <row r="167" spans="10:21" x14ac:dyDescent="0.2">
      <c r="J167" s="8"/>
      <c r="U167" s="8"/>
    </row>
    <row r="168" spans="10:21" x14ac:dyDescent="0.2">
      <c r="J168" s="8"/>
      <c r="U168" s="8"/>
    </row>
    <row r="169" spans="10:21" x14ac:dyDescent="0.2">
      <c r="J169" s="8"/>
      <c r="U169" s="8"/>
    </row>
    <row r="170" spans="10:21" x14ac:dyDescent="0.2">
      <c r="J170" s="8"/>
      <c r="U170" s="8"/>
    </row>
    <row r="171" spans="10:21" x14ac:dyDescent="0.2">
      <c r="J171" s="8"/>
      <c r="U171" s="8"/>
    </row>
    <row r="172" spans="10:21" x14ac:dyDescent="0.2">
      <c r="J172" s="8"/>
      <c r="U172" s="8"/>
    </row>
    <row r="173" spans="10:21" x14ac:dyDescent="0.2">
      <c r="J173" s="8"/>
      <c r="U173" s="8"/>
    </row>
    <row r="174" spans="10:21" x14ac:dyDescent="0.2">
      <c r="J174" s="8"/>
      <c r="U174" s="8"/>
    </row>
    <row r="175" spans="10:21" x14ac:dyDescent="0.2">
      <c r="J175" s="8"/>
      <c r="U175" s="8"/>
    </row>
    <row r="176" spans="10:21" x14ac:dyDescent="0.2">
      <c r="J176" s="8"/>
      <c r="U176" s="8"/>
    </row>
    <row r="177" spans="10:21" x14ac:dyDescent="0.2">
      <c r="J177" s="8"/>
      <c r="U177" s="8"/>
    </row>
    <row r="178" spans="10:21" x14ac:dyDescent="0.2">
      <c r="J178" s="8"/>
      <c r="U178" s="8"/>
    </row>
    <row r="179" spans="10:21" x14ac:dyDescent="0.2">
      <c r="J179" s="8"/>
      <c r="U179" s="8"/>
    </row>
    <row r="180" spans="10:21" x14ac:dyDescent="0.2">
      <c r="J180" s="8"/>
      <c r="U180" s="8"/>
    </row>
    <row r="181" spans="10:21" x14ac:dyDescent="0.2">
      <c r="J181" s="8"/>
      <c r="U181" s="8"/>
    </row>
    <row r="182" spans="10:21" x14ac:dyDescent="0.2">
      <c r="J182" s="8"/>
      <c r="U182" s="8"/>
    </row>
    <row r="183" spans="10:21" x14ac:dyDescent="0.2">
      <c r="J183" s="8"/>
      <c r="U183" s="8"/>
    </row>
    <row r="184" spans="10:21" x14ac:dyDescent="0.2">
      <c r="J184" s="8"/>
      <c r="U184" s="8"/>
    </row>
    <row r="185" spans="10:21" x14ac:dyDescent="0.2">
      <c r="J185" s="8"/>
      <c r="U185" s="8"/>
    </row>
    <row r="186" spans="10:21" x14ac:dyDescent="0.2">
      <c r="J186" s="8"/>
      <c r="U186" s="8"/>
    </row>
    <row r="187" spans="10:21" x14ac:dyDescent="0.2">
      <c r="J187" s="8"/>
      <c r="U187" s="8"/>
    </row>
    <row r="188" spans="10:21" x14ac:dyDescent="0.2">
      <c r="J188" s="8"/>
      <c r="U188" s="8"/>
    </row>
    <row r="189" spans="10:21" x14ac:dyDescent="0.2">
      <c r="J189" s="8"/>
      <c r="U189" s="8"/>
    </row>
    <row r="190" spans="10:21" x14ac:dyDescent="0.2">
      <c r="J190" s="8"/>
      <c r="U190" s="8"/>
    </row>
    <row r="191" spans="10:21" x14ac:dyDescent="0.2">
      <c r="J191" s="8"/>
      <c r="U191" s="8"/>
    </row>
    <row r="192" spans="10:21" x14ac:dyDescent="0.2">
      <c r="J192" s="8"/>
      <c r="U192" s="8"/>
    </row>
    <row r="193" spans="10:21" x14ac:dyDescent="0.2">
      <c r="J193" s="8"/>
      <c r="U193" s="8"/>
    </row>
    <row r="194" spans="10:21" x14ac:dyDescent="0.2">
      <c r="J194" s="8"/>
      <c r="U194" s="8"/>
    </row>
    <row r="195" spans="10:21" x14ac:dyDescent="0.2">
      <c r="J195" s="8"/>
      <c r="U195" s="8"/>
    </row>
    <row r="196" spans="10:21" x14ac:dyDescent="0.2">
      <c r="J196" s="8"/>
      <c r="U196" s="8"/>
    </row>
    <row r="197" spans="10:21" x14ac:dyDescent="0.2">
      <c r="J197" s="8"/>
      <c r="U197" s="8"/>
    </row>
    <row r="198" spans="10:21" x14ac:dyDescent="0.2">
      <c r="J198" s="8"/>
      <c r="U198" s="8"/>
    </row>
    <row r="199" spans="10:21" x14ac:dyDescent="0.2">
      <c r="J199" s="8"/>
      <c r="U199" s="8"/>
    </row>
    <row r="200" spans="10:21" x14ac:dyDescent="0.2">
      <c r="J200" s="8"/>
      <c r="U200" s="8"/>
    </row>
    <row r="201" spans="10:21" x14ac:dyDescent="0.2">
      <c r="J201" s="8"/>
      <c r="U201" s="8"/>
    </row>
    <row r="202" spans="10:21" x14ac:dyDescent="0.2">
      <c r="J202" s="8"/>
      <c r="U202" s="8"/>
    </row>
    <row r="203" spans="10:21" x14ac:dyDescent="0.2">
      <c r="J203" s="8"/>
      <c r="U203" s="8"/>
    </row>
    <row r="204" spans="10:21" x14ac:dyDescent="0.2">
      <c r="J204" s="8"/>
      <c r="U204" s="8"/>
    </row>
    <row r="205" spans="10:21" x14ac:dyDescent="0.2">
      <c r="J205" s="8"/>
      <c r="U205" s="8"/>
    </row>
    <row r="206" spans="10:21" x14ac:dyDescent="0.2">
      <c r="J206" s="8"/>
      <c r="U206" s="8"/>
    </row>
    <row r="207" spans="10:21" x14ac:dyDescent="0.2">
      <c r="J207" s="8"/>
      <c r="U207" s="8"/>
    </row>
    <row r="208" spans="10:21" x14ac:dyDescent="0.2">
      <c r="J208" s="8"/>
      <c r="U208" s="8"/>
    </row>
    <row r="209" spans="10:21" x14ac:dyDescent="0.2">
      <c r="J209" s="8"/>
      <c r="U209" s="8"/>
    </row>
    <row r="210" spans="10:21" x14ac:dyDescent="0.2">
      <c r="J210" s="8"/>
      <c r="U210" s="8"/>
    </row>
    <row r="211" spans="10:21" x14ac:dyDescent="0.2">
      <c r="J211" s="8"/>
      <c r="U211" s="8"/>
    </row>
    <row r="212" spans="10:21" x14ac:dyDescent="0.2">
      <c r="J212" s="8"/>
      <c r="U212" s="8"/>
    </row>
    <row r="213" spans="10:21" x14ac:dyDescent="0.2">
      <c r="J213" s="8"/>
      <c r="U213" s="8"/>
    </row>
    <row r="214" spans="10:21" x14ac:dyDescent="0.2">
      <c r="J214" s="8"/>
      <c r="U214" s="8"/>
    </row>
    <row r="215" spans="10:21" x14ac:dyDescent="0.2">
      <c r="J215" s="8"/>
      <c r="U215" s="8"/>
    </row>
    <row r="216" spans="10:21" x14ac:dyDescent="0.2">
      <c r="J216" s="8"/>
      <c r="U216" s="8"/>
    </row>
    <row r="217" spans="10:21" x14ac:dyDescent="0.2">
      <c r="J217" s="8"/>
      <c r="U217" s="8"/>
    </row>
    <row r="218" spans="10:21" x14ac:dyDescent="0.2">
      <c r="J218" s="8"/>
      <c r="U218" s="8"/>
    </row>
    <row r="219" spans="10:21" x14ac:dyDescent="0.2">
      <c r="J219" s="8"/>
      <c r="U219" s="8"/>
    </row>
    <row r="220" spans="10:21" x14ac:dyDescent="0.2">
      <c r="J220" s="8"/>
      <c r="U220" s="8"/>
    </row>
    <row r="221" spans="10:21" x14ac:dyDescent="0.2">
      <c r="J221" s="8"/>
      <c r="U221" s="8"/>
    </row>
    <row r="222" spans="10:21" x14ac:dyDescent="0.2">
      <c r="J222" s="8"/>
      <c r="U222" s="8"/>
    </row>
    <row r="223" spans="10:21" x14ac:dyDescent="0.2">
      <c r="J223" s="8"/>
      <c r="U223" s="8"/>
    </row>
    <row r="224" spans="10:21" x14ac:dyDescent="0.2">
      <c r="J224" s="8"/>
      <c r="U224" s="8"/>
    </row>
    <row r="225" spans="10:21" x14ac:dyDescent="0.2">
      <c r="J225" s="8"/>
      <c r="U225" s="8"/>
    </row>
    <row r="226" spans="10:21" x14ac:dyDescent="0.2">
      <c r="J226" s="8"/>
      <c r="U226" s="8"/>
    </row>
    <row r="227" spans="10:21" x14ac:dyDescent="0.2">
      <c r="J227" s="8"/>
      <c r="U227" s="8"/>
    </row>
    <row r="228" spans="10:21" x14ac:dyDescent="0.2">
      <c r="J228" s="8"/>
      <c r="U228" s="8"/>
    </row>
    <row r="229" spans="10:21" x14ac:dyDescent="0.2">
      <c r="J229" s="8"/>
      <c r="U229" s="8"/>
    </row>
    <row r="230" spans="10:21" x14ac:dyDescent="0.2">
      <c r="J230" s="8"/>
      <c r="U230" s="8"/>
    </row>
    <row r="231" spans="10:21" x14ac:dyDescent="0.2">
      <c r="J231" s="8"/>
      <c r="U231" s="8"/>
    </row>
    <row r="232" spans="10:21" x14ac:dyDescent="0.2">
      <c r="J232" s="8"/>
      <c r="U232" s="8"/>
    </row>
    <row r="233" spans="10:21" x14ac:dyDescent="0.2">
      <c r="J233" s="8"/>
      <c r="U233" s="8"/>
    </row>
    <row r="234" spans="10:21" x14ac:dyDescent="0.2">
      <c r="J234" s="8"/>
      <c r="U234" s="8"/>
    </row>
    <row r="235" spans="10:21" x14ac:dyDescent="0.2">
      <c r="J235" s="8"/>
      <c r="U235" s="8"/>
    </row>
    <row r="236" spans="10:21" x14ac:dyDescent="0.2">
      <c r="J236" s="8"/>
      <c r="U236" s="8"/>
    </row>
    <row r="237" spans="10:21" x14ac:dyDescent="0.2">
      <c r="J237" s="8"/>
      <c r="U237" s="8"/>
    </row>
    <row r="238" spans="10:21" x14ac:dyDescent="0.2">
      <c r="J238" s="8"/>
      <c r="U238" s="8"/>
    </row>
    <row r="239" spans="10:21" x14ac:dyDescent="0.2">
      <c r="J239" s="8"/>
      <c r="U239" s="8"/>
    </row>
    <row r="240" spans="10:21" x14ac:dyDescent="0.2">
      <c r="J240" s="8"/>
      <c r="U240" s="8"/>
    </row>
    <row r="241" spans="10:21" x14ac:dyDescent="0.2">
      <c r="J241" s="8"/>
      <c r="U241" s="8"/>
    </row>
    <row r="242" spans="10:21" x14ac:dyDescent="0.2">
      <c r="J242" s="8"/>
      <c r="U242" s="8"/>
    </row>
    <row r="243" spans="10:21" x14ac:dyDescent="0.2">
      <c r="J243" s="8"/>
      <c r="U243" s="8"/>
    </row>
    <row r="244" spans="10:21" x14ac:dyDescent="0.2">
      <c r="J244" s="8"/>
      <c r="U244" s="8"/>
    </row>
    <row r="245" spans="10:21" x14ac:dyDescent="0.2">
      <c r="J245" s="8"/>
      <c r="U245" s="8"/>
    </row>
    <row r="246" spans="10:21" x14ac:dyDescent="0.2">
      <c r="J246" s="8"/>
      <c r="U246" s="8"/>
    </row>
    <row r="247" spans="10:21" x14ac:dyDescent="0.2">
      <c r="J247" s="8"/>
      <c r="U247" s="8"/>
    </row>
    <row r="248" spans="10:21" x14ac:dyDescent="0.2">
      <c r="J248" s="8"/>
      <c r="U248" s="8"/>
    </row>
    <row r="249" spans="10:21" x14ac:dyDescent="0.2">
      <c r="J249" s="8"/>
      <c r="U249" s="8"/>
    </row>
    <row r="250" spans="10:21" x14ac:dyDescent="0.2">
      <c r="J250" s="8"/>
      <c r="U250" s="8"/>
    </row>
    <row r="251" spans="10:21" x14ac:dyDescent="0.2">
      <c r="J251" s="8"/>
      <c r="U251" s="8"/>
    </row>
    <row r="252" spans="10:21" x14ac:dyDescent="0.2">
      <c r="J252" s="8"/>
      <c r="U252" s="8"/>
    </row>
    <row r="253" spans="10:21" x14ac:dyDescent="0.2">
      <c r="J253" s="8"/>
      <c r="U253" s="8"/>
    </row>
    <row r="254" spans="10:21" x14ac:dyDescent="0.2">
      <c r="J254" s="8"/>
      <c r="U254" s="8"/>
    </row>
    <row r="255" spans="10:21" x14ac:dyDescent="0.2">
      <c r="J255" s="8"/>
      <c r="U255" s="8"/>
    </row>
    <row r="256" spans="10:21" x14ac:dyDescent="0.2">
      <c r="J256" s="8"/>
      <c r="U256" s="8"/>
    </row>
    <row r="257" spans="10:21" x14ac:dyDescent="0.2">
      <c r="J257" s="8"/>
      <c r="U257" s="8"/>
    </row>
    <row r="258" spans="10:21" x14ac:dyDescent="0.2">
      <c r="J258" s="8"/>
      <c r="U258" s="8"/>
    </row>
    <row r="259" spans="10:21" x14ac:dyDescent="0.2">
      <c r="J259" s="8"/>
      <c r="U259" s="8"/>
    </row>
    <row r="260" spans="10:21" x14ac:dyDescent="0.2">
      <c r="J260" s="8"/>
      <c r="U260" s="8"/>
    </row>
    <row r="261" spans="10:21" x14ac:dyDescent="0.2">
      <c r="J261" s="8"/>
      <c r="U261" s="8"/>
    </row>
    <row r="262" spans="10:21" x14ac:dyDescent="0.2">
      <c r="J262" s="8"/>
      <c r="U262" s="8"/>
    </row>
    <row r="263" spans="10:21" x14ac:dyDescent="0.2">
      <c r="J263" s="8"/>
      <c r="U263" s="8"/>
    </row>
    <row r="264" spans="10:21" x14ac:dyDescent="0.2">
      <c r="J264" s="8"/>
      <c r="U264" s="8"/>
    </row>
    <row r="265" spans="10:21" x14ac:dyDescent="0.2">
      <c r="J265" s="8"/>
      <c r="U265" s="8"/>
    </row>
    <row r="266" spans="10:21" x14ac:dyDescent="0.2">
      <c r="J266" s="8"/>
      <c r="U266" s="8"/>
    </row>
    <row r="267" spans="10:21" x14ac:dyDescent="0.2">
      <c r="J267" s="8"/>
      <c r="U267" s="8"/>
    </row>
    <row r="268" spans="10:21" x14ac:dyDescent="0.2">
      <c r="J268" s="8"/>
      <c r="U268" s="8"/>
    </row>
    <row r="269" spans="10:21" x14ac:dyDescent="0.2">
      <c r="J269" s="8"/>
      <c r="U269" s="8"/>
    </row>
    <row r="270" spans="10:21" x14ac:dyDescent="0.2">
      <c r="J270" s="8"/>
      <c r="U270" s="8"/>
    </row>
    <row r="271" spans="10:21" x14ac:dyDescent="0.2">
      <c r="J271" s="8"/>
      <c r="U271" s="8"/>
    </row>
    <row r="272" spans="10:21" x14ac:dyDescent="0.2">
      <c r="J272" s="8"/>
      <c r="U272" s="8"/>
    </row>
    <row r="273" spans="10:21" x14ac:dyDescent="0.2">
      <c r="J273" s="8"/>
      <c r="U273" s="8"/>
    </row>
    <row r="274" spans="10:21" x14ac:dyDescent="0.2">
      <c r="J274" s="8"/>
      <c r="U274" s="8"/>
    </row>
    <row r="275" spans="10:21" x14ac:dyDescent="0.2">
      <c r="J275" s="8"/>
      <c r="U275" s="8"/>
    </row>
    <row r="276" spans="10:21" x14ac:dyDescent="0.2">
      <c r="J276" s="8"/>
      <c r="U276" s="8"/>
    </row>
    <row r="277" spans="10:21" x14ac:dyDescent="0.2">
      <c r="J277" s="8"/>
      <c r="U277" s="8"/>
    </row>
    <row r="278" spans="10:21" x14ac:dyDescent="0.2">
      <c r="J278" s="8"/>
      <c r="U278" s="8"/>
    </row>
    <row r="279" spans="10:21" x14ac:dyDescent="0.2">
      <c r="J279" s="8"/>
      <c r="U279" s="8"/>
    </row>
    <row r="280" spans="10:21" x14ac:dyDescent="0.2">
      <c r="J280" s="8"/>
      <c r="U280" s="8"/>
    </row>
    <row r="281" spans="10:21" x14ac:dyDescent="0.2">
      <c r="J281" s="8"/>
      <c r="U281" s="8"/>
    </row>
    <row r="282" spans="10:21" x14ac:dyDescent="0.2">
      <c r="J282" s="8"/>
      <c r="U282" s="8"/>
    </row>
    <row r="283" spans="10:21" x14ac:dyDescent="0.2">
      <c r="J283" s="8"/>
      <c r="U283" s="8"/>
    </row>
    <row r="284" spans="10:21" x14ac:dyDescent="0.2">
      <c r="J284" s="8"/>
      <c r="U284" s="8"/>
    </row>
    <row r="285" spans="10:21" x14ac:dyDescent="0.2">
      <c r="J285" s="8"/>
      <c r="U285" s="8"/>
    </row>
    <row r="286" spans="10:21" x14ac:dyDescent="0.2">
      <c r="J286" s="8"/>
      <c r="U286" s="8"/>
    </row>
    <row r="287" spans="10:21" x14ac:dyDescent="0.2">
      <c r="J287" s="8"/>
      <c r="U287" s="8"/>
    </row>
    <row r="288" spans="10:21" x14ac:dyDescent="0.2">
      <c r="J288" s="8"/>
      <c r="U288" s="8"/>
    </row>
    <row r="289" spans="10:21" x14ac:dyDescent="0.2">
      <c r="J289" s="8"/>
      <c r="U289" s="8"/>
    </row>
    <row r="290" spans="10:21" x14ac:dyDescent="0.2">
      <c r="J290" s="8"/>
      <c r="U290" s="8"/>
    </row>
    <row r="291" spans="10:21" x14ac:dyDescent="0.2">
      <c r="J291" s="8"/>
      <c r="U291" s="8"/>
    </row>
    <row r="292" spans="10:21" x14ac:dyDescent="0.2">
      <c r="J292" s="8"/>
      <c r="U292" s="8"/>
    </row>
    <row r="293" spans="10:21" x14ac:dyDescent="0.2">
      <c r="J293" s="8"/>
      <c r="U293" s="8"/>
    </row>
    <row r="294" spans="10:21" x14ac:dyDescent="0.2">
      <c r="J294" s="8"/>
      <c r="U294" s="8"/>
    </row>
    <row r="295" spans="10:21" x14ac:dyDescent="0.2">
      <c r="J295" s="8"/>
      <c r="U295" s="8"/>
    </row>
    <row r="296" spans="10:21" x14ac:dyDescent="0.2">
      <c r="J296" s="8"/>
      <c r="U296" s="8"/>
    </row>
    <row r="297" spans="10:21" x14ac:dyDescent="0.2">
      <c r="J297" s="8"/>
      <c r="U297" s="8"/>
    </row>
    <row r="298" spans="10:21" x14ac:dyDescent="0.2">
      <c r="J298" s="8"/>
      <c r="U298" s="8"/>
    </row>
    <row r="299" spans="10:21" x14ac:dyDescent="0.2">
      <c r="J299" s="8"/>
      <c r="U299" s="8"/>
    </row>
    <row r="300" spans="10:21" x14ac:dyDescent="0.2">
      <c r="J300" s="8"/>
      <c r="U300" s="8"/>
    </row>
    <row r="301" spans="10:21" x14ac:dyDescent="0.2">
      <c r="J301" s="8"/>
      <c r="U301" s="8"/>
    </row>
    <row r="302" spans="10:21" x14ac:dyDescent="0.2">
      <c r="J302" s="8"/>
      <c r="U302" s="8"/>
    </row>
    <row r="303" spans="10:21" x14ac:dyDescent="0.2">
      <c r="J303" s="8"/>
      <c r="U303" s="8"/>
    </row>
    <row r="304" spans="10:21" x14ac:dyDescent="0.2">
      <c r="J304" s="8"/>
      <c r="U304" s="8"/>
    </row>
    <row r="305" spans="10:21" x14ac:dyDescent="0.2">
      <c r="J305" s="8"/>
      <c r="U305" s="8"/>
    </row>
    <row r="306" spans="10:21" x14ac:dyDescent="0.2">
      <c r="J306" s="8"/>
      <c r="U306" s="8"/>
    </row>
    <row r="307" spans="10:21" x14ac:dyDescent="0.2">
      <c r="J307" s="8"/>
      <c r="U307" s="8"/>
    </row>
    <row r="308" spans="10:21" x14ac:dyDescent="0.2">
      <c r="J308" s="8"/>
      <c r="U308" s="8"/>
    </row>
    <row r="309" spans="10:21" x14ac:dyDescent="0.2">
      <c r="J309" s="8"/>
      <c r="U309" s="8"/>
    </row>
    <row r="310" spans="10:21" x14ac:dyDescent="0.2">
      <c r="J310" s="8"/>
      <c r="U310" s="8"/>
    </row>
    <row r="311" spans="10:21" x14ac:dyDescent="0.2">
      <c r="J311" s="8"/>
      <c r="U311" s="8"/>
    </row>
    <row r="312" spans="10:21" x14ac:dyDescent="0.2">
      <c r="J312" s="8"/>
      <c r="U312" s="8"/>
    </row>
    <row r="313" spans="10:21" x14ac:dyDescent="0.2">
      <c r="J313" s="8"/>
      <c r="U313" s="8"/>
    </row>
    <row r="314" spans="10:21" x14ac:dyDescent="0.2">
      <c r="J314" s="8"/>
      <c r="U314" s="8"/>
    </row>
    <row r="315" spans="10:21" x14ac:dyDescent="0.2">
      <c r="J315" s="8"/>
      <c r="U315" s="8"/>
    </row>
    <row r="316" spans="10:21" x14ac:dyDescent="0.2">
      <c r="J316" s="8"/>
      <c r="U316" s="8"/>
    </row>
    <row r="317" spans="10:21" x14ac:dyDescent="0.2">
      <c r="J317" s="8"/>
      <c r="U317" s="8"/>
    </row>
    <row r="318" spans="10:21" x14ac:dyDescent="0.2">
      <c r="J318" s="8"/>
      <c r="U318" s="8"/>
    </row>
    <row r="319" spans="10:21" x14ac:dyDescent="0.2">
      <c r="J319" s="8"/>
      <c r="U319" s="8"/>
    </row>
    <row r="320" spans="10:21" x14ac:dyDescent="0.2">
      <c r="J320" s="8"/>
      <c r="U320" s="8"/>
    </row>
    <row r="321" spans="10:21" x14ac:dyDescent="0.2">
      <c r="J321" s="8"/>
      <c r="U321" s="8"/>
    </row>
    <row r="322" spans="10:21" x14ac:dyDescent="0.2">
      <c r="J322" s="8"/>
      <c r="U322" s="8"/>
    </row>
    <row r="323" spans="10:21" x14ac:dyDescent="0.2">
      <c r="J323" s="8"/>
      <c r="U323" s="8"/>
    </row>
    <row r="324" spans="10:21" x14ac:dyDescent="0.2">
      <c r="J324" s="8"/>
      <c r="U324" s="8"/>
    </row>
    <row r="325" spans="10:21" x14ac:dyDescent="0.2">
      <c r="J325" s="8"/>
      <c r="U325" s="8"/>
    </row>
    <row r="326" spans="10:21" x14ac:dyDescent="0.2">
      <c r="J326" s="8"/>
      <c r="U326" s="8"/>
    </row>
    <row r="327" spans="10:21" x14ac:dyDescent="0.2">
      <c r="J327" s="8"/>
      <c r="U327" s="8"/>
    </row>
    <row r="328" spans="10:21" x14ac:dyDescent="0.2">
      <c r="J328" s="8"/>
      <c r="U328" s="8"/>
    </row>
    <row r="329" spans="10:21" x14ac:dyDescent="0.2">
      <c r="J329" s="8"/>
      <c r="U329" s="8"/>
    </row>
    <row r="330" spans="10:21" x14ac:dyDescent="0.2">
      <c r="J330" s="8"/>
      <c r="U330" s="8"/>
    </row>
    <row r="331" spans="10:21" x14ac:dyDescent="0.2">
      <c r="J331" s="8"/>
      <c r="U331" s="8"/>
    </row>
    <row r="332" spans="10:21" x14ac:dyDescent="0.2">
      <c r="J332" s="8"/>
      <c r="U332" s="8"/>
    </row>
    <row r="333" spans="10:21" x14ac:dyDescent="0.2">
      <c r="J333" s="8"/>
      <c r="U333" s="8"/>
    </row>
    <row r="334" spans="10:21" x14ac:dyDescent="0.2">
      <c r="J334" s="8"/>
      <c r="U334" s="8"/>
    </row>
    <row r="335" spans="10:21" x14ac:dyDescent="0.2">
      <c r="J335" s="8"/>
      <c r="U335" s="8"/>
    </row>
    <row r="336" spans="10:21" x14ac:dyDescent="0.2">
      <c r="J336" s="8"/>
      <c r="U336" s="8"/>
    </row>
    <row r="337" spans="10:21" x14ac:dyDescent="0.2">
      <c r="J337" s="8"/>
      <c r="U337" s="8"/>
    </row>
    <row r="338" spans="10:21" x14ac:dyDescent="0.2">
      <c r="J338" s="8"/>
      <c r="U338" s="8"/>
    </row>
    <row r="339" spans="10:21" x14ac:dyDescent="0.2">
      <c r="J339" s="8"/>
      <c r="U339" s="8"/>
    </row>
    <row r="340" spans="10:21" x14ac:dyDescent="0.2">
      <c r="J340" s="8"/>
      <c r="U340" s="8"/>
    </row>
    <row r="341" spans="10:21" x14ac:dyDescent="0.2">
      <c r="J341" s="8"/>
      <c r="U341" s="8"/>
    </row>
    <row r="342" spans="10:21" x14ac:dyDescent="0.2">
      <c r="J342" s="8"/>
      <c r="U342" s="8"/>
    </row>
    <row r="343" spans="10:21" x14ac:dyDescent="0.2">
      <c r="J343" s="8"/>
      <c r="U343" s="8"/>
    </row>
    <row r="344" spans="10:21" x14ac:dyDescent="0.2">
      <c r="J344" s="8"/>
      <c r="U344" s="8"/>
    </row>
    <row r="345" spans="10:21" x14ac:dyDescent="0.2">
      <c r="J345" s="8"/>
      <c r="U345" s="8"/>
    </row>
    <row r="346" spans="10:21" x14ac:dyDescent="0.2">
      <c r="J346" s="8"/>
      <c r="U346" s="8"/>
    </row>
    <row r="347" spans="10:21" x14ac:dyDescent="0.2">
      <c r="J347" s="8"/>
      <c r="U347" s="8"/>
    </row>
    <row r="348" spans="10:21" x14ac:dyDescent="0.2">
      <c r="J348" s="8"/>
      <c r="U348" s="8"/>
    </row>
    <row r="349" spans="10:21" x14ac:dyDescent="0.2">
      <c r="J349" s="8"/>
      <c r="U349" s="8"/>
    </row>
    <row r="350" spans="10:21" x14ac:dyDescent="0.2">
      <c r="J350" s="8"/>
      <c r="U350" s="8"/>
    </row>
    <row r="351" spans="10:21" x14ac:dyDescent="0.2">
      <c r="J351" s="8"/>
      <c r="U351" s="8"/>
    </row>
    <row r="352" spans="10:21" x14ac:dyDescent="0.2">
      <c r="J352" s="8"/>
      <c r="U352" s="8"/>
    </row>
    <row r="353" spans="10:21" x14ac:dyDescent="0.2">
      <c r="J353" s="8"/>
      <c r="U353" s="8"/>
    </row>
    <row r="354" spans="10:21" x14ac:dyDescent="0.2">
      <c r="J354" s="8"/>
      <c r="U354" s="8"/>
    </row>
    <row r="355" spans="10:21" x14ac:dyDescent="0.2">
      <c r="J355" s="8"/>
      <c r="U355" s="8"/>
    </row>
    <row r="356" spans="10:21" x14ac:dyDescent="0.2">
      <c r="J356" s="8"/>
      <c r="U356" s="8"/>
    </row>
    <row r="357" spans="10:21" x14ac:dyDescent="0.2">
      <c r="J357" s="8"/>
      <c r="U357" s="8"/>
    </row>
    <row r="358" spans="10:21" x14ac:dyDescent="0.2">
      <c r="J358" s="8"/>
      <c r="U358" s="8"/>
    </row>
    <row r="359" spans="10:21" x14ac:dyDescent="0.2">
      <c r="J359" s="8"/>
      <c r="U359" s="8"/>
    </row>
    <row r="360" spans="10:21" x14ac:dyDescent="0.2">
      <c r="J360" s="8"/>
      <c r="U360" s="8"/>
    </row>
    <row r="361" spans="10:21" x14ac:dyDescent="0.2">
      <c r="J361" s="8"/>
      <c r="U361" s="8"/>
    </row>
    <row r="362" spans="10:21" x14ac:dyDescent="0.2">
      <c r="J362" s="8"/>
      <c r="U362" s="8"/>
    </row>
    <row r="363" spans="10:21" x14ac:dyDescent="0.2">
      <c r="J363" s="8"/>
      <c r="U363" s="8"/>
    </row>
    <row r="364" spans="10:21" x14ac:dyDescent="0.2">
      <c r="J364" s="8"/>
      <c r="U364" s="8"/>
    </row>
    <row r="365" spans="10:21" x14ac:dyDescent="0.2">
      <c r="J365" s="8"/>
      <c r="U365" s="8"/>
    </row>
    <row r="366" spans="10:21" x14ac:dyDescent="0.2">
      <c r="J366" s="8"/>
      <c r="U366" s="8"/>
    </row>
    <row r="367" spans="10:21" x14ac:dyDescent="0.2">
      <c r="J367" s="8"/>
      <c r="U367" s="8"/>
    </row>
    <row r="368" spans="10:21" x14ac:dyDescent="0.2">
      <c r="J368" s="8"/>
      <c r="U368" s="8"/>
    </row>
    <row r="369" spans="10:21" x14ac:dyDescent="0.2">
      <c r="J369" s="8"/>
      <c r="U369" s="8"/>
    </row>
    <row r="370" spans="10:21" x14ac:dyDescent="0.2">
      <c r="J370" s="8"/>
      <c r="U370" s="8"/>
    </row>
    <row r="371" spans="10:21" x14ac:dyDescent="0.2">
      <c r="J371" s="8"/>
      <c r="U371" s="8"/>
    </row>
    <row r="372" spans="10:21" x14ac:dyDescent="0.2">
      <c r="J372" s="8"/>
      <c r="U372" s="8"/>
    </row>
    <row r="373" spans="10:21" x14ac:dyDescent="0.2">
      <c r="J373" s="8"/>
      <c r="U373" s="8"/>
    </row>
    <row r="374" spans="10:21" x14ac:dyDescent="0.2">
      <c r="J374" s="8"/>
      <c r="U374" s="8"/>
    </row>
    <row r="375" spans="10:21" x14ac:dyDescent="0.2">
      <c r="J375" s="8"/>
      <c r="U375" s="8"/>
    </row>
    <row r="376" spans="10:21" x14ac:dyDescent="0.2">
      <c r="J376" s="8"/>
      <c r="U376" s="8"/>
    </row>
    <row r="377" spans="10:21" x14ac:dyDescent="0.2">
      <c r="J377" s="8"/>
      <c r="U377" s="8"/>
    </row>
    <row r="378" spans="10:21" x14ac:dyDescent="0.2">
      <c r="J378" s="8"/>
      <c r="U378" s="8"/>
    </row>
    <row r="379" spans="10:21" x14ac:dyDescent="0.2">
      <c r="J379" s="8"/>
      <c r="U379" s="8"/>
    </row>
    <row r="380" spans="10:21" x14ac:dyDescent="0.2">
      <c r="J380" s="8"/>
      <c r="U380" s="8"/>
    </row>
    <row r="381" spans="10:21" x14ac:dyDescent="0.2">
      <c r="J381" s="8"/>
      <c r="U381" s="8"/>
    </row>
    <row r="382" spans="10:21" x14ac:dyDescent="0.2">
      <c r="J382" s="8"/>
      <c r="U382" s="8"/>
    </row>
    <row r="383" spans="10:21" x14ac:dyDescent="0.2">
      <c r="J383" s="8"/>
      <c r="U383" s="8"/>
    </row>
    <row r="384" spans="10:21" x14ac:dyDescent="0.2">
      <c r="J384" s="8"/>
      <c r="U384" s="8"/>
    </row>
    <row r="385" spans="10:21" x14ac:dyDescent="0.2">
      <c r="J385" s="8"/>
      <c r="U385" s="8"/>
    </row>
    <row r="386" spans="10:21" x14ac:dyDescent="0.2">
      <c r="J386" s="8"/>
    </row>
    <row r="387" spans="10:21" x14ac:dyDescent="0.2">
      <c r="J387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24681-3FE9-694E-A0B1-02F687C4B387}">
  <dimension ref="B2:E112"/>
  <sheetViews>
    <sheetView zoomScale="85" zoomScaleNormal="85" workbookViewId="0">
      <selection activeCell="D123" sqref="D123"/>
    </sheetView>
  </sheetViews>
  <sheetFormatPr baseColWidth="10" defaultColWidth="11" defaultRowHeight="16" x14ac:dyDescent="0.2"/>
  <cols>
    <col min="2" max="2" width="17.5" bestFit="1" customWidth="1"/>
    <col min="3" max="3" width="34.1640625" bestFit="1" customWidth="1"/>
    <col min="4" max="4" width="14" bestFit="1" customWidth="1"/>
    <col min="5" max="5" width="7.5" bestFit="1" customWidth="1"/>
  </cols>
  <sheetData>
    <row r="2" spans="2:5" x14ac:dyDescent="0.2">
      <c r="B2" s="2"/>
      <c r="C2" s="4" t="s">
        <v>16</v>
      </c>
      <c r="D2" s="4" t="s">
        <v>17</v>
      </c>
      <c r="E2" s="4" t="s">
        <v>15</v>
      </c>
    </row>
    <row r="3" spans="2:5" x14ac:dyDescent="0.2">
      <c r="B3" s="4" t="s">
        <v>0</v>
      </c>
      <c r="C3" s="3" t="s">
        <v>10</v>
      </c>
      <c r="D3" s="2" t="s">
        <v>12</v>
      </c>
      <c r="E3" s="2" t="s">
        <v>18</v>
      </c>
    </row>
    <row r="4" spans="2:5" x14ac:dyDescent="0.2">
      <c r="B4" s="4" t="s">
        <v>1</v>
      </c>
      <c r="C4" s="3" t="s">
        <v>10</v>
      </c>
      <c r="D4" s="2" t="s">
        <v>12</v>
      </c>
      <c r="E4" s="2" t="s">
        <v>18</v>
      </c>
    </row>
    <row r="5" spans="2:5" x14ac:dyDescent="0.2">
      <c r="B5" s="4" t="s">
        <v>3</v>
      </c>
      <c r="C5" s="3" t="s">
        <v>10</v>
      </c>
      <c r="D5" s="2" t="s">
        <v>13</v>
      </c>
      <c r="E5" s="2" t="s">
        <v>18</v>
      </c>
    </row>
    <row r="6" spans="2:5" x14ac:dyDescent="0.2">
      <c r="B6" s="4" t="s">
        <v>5</v>
      </c>
      <c r="C6" s="3" t="s">
        <v>10</v>
      </c>
      <c r="D6" s="2" t="s">
        <v>12</v>
      </c>
      <c r="E6" s="2" t="s">
        <v>18</v>
      </c>
    </row>
    <row r="7" spans="2:5" x14ac:dyDescent="0.2">
      <c r="B7" s="4" t="s">
        <v>8</v>
      </c>
      <c r="C7" s="3" t="s">
        <v>10</v>
      </c>
      <c r="D7" s="2" t="s">
        <v>13</v>
      </c>
      <c r="E7" s="2" t="s">
        <v>18</v>
      </c>
    </row>
    <row r="8" spans="2:5" x14ac:dyDescent="0.2">
      <c r="B8" s="4" t="s">
        <v>7</v>
      </c>
      <c r="C8" s="3" t="s">
        <v>10</v>
      </c>
      <c r="D8" s="2" t="s">
        <v>13</v>
      </c>
      <c r="E8" s="2" t="s">
        <v>18</v>
      </c>
    </row>
    <row r="9" spans="2:5" x14ac:dyDescent="0.2">
      <c r="B9" s="4" t="s">
        <v>6</v>
      </c>
      <c r="C9" s="3" t="s">
        <v>10</v>
      </c>
      <c r="D9" s="2" t="s">
        <v>13</v>
      </c>
      <c r="E9" s="2" t="s">
        <v>18</v>
      </c>
    </row>
    <row r="10" spans="2:5" x14ac:dyDescent="0.2">
      <c r="B10" s="4" t="s">
        <v>2</v>
      </c>
      <c r="C10" s="2" t="s">
        <v>11</v>
      </c>
      <c r="D10" s="2" t="s">
        <v>14</v>
      </c>
      <c r="E10" s="2" t="s">
        <v>18</v>
      </c>
    </row>
    <row r="11" spans="2:5" x14ac:dyDescent="0.2">
      <c r="B11" s="4" t="s">
        <v>4</v>
      </c>
      <c r="C11" s="2" t="s">
        <v>11</v>
      </c>
      <c r="D11" s="2" t="s">
        <v>14</v>
      </c>
      <c r="E11" s="2" t="s">
        <v>18</v>
      </c>
    </row>
    <row r="12" spans="2:5" x14ac:dyDescent="0.2">
      <c r="B12" s="4" t="s">
        <v>9</v>
      </c>
      <c r="C12" s="2" t="s">
        <v>11</v>
      </c>
      <c r="D12" s="2" t="s">
        <v>14</v>
      </c>
      <c r="E12" s="2" t="s">
        <v>40</v>
      </c>
    </row>
    <row r="14" spans="2:5" x14ac:dyDescent="0.2">
      <c r="B14" s="11"/>
    </row>
    <row r="15" spans="2:5" x14ac:dyDescent="0.2">
      <c r="B15" s="5" t="s">
        <v>19</v>
      </c>
      <c r="C15" t="s">
        <v>21</v>
      </c>
    </row>
    <row r="16" spans="2:5" x14ac:dyDescent="0.2">
      <c r="B16" s="6">
        <v>0</v>
      </c>
      <c r="C16" s="7">
        <v>386</v>
      </c>
    </row>
    <row r="17" spans="2:3" x14ac:dyDescent="0.2">
      <c r="B17" s="6">
        <v>1</v>
      </c>
      <c r="C17" s="7">
        <v>384</v>
      </c>
    </row>
    <row r="18" spans="2:3" x14ac:dyDescent="0.2">
      <c r="B18" s="6" t="s">
        <v>20</v>
      </c>
      <c r="C18" s="7">
        <v>770</v>
      </c>
    </row>
    <row r="25" spans="2:3" x14ac:dyDescent="0.2">
      <c r="B25" s="5" t="s">
        <v>19</v>
      </c>
      <c r="C25" t="s">
        <v>38</v>
      </c>
    </row>
    <row r="26" spans="2:3" x14ac:dyDescent="0.2">
      <c r="B26" s="6">
        <v>0</v>
      </c>
      <c r="C26" s="10">
        <v>1.2987012987012987E-3</v>
      </c>
    </row>
    <row r="27" spans="2:3" x14ac:dyDescent="0.2">
      <c r="B27" s="6">
        <v>1</v>
      </c>
      <c r="C27" s="10">
        <v>3.5064935064935063E-2</v>
      </c>
    </row>
    <row r="28" spans="2:3" x14ac:dyDescent="0.2">
      <c r="B28" s="6">
        <v>2</v>
      </c>
      <c r="C28" s="10">
        <v>0.21428571428571427</v>
      </c>
    </row>
    <row r="29" spans="2:3" x14ac:dyDescent="0.2">
      <c r="B29" s="6">
        <v>3</v>
      </c>
      <c r="C29" s="10">
        <v>0.25844155844155842</v>
      </c>
    </row>
    <row r="30" spans="2:3" x14ac:dyDescent="0.2">
      <c r="B30" s="6">
        <v>4</v>
      </c>
      <c r="C30" s="10">
        <v>0.31818181818181818</v>
      </c>
    </row>
    <row r="31" spans="2:3" x14ac:dyDescent="0.2">
      <c r="B31" s="6">
        <v>5</v>
      </c>
      <c r="C31" s="10">
        <v>0.13766233766233765</v>
      </c>
    </row>
    <row r="32" spans="2:3" x14ac:dyDescent="0.2">
      <c r="B32" s="6">
        <v>6</v>
      </c>
      <c r="C32" s="10">
        <v>3.5064935064935063E-2</v>
      </c>
    </row>
    <row r="33" spans="2:3" x14ac:dyDescent="0.2">
      <c r="B33" s="6" t="s">
        <v>20</v>
      </c>
      <c r="C33" s="10">
        <v>1</v>
      </c>
    </row>
    <row r="38" spans="2:3" x14ac:dyDescent="0.2">
      <c r="B38" s="5" t="s">
        <v>19</v>
      </c>
      <c r="C38" t="s">
        <v>39</v>
      </c>
    </row>
    <row r="39" spans="2:3" x14ac:dyDescent="0.2">
      <c r="B39" s="6">
        <v>0</v>
      </c>
      <c r="C39" s="10">
        <v>5.1948051948051948E-3</v>
      </c>
    </row>
    <row r="40" spans="2:3" x14ac:dyDescent="0.2">
      <c r="B40" s="6">
        <v>1</v>
      </c>
      <c r="C40" s="10">
        <v>7.7922077922077922E-3</v>
      </c>
    </row>
    <row r="41" spans="2:3" x14ac:dyDescent="0.2">
      <c r="B41" s="6">
        <v>2</v>
      </c>
      <c r="C41" s="10">
        <v>0.15974025974025974</v>
      </c>
    </row>
    <row r="42" spans="2:3" x14ac:dyDescent="0.2">
      <c r="B42" s="6">
        <v>3</v>
      </c>
      <c r="C42" s="10">
        <v>0.23116883116883116</v>
      </c>
    </row>
    <row r="43" spans="2:3" x14ac:dyDescent="0.2">
      <c r="B43" s="6">
        <v>4</v>
      </c>
      <c r="C43" s="10">
        <v>0.34025974025974026</v>
      </c>
    </row>
    <row r="44" spans="2:3" x14ac:dyDescent="0.2">
      <c r="B44" s="6">
        <v>5</v>
      </c>
      <c r="C44" s="10">
        <v>0.19870129870129871</v>
      </c>
    </row>
    <row r="45" spans="2:3" x14ac:dyDescent="0.2">
      <c r="B45" s="6">
        <v>6</v>
      </c>
      <c r="C45" s="10">
        <v>5.7142857142857141E-2</v>
      </c>
    </row>
    <row r="46" spans="2:3" x14ac:dyDescent="0.2">
      <c r="B46" s="6" t="s">
        <v>20</v>
      </c>
      <c r="C46" s="10">
        <v>1</v>
      </c>
    </row>
    <row r="51" spans="2:3" x14ac:dyDescent="0.2">
      <c r="B51" s="5" t="s">
        <v>19</v>
      </c>
      <c r="C51" t="s">
        <v>34</v>
      </c>
    </row>
    <row r="52" spans="2:3" x14ac:dyDescent="0.2">
      <c r="B52" s="6">
        <v>0</v>
      </c>
      <c r="C52" s="10">
        <v>0.29480519480519479</v>
      </c>
    </row>
    <row r="53" spans="2:3" x14ac:dyDescent="0.2">
      <c r="B53" s="6">
        <v>1</v>
      </c>
      <c r="C53" s="10">
        <v>0.25064935064935062</v>
      </c>
    </row>
    <row r="54" spans="2:3" x14ac:dyDescent="0.2">
      <c r="B54" s="6">
        <v>2</v>
      </c>
      <c r="C54" s="10">
        <v>0.23506493506493506</v>
      </c>
    </row>
    <row r="55" spans="2:3" x14ac:dyDescent="0.2">
      <c r="B55" s="6">
        <v>3</v>
      </c>
      <c r="C55" s="10">
        <v>0.14675324675324675</v>
      </c>
    </row>
    <row r="56" spans="2:3" x14ac:dyDescent="0.2">
      <c r="B56" s="6">
        <v>4</v>
      </c>
      <c r="C56" s="10">
        <v>3.6363636363636362E-2</v>
      </c>
    </row>
    <row r="57" spans="2:3" x14ac:dyDescent="0.2">
      <c r="B57" s="6">
        <v>5</v>
      </c>
      <c r="C57" s="10">
        <v>3.6363636363636362E-2</v>
      </c>
    </row>
    <row r="58" spans="2:3" x14ac:dyDescent="0.2">
      <c r="B58" s="6" t="s">
        <v>20</v>
      </c>
      <c r="C58" s="10">
        <v>1</v>
      </c>
    </row>
    <row r="64" spans="2:3" x14ac:dyDescent="0.2">
      <c r="B64" s="5" t="s">
        <v>19</v>
      </c>
      <c r="C64" t="s">
        <v>35</v>
      </c>
    </row>
    <row r="65" spans="2:3" x14ac:dyDescent="0.2">
      <c r="B65" s="6" t="s">
        <v>110</v>
      </c>
      <c r="C65" s="10">
        <v>0.35844155844155845</v>
      </c>
    </row>
    <row r="66" spans="2:3" x14ac:dyDescent="0.2">
      <c r="B66" s="45">
        <v>0</v>
      </c>
      <c r="C66" s="10">
        <v>0.11818181818181818</v>
      </c>
    </row>
    <row r="67" spans="2:3" x14ac:dyDescent="0.2">
      <c r="B67" s="45">
        <v>1</v>
      </c>
      <c r="C67" s="10">
        <v>0.24025974025974026</v>
      </c>
    </row>
    <row r="68" spans="2:3" x14ac:dyDescent="0.2">
      <c r="B68" s="6">
        <v>2</v>
      </c>
      <c r="C68" s="10">
        <v>0.39220779220779223</v>
      </c>
    </row>
    <row r="69" spans="2:3" x14ac:dyDescent="0.2">
      <c r="B69" s="45">
        <v>2</v>
      </c>
      <c r="C69" s="10">
        <v>0.39220779220779223</v>
      </c>
    </row>
    <row r="70" spans="2:3" x14ac:dyDescent="0.2">
      <c r="B70" s="6" t="s">
        <v>111</v>
      </c>
      <c r="C70" s="10">
        <v>0.24935064935064935</v>
      </c>
    </row>
    <row r="71" spans="2:3" x14ac:dyDescent="0.2">
      <c r="B71" s="45">
        <v>3</v>
      </c>
      <c r="C71" s="10">
        <v>0.18441558441558442</v>
      </c>
    </row>
    <row r="72" spans="2:3" x14ac:dyDescent="0.2">
      <c r="B72" s="45">
        <v>4</v>
      </c>
      <c r="C72" s="10">
        <v>6.4935064935064929E-2</v>
      </c>
    </row>
    <row r="73" spans="2:3" x14ac:dyDescent="0.2">
      <c r="B73" s="6" t="s">
        <v>20</v>
      </c>
      <c r="C73" s="10">
        <v>1</v>
      </c>
    </row>
    <row r="76" spans="2:3" x14ac:dyDescent="0.2">
      <c r="B76" s="11"/>
    </row>
    <row r="77" spans="2:3" x14ac:dyDescent="0.2">
      <c r="B77" s="5" t="s">
        <v>19</v>
      </c>
      <c r="C77" t="s">
        <v>36</v>
      </c>
    </row>
    <row r="78" spans="2:3" x14ac:dyDescent="0.2">
      <c r="B78" s="6">
        <v>0</v>
      </c>
      <c r="C78" s="10">
        <v>0.29480519480519479</v>
      </c>
    </row>
    <row r="79" spans="2:3" x14ac:dyDescent="0.2">
      <c r="B79" s="6">
        <v>1</v>
      </c>
      <c r="C79" s="10">
        <v>0.14935064935064934</v>
      </c>
    </row>
    <row r="80" spans="2:3" x14ac:dyDescent="0.2">
      <c r="B80" s="6">
        <v>2</v>
      </c>
      <c r="C80" s="10">
        <v>9.350649350649351E-2</v>
      </c>
    </row>
    <row r="81" spans="2:3" x14ac:dyDescent="0.2">
      <c r="B81" s="6">
        <v>3</v>
      </c>
      <c r="C81" s="10">
        <v>0.14545454545454545</v>
      </c>
    </row>
    <row r="82" spans="2:3" x14ac:dyDescent="0.2">
      <c r="B82" s="6">
        <v>4</v>
      </c>
      <c r="C82" s="10">
        <v>0.11428571428571428</v>
      </c>
    </row>
    <row r="83" spans="2:3" x14ac:dyDescent="0.2">
      <c r="B83" s="6">
        <v>5</v>
      </c>
      <c r="C83" s="10">
        <v>0.20259740259740261</v>
      </c>
    </row>
    <row r="84" spans="2:3" x14ac:dyDescent="0.2">
      <c r="B84" s="6" t="s">
        <v>22</v>
      </c>
      <c r="C84" s="10">
        <v>0</v>
      </c>
    </row>
    <row r="85" spans="2:3" x14ac:dyDescent="0.2">
      <c r="B85" s="6" t="s">
        <v>20</v>
      </c>
      <c r="C85" s="10">
        <v>1</v>
      </c>
    </row>
    <row r="90" spans="2:3" x14ac:dyDescent="0.2">
      <c r="B90" s="5" t="s">
        <v>19</v>
      </c>
      <c r="C90" t="s">
        <v>37</v>
      </c>
    </row>
    <row r="91" spans="2:3" x14ac:dyDescent="0.2">
      <c r="B91" s="6">
        <v>0</v>
      </c>
      <c r="C91" s="10">
        <v>0.29480519480519479</v>
      </c>
    </row>
    <row r="92" spans="2:3" x14ac:dyDescent="0.2">
      <c r="B92" s="6">
        <v>1</v>
      </c>
      <c r="C92" s="10">
        <v>0.25064935064935062</v>
      </c>
    </row>
    <row r="93" spans="2:3" x14ac:dyDescent="0.2">
      <c r="B93" s="6">
        <v>2</v>
      </c>
      <c r="C93" s="10">
        <v>0.17792207792207793</v>
      </c>
    </row>
    <row r="94" spans="2:3" x14ac:dyDescent="0.2">
      <c r="B94" s="6">
        <v>3</v>
      </c>
      <c r="C94" s="10">
        <v>0.12857142857142856</v>
      </c>
    </row>
    <row r="95" spans="2:3" x14ac:dyDescent="0.2">
      <c r="B95" s="6">
        <v>4</v>
      </c>
      <c r="C95" s="10">
        <v>0.14805194805194805</v>
      </c>
    </row>
    <row r="96" spans="2:3" x14ac:dyDescent="0.2">
      <c r="B96" s="6" t="s">
        <v>22</v>
      </c>
      <c r="C96" s="10">
        <v>0</v>
      </c>
    </row>
    <row r="97" spans="2:3" x14ac:dyDescent="0.2">
      <c r="B97" s="6" t="s">
        <v>20</v>
      </c>
      <c r="C97" s="10">
        <v>1</v>
      </c>
    </row>
    <row r="101" spans="2:3" x14ac:dyDescent="0.2">
      <c r="B101" s="5" t="s">
        <v>19</v>
      </c>
      <c r="C101" t="s">
        <v>23</v>
      </c>
    </row>
    <row r="102" spans="2:3" x14ac:dyDescent="0.2">
      <c r="B102" s="6" t="s">
        <v>24</v>
      </c>
      <c r="C102" s="10">
        <v>0</v>
      </c>
    </row>
    <row r="103" spans="2:3" x14ac:dyDescent="0.2">
      <c r="B103" s="6" t="s">
        <v>25</v>
      </c>
      <c r="C103" s="10">
        <v>1.2987012987012987E-3</v>
      </c>
    </row>
    <row r="104" spans="2:3" x14ac:dyDescent="0.2">
      <c r="B104" s="6" t="s">
        <v>26</v>
      </c>
      <c r="C104" s="10">
        <v>1.2987012987012987E-3</v>
      </c>
    </row>
    <row r="105" spans="2:3" x14ac:dyDescent="0.2">
      <c r="B105" s="6" t="s">
        <v>27</v>
      </c>
      <c r="C105" s="10">
        <v>3.6363636363636362E-2</v>
      </c>
    </row>
    <row r="106" spans="2:3" x14ac:dyDescent="0.2">
      <c r="B106" s="6" t="s">
        <v>28</v>
      </c>
      <c r="C106" s="10">
        <v>9.7402597402597407E-2</v>
      </c>
    </row>
    <row r="107" spans="2:3" x14ac:dyDescent="0.2">
      <c r="B107" s="6" t="s">
        <v>29</v>
      </c>
      <c r="C107" s="10">
        <v>0.13116883116883116</v>
      </c>
    </row>
    <row r="108" spans="2:3" x14ac:dyDescent="0.2">
      <c r="B108" s="6" t="s">
        <v>30</v>
      </c>
      <c r="C108" s="10">
        <v>0.19740259740259741</v>
      </c>
    </row>
    <row r="109" spans="2:3" x14ac:dyDescent="0.2">
      <c r="B109" s="6" t="s">
        <v>31</v>
      </c>
      <c r="C109" s="10">
        <v>0.17532467532467533</v>
      </c>
    </row>
    <row r="110" spans="2:3" x14ac:dyDescent="0.2">
      <c r="B110" s="6" t="s">
        <v>32</v>
      </c>
      <c r="C110" s="10">
        <v>0.19090909090909092</v>
      </c>
    </row>
    <row r="111" spans="2:3" x14ac:dyDescent="0.2">
      <c r="B111" s="6" t="s">
        <v>33</v>
      </c>
      <c r="C111" s="10">
        <v>0.16883116883116883</v>
      </c>
    </row>
    <row r="112" spans="2:3" x14ac:dyDescent="0.2">
      <c r="B112" s="6" t="s">
        <v>20</v>
      </c>
      <c r="C112" s="10">
        <v>1</v>
      </c>
    </row>
  </sheetData>
  <pageMargins left="0.7" right="0.7" top="0.75" bottom="0.75" header="0.3" footer="0.3"/>
  <drawing r:id="rId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59E86-01FB-334C-9C0A-A55FE091C02E}">
  <dimension ref="A2:O772"/>
  <sheetViews>
    <sheetView topLeftCell="A20" zoomScaleNormal="100" workbookViewId="0">
      <selection activeCell="B6" sqref="B6"/>
    </sheetView>
  </sheetViews>
  <sheetFormatPr baseColWidth="10" defaultColWidth="11" defaultRowHeight="16" x14ac:dyDescent="0.2"/>
  <cols>
    <col min="1" max="1" width="33" bestFit="1" customWidth="1"/>
    <col min="2" max="2" width="13.83203125" bestFit="1" customWidth="1"/>
    <col min="3" max="3" width="14" bestFit="1" customWidth="1"/>
    <col min="4" max="4" width="11" bestFit="1" customWidth="1"/>
    <col min="5" max="5" width="8.83203125" customWidth="1"/>
  </cols>
  <sheetData>
    <row r="2" spans="1:15" x14ac:dyDescent="0.2">
      <c r="A2" s="30" t="s">
        <v>57</v>
      </c>
    </row>
    <row r="3" spans="1:15" x14ac:dyDescent="0.2">
      <c r="O3" s="20"/>
    </row>
    <row r="4" spans="1:15" x14ac:dyDescent="0.2">
      <c r="A4" s="36" t="s">
        <v>92</v>
      </c>
      <c r="B4" s="32" t="s">
        <v>45</v>
      </c>
      <c r="C4" s="32" t="s">
        <v>66</v>
      </c>
      <c r="O4" s="20"/>
    </row>
    <row r="5" spans="1:15" x14ac:dyDescent="0.2">
      <c r="A5" s="35" t="s">
        <v>91</v>
      </c>
      <c r="B5" s="34">
        <v>0.71104891376782431</v>
      </c>
      <c r="C5" s="34">
        <v>123</v>
      </c>
      <c r="O5" s="20"/>
    </row>
    <row r="6" spans="1:15" x14ac:dyDescent="0.2">
      <c r="A6" s="33" t="s">
        <v>90</v>
      </c>
      <c r="B6" s="22">
        <v>0.74777933613838199</v>
      </c>
      <c r="C6" s="22">
        <v>93</v>
      </c>
      <c r="O6" s="20"/>
    </row>
    <row r="7" spans="1:15" x14ac:dyDescent="0.2">
      <c r="O7" s="20"/>
    </row>
    <row r="8" spans="1:15" x14ac:dyDescent="0.2">
      <c r="A8" t="s">
        <v>76</v>
      </c>
      <c r="O8" s="20"/>
    </row>
    <row r="9" spans="1:15" ht="17" thickBot="1" x14ac:dyDescent="0.25">
      <c r="O9" s="20"/>
    </row>
    <row r="10" spans="1:15" x14ac:dyDescent="0.2">
      <c r="A10" s="14"/>
      <c r="B10" s="14" t="s">
        <v>42</v>
      </c>
      <c r="C10" s="14" t="s">
        <v>43</v>
      </c>
      <c r="O10" s="20"/>
    </row>
    <row r="11" spans="1:15" x14ac:dyDescent="0.2">
      <c r="A11" t="s">
        <v>44</v>
      </c>
      <c r="B11">
        <v>4.1626016260162606</v>
      </c>
      <c r="C11">
        <v>4.236559139784946</v>
      </c>
      <c r="O11" s="20"/>
    </row>
    <row r="12" spans="1:15" x14ac:dyDescent="0.2">
      <c r="A12" t="s">
        <v>75</v>
      </c>
      <c r="B12">
        <v>0.71104891400000003</v>
      </c>
      <c r="C12">
        <v>0.74777933600000002</v>
      </c>
      <c r="O12" s="20"/>
    </row>
    <row r="13" spans="1:15" x14ac:dyDescent="0.2">
      <c r="A13" t="s">
        <v>46</v>
      </c>
      <c r="B13">
        <v>123</v>
      </c>
      <c r="C13">
        <v>93</v>
      </c>
      <c r="O13" s="20"/>
    </row>
    <row r="14" spans="1:15" x14ac:dyDescent="0.2">
      <c r="A14" t="s">
        <v>48</v>
      </c>
      <c r="B14">
        <v>0</v>
      </c>
      <c r="O14" s="20"/>
    </row>
    <row r="15" spans="1:15" x14ac:dyDescent="0.2">
      <c r="A15" t="s">
        <v>74</v>
      </c>
      <c r="B15">
        <v>-0.62907777895174399</v>
      </c>
      <c r="O15" s="20"/>
    </row>
    <row r="16" spans="1:15" x14ac:dyDescent="0.2">
      <c r="A16" t="s">
        <v>73</v>
      </c>
      <c r="B16">
        <v>0.26464906864737248</v>
      </c>
      <c r="O16" s="20"/>
    </row>
    <row r="17" spans="1:15" x14ac:dyDescent="0.2">
      <c r="A17" t="s">
        <v>72</v>
      </c>
      <c r="B17">
        <v>1.6448536269514715</v>
      </c>
      <c r="O17" s="20"/>
    </row>
    <row r="18" spans="1:15" x14ac:dyDescent="0.2">
      <c r="A18" t="s">
        <v>71</v>
      </c>
      <c r="B18">
        <v>0.52929813729474495</v>
      </c>
      <c r="O18" s="20"/>
    </row>
    <row r="19" spans="1:15" ht="17" thickBot="1" x14ac:dyDescent="0.25">
      <c r="A19" s="13" t="s">
        <v>70</v>
      </c>
      <c r="B19" s="13">
        <v>1.9599639845400536</v>
      </c>
      <c r="C19" s="13"/>
      <c r="O19" s="20"/>
    </row>
    <row r="20" spans="1:15" x14ac:dyDescent="0.2">
      <c r="O20" s="20"/>
    </row>
    <row r="21" spans="1:15" x14ac:dyDescent="0.2">
      <c r="A21" s="30" t="s">
        <v>55</v>
      </c>
      <c r="O21" s="20"/>
    </row>
    <row r="22" spans="1:15" x14ac:dyDescent="0.2">
      <c r="O22" s="20"/>
    </row>
    <row r="23" spans="1:15" x14ac:dyDescent="0.2">
      <c r="A23" s="2" t="s">
        <v>89</v>
      </c>
      <c r="B23" s="32" t="s">
        <v>45</v>
      </c>
      <c r="C23" s="32" t="s">
        <v>66</v>
      </c>
      <c r="O23" s="20"/>
    </row>
    <row r="24" spans="1:15" x14ac:dyDescent="0.2">
      <c r="A24" s="31" t="s">
        <v>88</v>
      </c>
      <c r="B24" s="25">
        <v>0.52712020199999998</v>
      </c>
      <c r="C24" s="24">
        <v>229</v>
      </c>
      <c r="O24" s="20"/>
    </row>
    <row r="25" spans="1:15" x14ac:dyDescent="0.2">
      <c r="A25" s="23" t="s">
        <v>87</v>
      </c>
      <c r="B25" s="22">
        <v>0.49424206799999998</v>
      </c>
      <c r="C25" s="21">
        <v>185</v>
      </c>
      <c r="O25" s="20"/>
    </row>
    <row r="26" spans="1:15" x14ac:dyDescent="0.2">
      <c r="O26" s="20"/>
    </row>
    <row r="27" spans="1:15" x14ac:dyDescent="0.2">
      <c r="A27" t="s">
        <v>76</v>
      </c>
      <c r="O27" s="20"/>
    </row>
    <row r="28" spans="1:15" ht="17" thickBot="1" x14ac:dyDescent="0.25">
      <c r="O28" s="20"/>
    </row>
    <row r="29" spans="1:15" x14ac:dyDescent="0.2">
      <c r="A29" s="14"/>
      <c r="B29" s="14" t="s">
        <v>42</v>
      </c>
      <c r="C29" s="14" t="s">
        <v>43</v>
      </c>
      <c r="O29" s="20"/>
    </row>
    <row r="30" spans="1:15" x14ac:dyDescent="0.2">
      <c r="A30" t="s">
        <v>44</v>
      </c>
      <c r="B30">
        <v>0.38427947598253276</v>
      </c>
      <c r="C30">
        <v>0.92432432432432432</v>
      </c>
      <c r="O30" s="20"/>
    </row>
    <row r="31" spans="1:15" x14ac:dyDescent="0.2">
      <c r="A31" t="s">
        <v>75</v>
      </c>
      <c r="B31">
        <v>0.52712020199999998</v>
      </c>
      <c r="C31">
        <v>0.49424206799999998</v>
      </c>
      <c r="O31" s="20"/>
    </row>
    <row r="32" spans="1:15" x14ac:dyDescent="0.2">
      <c r="A32" t="s">
        <v>46</v>
      </c>
      <c r="B32">
        <v>229</v>
      </c>
      <c r="C32">
        <v>185</v>
      </c>
      <c r="O32" s="20"/>
    </row>
    <row r="33" spans="1:15" x14ac:dyDescent="0.2">
      <c r="A33" t="s">
        <v>48</v>
      </c>
      <c r="B33">
        <v>0</v>
      </c>
      <c r="O33" s="20"/>
    </row>
    <row r="34" spans="1:15" x14ac:dyDescent="0.2">
      <c r="A34" t="s">
        <v>74</v>
      </c>
      <c r="B34">
        <v>-7.6577738196322702</v>
      </c>
      <c r="E34" s="18"/>
      <c r="F34" s="18"/>
      <c r="G34" s="18"/>
      <c r="O34" s="20"/>
    </row>
    <row r="35" spans="1:15" x14ac:dyDescent="0.2">
      <c r="A35" t="s">
        <v>73</v>
      </c>
      <c r="B35">
        <v>9.4368957093138306E-15</v>
      </c>
      <c r="O35" s="20"/>
    </row>
    <row r="36" spans="1:15" x14ac:dyDescent="0.2">
      <c r="A36" t="s">
        <v>72</v>
      </c>
      <c r="B36">
        <v>1.6448536269514715</v>
      </c>
      <c r="O36" s="20"/>
    </row>
    <row r="37" spans="1:15" x14ac:dyDescent="0.2">
      <c r="A37" t="s">
        <v>71</v>
      </c>
      <c r="B37">
        <v>1.8873791418627661E-14</v>
      </c>
      <c r="O37" s="20"/>
    </row>
    <row r="38" spans="1:15" ht="17" thickBot="1" x14ac:dyDescent="0.25">
      <c r="A38" s="13" t="s">
        <v>70</v>
      </c>
      <c r="B38" s="13">
        <v>1.9599639845400536</v>
      </c>
      <c r="C38" s="13"/>
      <c r="O38" s="20"/>
    </row>
    <row r="39" spans="1:15" x14ac:dyDescent="0.2">
      <c r="O39" s="20"/>
    </row>
    <row r="40" spans="1:15" x14ac:dyDescent="0.2">
      <c r="A40" s="30" t="s">
        <v>56</v>
      </c>
      <c r="O40" s="20"/>
    </row>
    <row r="41" spans="1:15" x14ac:dyDescent="0.2">
      <c r="O41" s="20"/>
    </row>
    <row r="42" spans="1:15" x14ac:dyDescent="0.2">
      <c r="A42" s="25" t="s">
        <v>86</v>
      </c>
      <c r="B42" s="26" t="s">
        <v>45</v>
      </c>
      <c r="C42" s="29" t="s">
        <v>66</v>
      </c>
      <c r="O42" s="20"/>
    </row>
    <row r="43" spans="1:15" x14ac:dyDescent="0.2">
      <c r="A43" s="26" t="s">
        <v>65</v>
      </c>
      <c r="B43" s="25">
        <v>0.53333333333333344</v>
      </c>
      <c r="C43" s="24">
        <v>66</v>
      </c>
      <c r="O43" s="20"/>
    </row>
    <row r="44" spans="1:15" x14ac:dyDescent="0.2">
      <c r="A44" s="23" t="s">
        <v>64</v>
      </c>
      <c r="B44" s="22">
        <v>0.79737675260063301</v>
      </c>
      <c r="C44" s="21">
        <v>67</v>
      </c>
      <c r="O44" s="20"/>
    </row>
    <row r="45" spans="1:15" x14ac:dyDescent="0.2">
      <c r="O45" s="20"/>
    </row>
    <row r="46" spans="1:15" x14ac:dyDescent="0.2">
      <c r="A46" t="s">
        <v>76</v>
      </c>
      <c r="O46" s="20"/>
    </row>
    <row r="47" spans="1:15" ht="17" thickBot="1" x14ac:dyDescent="0.25">
      <c r="O47" s="20"/>
    </row>
    <row r="48" spans="1:15" x14ac:dyDescent="0.2">
      <c r="A48" s="14"/>
      <c r="B48" s="14" t="s">
        <v>42</v>
      </c>
      <c r="C48" s="14" t="s">
        <v>43</v>
      </c>
      <c r="O48" s="20"/>
    </row>
    <row r="49" spans="1:15" x14ac:dyDescent="0.2">
      <c r="A49" t="s">
        <v>44</v>
      </c>
      <c r="B49">
        <v>0.66666666666666663</v>
      </c>
      <c r="C49">
        <v>4.0746268656716422</v>
      </c>
      <c r="O49" s="20"/>
    </row>
    <row r="50" spans="1:15" x14ac:dyDescent="0.2">
      <c r="A50" t="s">
        <v>75</v>
      </c>
      <c r="B50">
        <v>0.53333333299999997</v>
      </c>
      <c r="C50">
        <v>0.79737675299999999</v>
      </c>
      <c r="O50" s="20"/>
    </row>
    <row r="51" spans="1:15" x14ac:dyDescent="0.2">
      <c r="A51" t="s">
        <v>46</v>
      </c>
      <c r="B51">
        <v>66</v>
      </c>
      <c r="C51">
        <v>67</v>
      </c>
      <c r="O51" s="20"/>
    </row>
    <row r="52" spans="1:15" x14ac:dyDescent="0.2">
      <c r="A52" t="s">
        <v>48</v>
      </c>
      <c r="B52">
        <v>0</v>
      </c>
      <c r="O52" s="20"/>
    </row>
    <row r="53" spans="1:15" x14ac:dyDescent="0.2">
      <c r="A53" t="s">
        <v>74</v>
      </c>
      <c r="B53">
        <v>-24.108797021009575</v>
      </c>
      <c r="O53" s="20"/>
    </row>
    <row r="54" spans="1:15" x14ac:dyDescent="0.2">
      <c r="A54" t="s">
        <v>73</v>
      </c>
      <c r="B54">
        <v>0</v>
      </c>
      <c r="O54" s="20"/>
    </row>
    <row r="55" spans="1:15" x14ac:dyDescent="0.2">
      <c r="A55" t="s">
        <v>72</v>
      </c>
      <c r="B55">
        <v>1.6448536269514715</v>
      </c>
      <c r="O55" s="20"/>
    </row>
    <row r="56" spans="1:15" x14ac:dyDescent="0.2">
      <c r="A56" t="s">
        <v>71</v>
      </c>
      <c r="B56">
        <v>0</v>
      </c>
      <c r="O56" s="20"/>
    </row>
    <row r="57" spans="1:15" ht="17" thickBot="1" x14ac:dyDescent="0.25">
      <c r="A57" s="13" t="s">
        <v>70</v>
      </c>
      <c r="B57" s="13">
        <v>1.9599639845400536</v>
      </c>
      <c r="C57" s="13"/>
      <c r="O57" s="20"/>
    </row>
    <row r="58" spans="1:15" x14ac:dyDescent="0.2">
      <c r="O58" s="20"/>
    </row>
    <row r="59" spans="1:15" x14ac:dyDescent="0.2">
      <c r="A59" s="25" t="s">
        <v>85</v>
      </c>
      <c r="B59" s="26" t="s">
        <v>45</v>
      </c>
      <c r="C59" s="29" t="s">
        <v>66</v>
      </c>
      <c r="O59" s="20"/>
    </row>
    <row r="60" spans="1:15" x14ac:dyDescent="0.2">
      <c r="A60" s="26" t="s">
        <v>65</v>
      </c>
      <c r="B60" s="25">
        <v>0.5717879604672057</v>
      </c>
      <c r="C60" s="24">
        <v>106</v>
      </c>
      <c r="O60" s="20"/>
    </row>
    <row r="61" spans="1:15" x14ac:dyDescent="0.2">
      <c r="A61" s="23" t="s">
        <v>64</v>
      </c>
      <c r="B61" s="22">
        <v>0.75407645014701996</v>
      </c>
      <c r="C61" s="21">
        <v>87</v>
      </c>
      <c r="O61" s="20"/>
    </row>
    <row r="62" spans="1:15" x14ac:dyDescent="0.2">
      <c r="O62" s="20"/>
    </row>
    <row r="63" spans="1:15" x14ac:dyDescent="0.2">
      <c r="A63" t="s">
        <v>76</v>
      </c>
      <c r="O63" s="20"/>
    </row>
    <row r="64" spans="1:15" ht="17" thickBot="1" x14ac:dyDescent="0.25">
      <c r="O64" s="20"/>
    </row>
    <row r="65" spans="1:15" x14ac:dyDescent="0.2">
      <c r="A65" s="14"/>
      <c r="B65" s="14" t="s">
        <v>42</v>
      </c>
      <c r="C65" s="14" t="s">
        <v>43</v>
      </c>
      <c r="O65" s="20"/>
    </row>
    <row r="66" spans="1:15" x14ac:dyDescent="0.2">
      <c r="A66" t="s">
        <v>44</v>
      </c>
      <c r="B66">
        <v>0.56603773584905659</v>
      </c>
      <c r="C66">
        <v>4.1149425287356323</v>
      </c>
      <c r="O66" s="20"/>
    </row>
    <row r="67" spans="1:15" x14ac:dyDescent="0.2">
      <c r="A67" t="s">
        <v>75</v>
      </c>
      <c r="B67">
        <v>0.57178795999999998</v>
      </c>
      <c r="C67">
        <v>0.75407645000000001</v>
      </c>
      <c r="O67" s="20"/>
    </row>
    <row r="68" spans="1:15" x14ac:dyDescent="0.2">
      <c r="A68" t="s">
        <v>46</v>
      </c>
      <c r="B68">
        <v>106</v>
      </c>
      <c r="C68">
        <v>87</v>
      </c>
      <c r="O68" s="20"/>
    </row>
    <row r="69" spans="1:15" x14ac:dyDescent="0.2">
      <c r="A69" t="s">
        <v>48</v>
      </c>
      <c r="B69">
        <v>0</v>
      </c>
      <c r="O69" s="20"/>
    </row>
    <row r="70" spans="1:15" x14ac:dyDescent="0.2">
      <c r="A70" t="s">
        <v>74</v>
      </c>
      <c r="B70">
        <v>-29.927768188511994</v>
      </c>
      <c r="O70" s="20"/>
    </row>
    <row r="71" spans="1:15" x14ac:dyDescent="0.2">
      <c r="A71" t="s">
        <v>73</v>
      </c>
      <c r="B71">
        <v>0</v>
      </c>
      <c r="O71" s="20"/>
    </row>
    <row r="72" spans="1:15" x14ac:dyDescent="0.2">
      <c r="A72" t="s">
        <v>72</v>
      </c>
      <c r="B72">
        <v>1.6448536269514715</v>
      </c>
      <c r="O72" s="20"/>
    </row>
    <row r="73" spans="1:15" x14ac:dyDescent="0.2">
      <c r="A73" t="s">
        <v>71</v>
      </c>
      <c r="B73">
        <v>0</v>
      </c>
      <c r="O73" s="20"/>
    </row>
    <row r="74" spans="1:15" ht="17" thickBot="1" x14ac:dyDescent="0.25">
      <c r="A74" s="13" t="s">
        <v>70</v>
      </c>
      <c r="B74" s="13">
        <v>1.9599639845400536</v>
      </c>
      <c r="C74" s="13"/>
      <c r="O74" s="20"/>
    </row>
    <row r="75" spans="1:15" x14ac:dyDescent="0.2">
      <c r="O75" s="20"/>
    </row>
    <row r="76" spans="1:15" x14ac:dyDescent="0.2">
      <c r="A76" s="30" t="s">
        <v>63</v>
      </c>
      <c r="O76" s="20"/>
    </row>
    <row r="77" spans="1:15" x14ac:dyDescent="0.2">
      <c r="O77" s="20"/>
    </row>
    <row r="78" spans="1:15" x14ac:dyDescent="0.2">
      <c r="A78" s="25" t="s">
        <v>84</v>
      </c>
      <c r="B78" s="26" t="s">
        <v>45</v>
      </c>
      <c r="C78" s="26" t="s">
        <v>66</v>
      </c>
      <c r="O78" s="20"/>
    </row>
    <row r="79" spans="1:15" x14ac:dyDescent="0.2">
      <c r="A79" s="26" t="s">
        <v>65</v>
      </c>
      <c r="B79" s="28">
        <v>0.69491525423728817</v>
      </c>
      <c r="C79" s="24">
        <v>53</v>
      </c>
      <c r="O79" s="20"/>
    </row>
    <row r="80" spans="1:15" x14ac:dyDescent="0.2">
      <c r="A80" s="23" t="s">
        <v>64</v>
      </c>
      <c r="B80" s="27">
        <v>0.65529753265602375</v>
      </c>
      <c r="C80" s="21">
        <v>59</v>
      </c>
      <c r="O80" s="20"/>
    </row>
    <row r="81" spans="1:15" x14ac:dyDescent="0.2">
      <c r="O81" s="20"/>
    </row>
    <row r="82" spans="1:15" x14ac:dyDescent="0.2">
      <c r="A82" t="s">
        <v>76</v>
      </c>
      <c r="O82" s="20"/>
    </row>
    <row r="83" spans="1:15" ht="17" thickBot="1" x14ac:dyDescent="0.25">
      <c r="O83" s="20"/>
    </row>
    <row r="84" spans="1:15" x14ac:dyDescent="0.2">
      <c r="A84" s="14"/>
      <c r="B84" s="14" t="s">
        <v>42</v>
      </c>
      <c r="C84" s="14" t="s">
        <v>43</v>
      </c>
      <c r="O84" s="20"/>
    </row>
    <row r="85" spans="1:15" x14ac:dyDescent="0.2">
      <c r="A85" t="s">
        <v>44</v>
      </c>
      <c r="B85">
        <v>0.83050847457627119</v>
      </c>
      <c r="C85">
        <v>4.132075471698113</v>
      </c>
      <c r="O85" s="20"/>
    </row>
    <row r="86" spans="1:15" x14ac:dyDescent="0.2">
      <c r="A86" t="s">
        <v>75</v>
      </c>
      <c r="B86">
        <v>0.69491525399999998</v>
      </c>
      <c r="C86">
        <v>0.65529753300000004</v>
      </c>
      <c r="O86" s="20"/>
    </row>
    <row r="87" spans="1:15" x14ac:dyDescent="0.2">
      <c r="A87" t="s">
        <v>46</v>
      </c>
      <c r="B87">
        <v>59</v>
      </c>
      <c r="C87">
        <v>53</v>
      </c>
      <c r="O87" s="20"/>
    </row>
    <row r="88" spans="1:15" x14ac:dyDescent="0.2">
      <c r="A88" t="s">
        <v>48</v>
      </c>
      <c r="B88">
        <v>0</v>
      </c>
      <c r="O88" s="20"/>
    </row>
    <row r="89" spans="1:15" x14ac:dyDescent="0.2">
      <c r="A89" t="s">
        <v>74</v>
      </c>
      <c r="B89">
        <v>-21.248610332041874</v>
      </c>
      <c r="O89" s="20"/>
    </row>
    <row r="90" spans="1:15" x14ac:dyDescent="0.2">
      <c r="A90" t="s">
        <v>73</v>
      </c>
      <c r="B90">
        <v>0</v>
      </c>
      <c r="O90" s="20"/>
    </row>
    <row r="91" spans="1:15" x14ac:dyDescent="0.2">
      <c r="A91" t="s">
        <v>72</v>
      </c>
      <c r="B91">
        <v>1.6448536269514715</v>
      </c>
      <c r="O91" s="20"/>
    </row>
    <row r="92" spans="1:15" x14ac:dyDescent="0.2">
      <c r="A92" t="s">
        <v>71</v>
      </c>
      <c r="B92">
        <v>0</v>
      </c>
      <c r="O92" s="20"/>
    </row>
    <row r="93" spans="1:15" ht="17" thickBot="1" x14ac:dyDescent="0.25">
      <c r="A93" s="13" t="s">
        <v>70</v>
      </c>
      <c r="B93" s="13">
        <v>1.9599639845400536</v>
      </c>
      <c r="C93" s="13"/>
      <c r="O93" s="20"/>
    </row>
    <row r="94" spans="1:15" x14ac:dyDescent="0.2">
      <c r="O94" s="20"/>
    </row>
    <row r="95" spans="1:15" x14ac:dyDescent="0.2">
      <c r="A95" s="25" t="s">
        <v>83</v>
      </c>
      <c r="B95" s="26" t="s">
        <v>45</v>
      </c>
      <c r="C95" s="26" t="s">
        <v>66</v>
      </c>
      <c r="O95" s="20"/>
    </row>
    <row r="96" spans="1:15" x14ac:dyDescent="0.2">
      <c r="A96" s="26" t="s">
        <v>65</v>
      </c>
      <c r="B96" s="25">
        <v>0.58536585365853655</v>
      </c>
      <c r="C96" s="24">
        <v>42</v>
      </c>
      <c r="O96" s="20"/>
    </row>
    <row r="97" spans="1:15" x14ac:dyDescent="0.2">
      <c r="A97" s="23" t="s">
        <v>64</v>
      </c>
      <c r="B97" s="22">
        <v>0.77554563492063489</v>
      </c>
      <c r="C97" s="21">
        <v>64</v>
      </c>
      <c r="O97" s="20"/>
    </row>
    <row r="98" spans="1:15" x14ac:dyDescent="0.2">
      <c r="O98" s="20"/>
    </row>
    <row r="99" spans="1:15" x14ac:dyDescent="0.2">
      <c r="A99" t="s">
        <v>76</v>
      </c>
      <c r="O99" s="20"/>
    </row>
    <row r="100" spans="1:15" ht="17" thickBot="1" x14ac:dyDescent="0.25">
      <c r="O100" s="20"/>
    </row>
    <row r="101" spans="1:15" x14ac:dyDescent="0.2">
      <c r="A101" s="14"/>
      <c r="B101" s="14" t="s">
        <v>42</v>
      </c>
      <c r="C101" s="14" t="s">
        <v>43</v>
      </c>
      <c r="O101" s="20"/>
    </row>
    <row r="102" spans="1:15" x14ac:dyDescent="0.2">
      <c r="A102" t="s">
        <v>44</v>
      </c>
      <c r="B102">
        <v>1</v>
      </c>
      <c r="C102">
        <v>4.046875</v>
      </c>
      <c r="O102" s="20"/>
    </row>
    <row r="103" spans="1:15" x14ac:dyDescent="0.2">
      <c r="A103" t="s">
        <v>75</v>
      </c>
      <c r="B103">
        <v>0.58536585399999996</v>
      </c>
      <c r="C103">
        <v>0.77554563499999996</v>
      </c>
      <c r="O103" s="20"/>
    </row>
    <row r="104" spans="1:15" x14ac:dyDescent="0.2">
      <c r="A104" t="s">
        <v>46</v>
      </c>
      <c r="B104">
        <v>42</v>
      </c>
      <c r="C104">
        <v>64</v>
      </c>
      <c r="O104" s="20"/>
    </row>
    <row r="105" spans="1:15" x14ac:dyDescent="0.2">
      <c r="A105" t="s">
        <v>48</v>
      </c>
      <c r="B105">
        <v>0</v>
      </c>
      <c r="O105" s="20"/>
    </row>
    <row r="106" spans="1:15" x14ac:dyDescent="0.2">
      <c r="A106" t="s">
        <v>74</v>
      </c>
      <c r="B106">
        <v>-18.875895974409381</v>
      </c>
      <c r="O106" s="20"/>
    </row>
    <row r="107" spans="1:15" x14ac:dyDescent="0.2">
      <c r="A107" t="s">
        <v>73</v>
      </c>
      <c r="B107">
        <v>0</v>
      </c>
      <c r="O107" s="20"/>
    </row>
    <row r="108" spans="1:15" x14ac:dyDescent="0.2">
      <c r="A108" t="s">
        <v>72</v>
      </c>
      <c r="B108">
        <v>1.6448536269514715</v>
      </c>
      <c r="O108" s="20"/>
    </row>
    <row r="109" spans="1:15" x14ac:dyDescent="0.2">
      <c r="A109" t="s">
        <v>71</v>
      </c>
      <c r="B109">
        <v>0</v>
      </c>
      <c r="O109" s="20"/>
    </row>
    <row r="110" spans="1:15" ht="17" thickBot="1" x14ac:dyDescent="0.25">
      <c r="A110" s="13" t="s">
        <v>70</v>
      </c>
      <c r="B110" s="13">
        <v>1.9599639845400536</v>
      </c>
      <c r="C110" s="13"/>
      <c r="O110" s="20"/>
    </row>
    <row r="111" spans="1:15" x14ac:dyDescent="0.2">
      <c r="O111" s="20"/>
    </row>
    <row r="112" spans="1:15" x14ac:dyDescent="0.2">
      <c r="A112" s="25" t="s">
        <v>82</v>
      </c>
      <c r="B112" s="26" t="s">
        <v>45</v>
      </c>
      <c r="C112" s="26" t="s">
        <v>66</v>
      </c>
      <c r="O112" s="20"/>
    </row>
    <row r="113" spans="1:15" x14ac:dyDescent="0.2">
      <c r="A113" s="26" t="s">
        <v>65</v>
      </c>
      <c r="B113" s="25">
        <v>0.79365079365079427</v>
      </c>
      <c r="C113" s="24">
        <v>38</v>
      </c>
      <c r="O113" s="20"/>
    </row>
    <row r="114" spans="1:15" x14ac:dyDescent="0.2">
      <c r="A114" s="23" t="s">
        <v>64</v>
      </c>
      <c r="B114" s="22">
        <v>0.79365079365079427</v>
      </c>
      <c r="C114" s="21">
        <v>28</v>
      </c>
      <c r="O114" s="20"/>
    </row>
    <row r="115" spans="1:15" x14ac:dyDescent="0.2">
      <c r="O115" s="20"/>
    </row>
    <row r="116" spans="1:15" x14ac:dyDescent="0.2">
      <c r="A116" s="25" t="s">
        <v>81</v>
      </c>
      <c r="B116" s="29" t="s">
        <v>45</v>
      </c>
      <c r="C116" s="26" t="s">
        <v>66</v>
      </c>
      <c r="O116" s="20"/>
    </row>
    <row r="117" spans="1:15" x14ac:dyDescent="0.2">
      <c r="A117" s="26" t="s">
        <v>65</v>
      </c>
      <c r="B117" s="28">
        <v>0.50989938331710483</v>
      </c>
      <c r="C117" s="25">
        <v>79</v>
      </c>
      <c r="O117" s="20"/>
    </row>
    <row r="118" spans="1:15" x14ac:dyDescent="0.2">
      <c r="A118" s="23" t="s">
        <v>64</v>
      </c>
      <c r="B118" s="27">
        <v>0.8222506393861877</v>
      </c>
      <c r="C118" s="22">
        <v>69</v>
      </c>
      <c r="O118" s="20"/>
    </row>
    <row r="119" spans="1:15" x14ac:dyDescent="0.2">
      <c r="O119" s="20"/>
    </row>
    <row r="120" spans="1:15" x14ac:dyDescent="0.2">
      <c r="A120" t="s">
        <v>76</v>
      </c>
      <c r="O120" s="20"/>
    </row>
    <row r="121" spans="1:15" ht="17" thickBot="1" x14ac:dyDescent="0.25">
      <c r="O121" s="20"/>
    </row>
    <row r="122" spans="1:15" x14ac:dyDescent="0.2">
      <c r="A122" s="14"/>
      <c r="B122" s="14" t="s">
        <v>42</v>
      </c>
      <c r="C122" s="14" t="s">
        <v>43</v>
      </c>
      <c r="O122" s="20"/>
    </row>
    <row r="123" spans="1:15" x14ac:dyDescent="0.2">
      <c r="A123" t="s">
        <v>44</v>
      </c>
      <c r="B123">
        <v>0.65822784810126578</v>
      </c>
      <c r="C123">
        <v>4.1739130434782608</v>
      </c>
      <c r="O123" s="20"/>
    </row>
    <row r="124" spans="1:15" x14ac:dyDescent="0.2">
      <c r="A124" t="s">
        <v>75</v>
      </c>
      <c r="B124">
        <v>0.50989938300000004</v>
      </c>
      <c r="C124">
        <v>0.82225063899999995</v>
      </c>
      <c r="O124" s="20"/>
    </row>
    <row r="125" spans="1:15" x14ac:dyDescent="0.2">
      <c r="A125" t="s">
        <v>46</v>
      </c>
      <c r="B125">
        <v>79</v>
      </c>
      <c r="C125">
        <v>69</v>
      </c>
      <c r="O125" s="20"/>
    </row>
    <row r="126" spans="1:15" x14ac:dyDescent="0.2">
      <c r="A126" t="s">
        <v>48</v>
      </c>
      <c r="B126">
        <v>0</v>
      </c>
      <c r="O126" s="20"/>
    </row>
    <row r="127" spans="1:15" x14ac:dyDescent="0.2">
      <c r="A127" t="s">
        <v>74</v>
      </c>
      <c r="B127">
        <v>-25.938354252774083</v>
      </c>
      <c r="O127" s="20"/>
    </row>
    <row r="128" spans="1:15" x14ac:dyDescent="0.2">
      <c r="A128" t="s">
        <v>73</v>
      </c>
      <c r="B128">
        <v>0</v>
      </c>
      <c r="O128" s="20"/>
    </row>
    <row r="129" spans="1:15" x14ac:dyDescent="0.2">
      <c r="A129" t="s">
        <v>72</v>
      </c>
      <c r="B129">
        <v>1.6448536269514715</v>
      </c>
      <c r="O129" s="20"/>
    </row>
    <row r="130" spans="1:15" x14ac:dyDescent="0.2">
      <c r="A130" t="s">
        <v>71</v>
      </c>
      <c r="B130">
        <v>0</v>
      </c>
      <c r="O130" s="20"/>
    </row>
    <row r="131" spans="1:15" ht="17" thickBot="1" x14ac:dyDescent="0.25">
      <c r="A131" s="13" t="s">
        <v>70</v>
      </c>
      <c r="B131" s="13">
        <v>1.9599639845400536</v>
      </c>
      <c r="C131" s="13"/>
      <c r="O131" s="20"/>
    </row>
    <row r="132" spans="1:15" x14ac:dyDescent="0.2">
      <c r="O132" s="20"/>
    </row>
    <row r="133" spans="1:15" x14ac:dyDescent="0.2">
      <c r="A133" s="25" t="s">
        <v>80</v>
      </c>
      <c r="B133" s="26" t="s">
        <v>45</v>
      </c>
      <c r="C133" s="26" t="s">
        <v>66</v>
      </c>
      <c r="O133" s="20"/>
    </row>
    <row r="134" spans="1:15" x14ac:dyDescent="0.2">
      <c r="A134" s="26" t="s">
        <v>65</v>
      </c>
      <c r="B134" s="25">
        <v>0.62916666666666665</v>
      </c>
      <c r="C134" s="24">
        <v>16</v>
      </c>
      <c r="O134" s="20"/>
    </row>
    <row r="135" spans="1:15" x14ac:dyDescent="0.2">
      <c r="A135" s="23" t="s">
        <v>64</v>
      </c>
      <c r="B135" s="22">
        <v>0.70588235294117652</v>
      </c>
      <c r="C135" s="21">
        <v>18</v>
      </c>
      <c r="O135" s="20"/>
    </row>
    <row r="136" spans="1:15" x14ac:dyDescent="0.2">
      <c r="O136" s="20"/>
    </row>
    <row r="137" spans="1:15" x14ac:dyDescent="0.2">
      <c r="A137" s="25" t="s">
        <v>79</v>
      </c>
      <c r="B137" s="26" t="s">
        <v>45</v>
      </c>
      <c r="C137" s="26" t="s">
        <v>66</v>
      </c>
      <c r="O137" s="20"/>
    </row>
    <row r="138" spans="1:15" x14ac:dyDescent="0.2">
      <c r="A138" s="26" t="s">
        <v>65</v>
      </c>
      <c r="B138" s="25">
        <v>0.67272727272727195</v>
      </c>
      <c r="C138" s="24">
        <v>11</v>
      </c>
      <c r="O138" s="20"/>
    </row>
    <row r="139" spans="1:15" x14ac:dyDescent="0.2">
      <c r="A139" s="23" t="s">
        <v>64</v>
      </c>
      <c r="B139" s="22">
        <v>0.6777777777777777</v>
      </c>
      <c r="C139" s="21">
        <v>10</v>
      </c>
      <c r="O139" s="20"/>
    </row>
    <row r="140" spans="1:15" x14ac:dyDescent="0.2">
      <c r="O140" s="20"/>
    </row>
    <row r="141" spans="1:15" x14ac:dyDescent="0.2">
      <c r="A141" s="25" t="s">
        <v>78</v>
      </c>
      <c r="B141" s="26" t="s">
        <v>45</v>
      </c>
      <c r="C141" s="26" t="s">
        <v>66</v>
      </c>
      <c r="O141" s="20"/>
    </row>
    <row r="142" spans="1:15" x14ac:dyDescent="0.2">
      <c r="A142" s="26" t="s">
        <v>65</v>
      </c>
      <c r="B142" s="25">
        <v>0.90909090909090917</v>
      </c>
      <c r="C142" s="24">
        <v>22</v>
      </c>
      <c r="O142" s="20"/>
    </row>
    <row r="143" spans="1:15" x14ac:dyDescent="0.2">
      <c r="A143" s="23" t="s">
        <v>64</v>
      </c>
      <c r="B143" s="22">
        <v>0.59064327485380219</v>
      </c>
      <c r="C143" s="21">
        <v>19</v>
      </c>
      <c r="O143" s="20"/>
    </row>
    <row r="144" spans="1:15" x14ac:dyDescent="0.2">
      <c r="O144" s="20"/>
    </row>
    <row r="145" spans="1:15" x14ac:dyDescent="0.2">
      <c r="A145" s="25" t="s">
        <v>77</v>
      </c>
      <c r="B145" s="26" t="s">
        <v>45</v>
      </c>
      <c r="C145" s="26" t="s">
        <v>66</v>
      </c>
      <c r="O145" s="20"/>
    </row>
    <row r="146" spans="1:15" x14ac:dyDescent="0.2">
      <c r="A146" s="26" t="s">
        <v>65</v>
      </c>
      <c r="B146" s="25">
        <v>0.47982635342185903</v>
      </c>
      <c r="C146" s="24">
        <v>89</v>
      </c>
      <c r="O146" s="20"/>
    </row>
    <row r="147" spans="1:15" x14ac:dyDescent="0.2">
      <c r="A147" s="23" t="s">
        <v>64</v>
      </c>
      <c r="B147" s="22">
        <v>0.69960784313725521</v>
      </c>
      <c r="C147" s="21">
        <v>51</v>
      </c>
      <c r="O147" s="20"/>
    </row>
    <row r="148" spans="1:15" x14ac:dyDescent="0.2">
      <c r="O148" s="20"/>
    </row>
    <row r="149" spans="1:15" x14ac:dyDescent="0.2">
      <c r="A149" t="s">
        <v>76</v>
      </c>
      <c r="O149" s="20"/>
    </row>
    <row r="150" spans="1:15" ht="17" thickBot="1" x14ac:dyDescent="0.25">
      <c r="O150" s="20"/>
    </row>
    <row r="151" spans="1:15" x14ac:dyDescent="0.2">
      <c r="A151" s="14"/>
      <c r="B151" s="14" t="s">
        <v>42</v>
      </c>
      <c r="C151" s="14" t="s">
        <v>43</v>
      </c>
      <c r="O151" s="20"/>
    </row>
    <row r="152" spans="1:15" x14ac:dyDescent="0.2">
      <c r="A152" t="s">
        <v>44</v>
      </c>
      <c r="B152">
        <v>0.48314606741573035</v>
      </c>
      <c r="C152">
        <v>4.0196078431372548</v>
      </c>
      <c r="O152" s="20"/>
    </row>
    <row r="153" spans="1:15" x14ac:dyDescent="0.2">
      <c r="A153" t="s">
        <v>75</v>
      </c>
      <c r="B153">
        <v>0.47982635299999998</v>
      </c>
      <c r="C153">
        <v>0.69960784300000001</v>
      </c>
      <c r="O153" s="20"/>
    </row>
    <row r="154" spans="1:15" x14ac:dyDescent="0.2">
      <c r="A154" t="s">
        <v>46</v>
      </c>
      <c r="B154">
        <v>89</v>
      </c>
      <c r="C154">
        <v>51</v>
      </c>
      <c r="O154" s="20"/>
    </row>
    <row r="155" spans="1:15" x14ac:dyDescent="0.2">
      <c r="A155" t="s">
        <v>48</v>
      </c>
      <c r="B155">
        <v>0</v>
      </c>
      <c r="O155" s="20"/>
    </row>
    <row r="156" spans="1:15" x14ac:dyDescent="0.2">
      <c r="A156" t="s">
        <v>74</v>
      </c>
      <c r="B156">
        <v>-25.582840242144851</v>
      </c>
      <c r="O156" s="20"/>
    </row>
    <row r="157" spans="1:15" x14ac:dyDescent="0.2">
      <c r="A157" t="s">
        <v>73</v>
      </c>
      <c r="B157">
        <v>0</v>
      </c>
      <c r="O157" s="20"/>
    </row>
    <row r="158" spans="1:15" x14ac:dyDescent="0.2">
      <c r="A158" t="s">
        <v>72</v>
      </c>
      <c r="B158">
        <v>1.6448536269514715</v>
      </c>
      <c r="O158" s="20"/>
    </row>
    <row r="159" spans="1:15" x14ac:dyDescent="0.2">
      <c r="A159" t="s">
        <v>71</v>
      </c>
      <c r="B159">
        <v>0</v>
      </c>
      <c r="O159" s="20"/>
    </row>
    <row r="160" spans="1:15" ht="17" thickBot="1" x14ac:dyDescent="0.25">
      <c r="A160" s="13" t="s">
        <v>70</v>
      </c>
      <c r="B160" s="13">
        <v>1.9599639845400536</v>
      </c>
      <c r="C160" s="13"/>
      <c r="O160" s="20"/>
    </row>
    <row r="161" spans="1:15" x14ac:dyDescent="0.2">
      <c r="O161" s="20"/>
    </row>
    <row r="162" spans="1:15" x14ac:dyDescent="0.2">
      <c r="A162" s="25" t="s">
        <v>69</v>
      </c>
      <c r="B162" s="26" t="s">
        <v>45</v>
      </c>
      <c r="C162" s="26" t="s">
        <v>66</v>
      </c>
      <c r="O162" s="20"/>
    </row>
    <row r="163" spans="1:15" x14ac:dyDescent="0.2">
      <c r="A163" s="26" t="s">
        <v>65</v>
      </c>
      <c r="B163" s="25">
        <v>0.33770161290322581</v>
      </c>
      <c r="C163" s="24">
        <v>32</v>
      </c>
      <c r="O163" s="20"/>
    </row>
    <row r="164" spans="1:15" x14ac:dyDescent="0.2">
      <c r="A164" s="23" t="s">
        <v>64</v>
      </c>
      <c r="B164" s="22">
        <v>0.5</v>
      </c>
      <c r="C164" s="21">
        <v>18</v>
      </c>
      <c r="O164" s="20"/>
    </row>
    <row r="165" spans="1:15" x14ac:dyDescent="0.2">
      <c r="O165" s="20"/>
    </row>
    <row r="166" spans="1:15" x14ac:dyDescent="0.2">
      <c r="A166" s="25" t="s">
        <v>68</v>
      </c>
      <c r="B166" s="26" t="s">
        <v>45</v>
      </c>
      <c r="C166" s="26" t="s">
        <v>66</v>
      </c>
      <c r="O166" s="20"/>
    </row>
    <row r="167" spans="1:15" x14ac:dyDescent="0.2">
      <c r="A167" s="26" t="s">
        <v>65</v>
      </c>
      <c r="B167" s="25">
        <v>0.49583333333333335</v>
      </c>
      <c r="C167" s="24">
        <v>16</v>
      </c>
      <c r="O167" s="20"/>
    </row>
    <row r="168" spans="1:15" x14ac:dyDescent="0.2">
      <c r="A168" s="23" t="s">
        <v>64</v>
      </c>
      <c r="B168" s="22">
        <v>0.86250000000000004</v>
      </c>
      <c r="C168" s="21">
        <v>16</v>
      </c>
      <c r="O168" s="20"/>
    </row>
    <row r="169" spans="1:15" x14ac:dyDescent="0.2">
      <c r="O169" s="20"/>
    </row>
    <row r="170" spans="1:15" x14ac:dyDescent="0.2">
      <c r="A170" s="25" t="s">
        <v>67</v>
      </c>
      <c r="B170" s="26" t="s">
        <v>45</v>
      </c>
      <c r="C170" s="26" t="s">
        <v>66</v>
      </c>
      <c r="O170" s="20"/>
    </row>
    <row r="171" spans="1:15" x14ac:dyDescent="0.2">
      <c r="A171" s="26" t="s">
        <v>65</v>
      </c>
      <c r="B171" s="25">
        <v>0.16363636363636366</v>
      </c>
      <c r="C171" s="24">
        <v>11</v>
      </c>
      <c r="O171" s="20"/>
    </row>
    <row r="172" spans="1:15" x14ac:dyDescent="0.2">
      <c r="A172" s="23" t="s">
        <v>64</v>
      </c>
      <c r="B172" s="22">
        <v>0.86111111111111072</v>
      </c>
      <c r="C172" s="21">
        <v>9</v>
      </c>
      <c r="O172" s="20"/>
    </row>
    <row r="173" spans="1:15" x14ac:dyDescent="0.2">
      <c r="O173" s="20"/>
    </row>
    <row r="174" spans="1:15" x14ac:dyDescent="0.2">
      <c r="O174" s="20"/>
    </row>
    <row r="175" spans="1:15" x14ac:dyDescent="0.2">
      <c r="O175" s="20"/>
    </row>
    <row r="176" spans="1:15" x14ac:dyDescent="0.2">
      <c r="O176" s="20"/>
    </row>
    <row r="177" spans="15:15" x14ac:dyDescent="0.2">
      <c r="O177" s="20"/>
    </row>
    <row r="178" spans="15:15" x14ac:dyDescent="0.2">
      <c r="O178" s="20"/>
    </row>
    <row r="179" spans="15:15" x14ac:dyDescent="0.2">
      <c r="O179" s="20"/>
    </row>
    <row r="180" spans="15:15" x14ac:dyDescent="0.2">
      <c r="O180" s="20"/>
    </row>
    <row r="181" spans="15:15" x14ac:dyDescent="0.2">
      <c r="O181" s="20"/>
    </row>
    <row r="182" spans="15:15" x14ac:dyDescent="0.2">
      <c r="O182" s="20"/>
    </row>
    <row r="183" spans="15:15" x14ac:dyDescent="0.2">
      <c r="O183" s="20"/>
    </row>
    <row r="184" spans="15:15" x14ac:dyDescent="0.2">
      <c r="O184" s="20"/>
    </row>
    <row r="185" spans="15:15" x14ac:dyDescent="0.2">
      <c r="O185" s="20"/>
    </row>
    <row r="186" spans="15:15" x14ac:dyDescent="0.2">
      <c r="O186" s="20"/>
    </row>
    <row r="187" spans="15:15" x14ac:dyDescent="0.2">
      <c r="O187" s="20"/>
    </row>
    <row r="188" spans="15:15" x14ac:dyDescent="0.2">
      <c r="O188" s="20"/>
    </row>
    <row r="189" spans="15:15" x14ac:dyDescent="0.2">
      <c r="O189" s="20"/>
    </row>
    <row r="190" spans="15:15" x14ac:dyDescent="0.2">
      <c r="O190" s="20"/>
    </row>
    <row r="191" spans="15:15" x14ac:dyDescent="0.2">
      <c r="O191" s="20"/>
    </row>
    <row r="192" spans="15:15" x14ac:dyDescent="0.2">
      <c r="O192" s="20"/>
    </row>
    <row r="193" spans="15:15" x14ac:dyDescent="0.2">
      <c r="O193" s="20"/>
    </row>
    <row r="194" spans="15:15" x14ac:dyDescent="0.2">
      <c r="O194" s="20"/>
    </row>
    <row r="195" spans="15:15" x14ac:dyDescent="0.2">
      <c r="O195" s="20"/>
    </row>
    <row r="196" spans="15:15" x14ac:dyDescent="0.2">
      <c r="O196" s="20"/>
    </row>
    <row r="197" spans="15:15" x14ac:dyDescent="0.2">
      <c r="O197" s="20"/>
    </row>
    <row r="198" spans="15:15" x14ac:dyDescent="0.2">
      <c r="O198" s="20"/>
    </row>
    <row r="199" spans="15:15" x14ac:dyDescent="0.2">
      <c r="O199" s="20"/>
    </row>
    <row r="200" spans="15:15" x14ac:dyDescent="0.2">
      <c r="O200" s="20"/>
    </row>
    <row r="201" spans="15:15" x14ac:dyDescent="0.2">
      <c r="O201" s="20"/>
    </row>
    <row r="202" spans="15:15" x14ac:dyDescent="0.2">
      <c r="O202" s="20"/>
    </row>
    <row r="203" spans="15:15" x14ac:dyDescent="0.2">
      <c r="O203" s="20"/>
    </row>
    <row r="204" spans="15:15" x14ac:dyDescent="0.2">
      <c r="O204" s="20"/>
    </row>
    <row r="205" spans="15:15" x14ac:dyDescent="0.2">
      <c r="O205" s="20"/>
    </row>
    <row r="206" spans="15:15" x14ac:dyDescent="0.2">
      <c r="O206" s="20"/>
    </row>
    <row r="207" spans="15:15" x14ac:dyDescent="0.2">
      <c r="O207" s="20"/>
    </row>
    <row r="208" spans="15:15" x14ac:dyDescent="0.2">
      <c r="O208" s="20"/>
    </row>
    <row r="209" spans="15:15" x14ac:dyDescent="0.2">
      <c r="O209" s="20"/>
    </row>
    <row r="210" spans="15:15" x14ac:dyDescent="0.2">
      <c r="O210" s="20"/>
    </row>
    <row r="211" spans="15:15" x14ac:dyDescent="0.2">
      <c r="O211" s="20"/>
    </row>
    <row r="212" spans="15:15" x14ac:dyDescent="0.2">
      <c r="O212" s="20"/>
    </row>
    <row r="213" spans="15:15" x14ac:dyDescent="0.2">
      <c r="O213" s="20"/>
    </row>
    <row r="214" spans="15:15" x14ac:dyDescent="0.2">
      <c r="O214" s="20"/>
    </row>
    <row r="215" spans="15:15" x14ac:dyDescent="0.2">
      <c r="O215" s="20"/>
    </row>
    <row r="216" spans="15:15" x14ac:dyDescent="0.2">
      <c r="O216" s="20"/>
    </row>
    <row r="217" spans="15:15" x14ac:dyDescent="0.2">
      <c r="O217" s="20"/>
    </row>
    <row r="218" spans="15:15" x14ac:dyDescent="0.2">
      <c r="O218" s="20"/>
    </row>
    <row r="219" spans="15:15" x14ac:dyDescent="0.2">
      <c r="O219" s="20"/>
    </row>
    <row r="220" spans="15:15" x14ac:dyDescent="0.2">
      <c r="O220" s="20"/>
    </row>
    <row r="221" spans="15:15" x14ac:dyDescent="0.2">
      <c r="O221" s="20"/>
    </row>
    <row r="222" spans="15:15" x14ac:dyDescent="0.2">
      <c r="O222" s="20"/>
    </row>
    <row r="223" spans="15:15" x14ac:dyDescent="0.2">
      <c r="O223" s="20"/>
    </row>
    <row r="224" spans="15:15" x14ac:dyDescent="0.2">
      <c r="O224" s="20"/>
    </row>
    <row r="225" spans="15:15" x14ac:dyDescent="0.2">
      <c r="O225" s="20"/>
    </row>
    <row r="226" spans="15:15" x14ac:dyDescent="0.2">
      <c r="O226" s="20"/>
    </row>
    <row r="227" spans="15:15" x14ac:dyDescent="0.2">
      <c r="O227" s="20"/>
    </row>
    <row r="228" spans="15:15" x14ac:dyDescent="0.2">
      <c r="O228" s="20"/>
    </row>
    <row r="229" spans="15:15" x14ac:dyDescent="0.2">
      <c r="O229" s="20"/>
    </row>
    <row r="230" spans="15:15" x14ac:dyDescent="0.2">
      <c r="O230" s="20"/>
    </row>
    <row r="231" spans="15:15" x14ac:dyDescent="0.2">
      <c r="O231" s="20"/>
    </row>
    <row r="232" spans="15:15" x14ac:dyDescent="0.2">
      <c r="O232" s="20"/>
    </row>
    <row r="233" spans="15:15" x14ac:dyDescent="0.2">
      <c r="O233" s="20"/>
    </row>
    <row r="234" spans="15:15" x14ac:dyDescent="0.2">
      <c r="O234" s="20"/>
    </row>
    <row r="235" spans="15:15" x14ac:dyDescent="0.2">
      <c r="O235" s="20"/>
    </row>
    <row r="236" spans="15:15" x14ac:dyDescent="0.2">
      <c r="O236" s="20"/>
    </row>
    <row r="237" spans="15:15" x14ac:dyDescent="0.2">
      <c r="O237" s="20"/>
    </row>
    <row r="238" spans="15:15" x14ac:dyDescent="0.2">
      <c r="O238" s="20"/>
    </row>
    <row r="239" spans="15:15" x14ac:dyDescent="0.2">
      <c r="O239" s="20"/>
    </row>
    <row r="240" spans="15:15" x14ac:dyDescent="0.2">
      <c r="O240" s="20"/>
    </row>
    <row r="241" spans="15:15" x14ac:dyDescent="0.2">
      <c r="O241" s="20"/>
    </row>
    <row r="242" spans="15:15" x14ac:dyDescent="0.2">
      <c r="O242" s="20"/>
    </row>
    <row r="243" spans="15:15" x14ac:dyDescent="0.2">
      <c r="O243" s="20"/>
    </row>
    <row r="244" spans="15:15" x14ac:dyDescent="0.2">
      <c r="O244" s="20"/>
    </row>
    <row r="245" spans="15:15" x14ac:dyDescent="0.2">
      <c r="O245" s="20"/>
    </row>
    <row r="246" spans="15:15" x14ac:dyDescent="0.2">
      <c r="O246" s="20"/>
    </row>
    <row r="247" spans="15:15" x14ac:dyDescent="0.2">
      <c r="O247" s="20"/>
    </row>
    <row r="248" spans="15:15" x14ac:dyDescent="0.2">
      <c r="O248" s="20"/>
    </row>
    <row r="249" spans="15:15" x14ac:dyDescent="0.2">
      <c r="O249" s="20"/>
    </row>
    <row r="250" spans="15:15" x14ac:dyDescent="0.2">
      <c r="O250" s="20"/>
    </row>
    <row r="251" spans="15:15" x14ac:dyDescent="0.2">
      <c r="O251" s="20"/>
    </row>
    <row r="252" spans="15:15" x14ac:dyDescent="0.2">
      <c r="O252" s="20"/>
    </row>
    <row r="253" spans="15:15" x14ac:dyDescent="0.2">
      <c r="O253" s="20"/>
    </row>
    <row r="254" spans="15:15" x14ac:dyDescent="0.2">
      <c r="O254" s="20"/>
    </row>
    <row r="255" spans="15:15" x14ac:dyDescent="0.2">
      <c r="O255" s="20"/>
    </row>
    <row r="256" spans="15:15" x14ac:dyDescent="0.2">
      <c r="O256" s="20"/>
    </row>
    <row r="257" spans="15:15" x14ac:dyDescent="0.2">
      <c r="O257" s="20"/>
    </row>
    <row r="258" spans="15:15" x14ac:dyDescent="0.2">
      <c r="O258" s="20"/>
    </row>
    <row r="259" spans="15:15" x14ac:dyDescent="0.2">
      <c r="O259" s="20"/>
    </row>
    <row r="260" spans="15:15" x14ac:dyDescent="0.2">
      <c r="O260" s="20"/>
    </row>
    <row r="261" spans="15:15" x14ac:dyDescent="0.2">
      <c r="O261" s="20"/>
    </row>
    <row r="262" spans="15:15" x14ac:dyDescent="0.2">
      <c r="O262" s="20"/>
    </row>
    <row r="263" spans="15:15" x14ac:dyDescent="0.2">
      <c r="O263" s="20"/>
    </row>
    <row r="264" spans="15:15" x14ac:dyDescent="0.2">
      <c r="O264" s="20"/>
    </row>
    <row r="265" spans="15:15" x14ac:dyDescent="0.2">
      <c r="O265" s="20"/>
    </row>
    <row r="266" spans="15:15" x14ac:dyDescent="0.2">
      <c r="O266" s="20"/>
    </row>
    <row r="267" spans="15:15" x14ac:dyDescent="0.2">
      <c r="O267" s="20"/>
    </row>
    <row r="268" spans="15:15" x14ac:dyDescent="0.2">
      <c r="O268" s="20"/>
    </row>
    <row r="269" spans="15:15" x14ac:dyDescent="0.2">
      <c r="O269" s="20"/>
    </row>
    <row r="270" spans="15:15" x14ac:dyDescent="0.2">
      <c r="O270" s="20"/>
    </row>
    <row r="271" spans="15:15" x14ac:dyDescent="0.2">
      <c r="O271" s="20"/>
    </row>
    <row r="272" spans="15:15" x14ac:dyDescent="0.2">
      <c r="O272" s="20"/>
    </row>
    <row r="273" spans="15:15" x14ac:dyDescent="0.2">
      <c r="O273" s="20"/>
    </row>
    <row r="274" spans="15:15" x14ac:dyDescent="0.2">
      <c r="O274" s="20"/>
    </row>
    <row r="275" spans="15:15" x14ac:dyDescent="0.2">
      <c r="O275" s="20"/>
    </row>
    <row r="276" spans="15:15" x14ac:dyDescent="0.2">
      <c r="O276" s="20"/>
    </row>
    <row r="277" spans="15:15" x14ac:dyDescent="0.2">
      <c r="O277" s="20"/>
    </row>
    <row r="278" spans="15:15" x14ac:dyDescent="0.2">
      <c r="O278" s="20"/>
    </row>
    <row r="279" spans="15:15" x14ac:dyDescent="0.2">
      <c r="O279" s="20"/>
    </row>
    <row r="280" spans="15:15" x14ac:dyDescent="0.2">
      <c r="O280" s="20"/>
    </row>
    <row r="281" spans="15:15" x14ac:dyDescent="0.2">
      <c r="O281" s="20"/>
    </row>
    <row r="282" spans="15:15" x14ac:dyDescent="0.2">
      <c r="O282" s="20"/>
    </row>
    <row r="283" spans="15:15" x14ac:dyDescent="0.2">
      <c r="O283" s="20"/>
    </row>
    <row r="284" spans="15:15" x14ac:dyDescent="0.2">
      <c r="O284" s="20"/>
    </row>
    <row r="285" spans="15:15" x14ac:dyDescent="0.2">
      <c r="O285" s="20"/>
    </row>
    <row r="286" spans="15:15" x14ac:dyDescent="0.2">
      <c r="O286" s="20"/>
    </row>
    <row r="287" spans="15:15" x14ac:dyDescent="0.2">
      <c r="O287" s="20"/>
    </row>
    <row r="288" spans="15:15" x14ac:dyDescent="0.2">
      <c r="O288" s="20"/>
    </row>
    <row r="289" spans="15:15" x14ac:dyDescent="0.2">
      <c r="O289" s="20"/>
    </row>
    <row r="290" spans="15:15" x14ac:dyDescent="0.2">
      <c r="O290" s="20"/>
    </row>
    <row r="291" spans="15:15" x14ac:dyDescent="0.2">
      <c r="O291" s="20"/>
    </row>
    <row r="292" spans="15:15" x14ac:dyDescent="0.2">
      <c r="O292" s="20"/>
    </row>
    <row r="293" spans="15:15" x14ac:dyDescent="0.2">
      <c r="O293" s="20"/>
    </row>
    <row r="294" spans="15:15" x14ac:dyDescent="0.2">
      <c r="O294" s="20"/>
    </row>
    <row r="295" spans="15:15" x14ac:dyDescent="0.2">
      <c r="O295" s="20"/>
    </row>
    <row r="296" spans="15:15" x14ac:dyDescent="0.2">
      <c r="O296" s="20"/>
    </row>
    <row r="297" spans="15:15" x14ac:dyDescent="0.2">
      <c r="O297" s="20"/>
    </row>
    <row r="298" spans="15:15" x14ac:dyDescent="0.2">
      <c r="O298" s="20"/>
    </row>
    <row r="299" spans="15:15" x14ac:dyDescent="0.2">
      <c r="O299" s="20"/>
    </row>
    <row r="300" spans="15:15" x14ac:dyDescent="0.2">
      <c r="O300" s="20"/>
    </row>
    <row r="301" spans="15:15" x14ac:dyDescent="0.2">
      <c r="O301" s="20"/>
    </row>
    <row r="302" spans="15:15" x14ac:dyDescent="0.2">
      <c r="O302" s="20"/>
    </row>
    <row r="303" spans="15:15" x14ac:dyDescent="0.2">
      <c r="O303" s="20"/>
    </row>
    <row r="304" spans="15:15" x14ac:dyDescent="0.2">
      <c r="O304" s="20"/>
    </row>
    <row r="305" spans="15:15" x14ac:dyDescent="0.2">
      <c r="O305" s="20"/>
    </row>
    <row r="306" spans="15:15" x14ac:dyDescent="0.2">
      <c r="O306" s="20"/>
    </row>
    <row r="307" spans="15:15" x14ac:dyDescent="0.2">
      <c r="O307" s="20"/>
    </row>
    <row r="308" spans="15:15" x14ac:dyDescent="0.2">
      <c r="O308" s="20"/>
    </row>
    <row r="309" spans="15:15" x14ac:dyDescent="0.2">
      <c r="O309" s="20"/>
    </row>
    <row r="310" spans="15:15" x14ac:dyDescent="0.2">
      <c r="O310" s="20"/>
    </row>
    <row r="311" spans="15:15" x14ac:dyDescent="0.2">
      <c r="O311" s="20"/>
    </row>
    <row r="312" spans="15:15" x14ac:dyDescent="0.2">
      <c r="O312" s="20"/>
    </row>
    <row r="313" spans="15:15" x14ac:dyDescent="0.2">
      <c r="O313" s="20"/>
    </row>
    <row r="314" spans="15:15" x14ac:dyDescent="0.2">
      <c r="O314" s="20"/>
    </row>
    <row r="315" spans="15:15" x14ac:dyDescent="0.2">
      <c r="O315" s="20"/>
    </row>
    <row r="316" spans="15:15" x14ac:dyDescent="0.2">
      <c r="O316" s="20"/>
    </row>
    <row r="317" spans="15:15" x14ac:dyDescent="0.2">
      <c r="O317" s="20"/>
    </row>
    <row r="318" spans="15:15" x14ac:dyDescent="0.2">
      <c r="O318" s="20"/>
    </row>
    <row r="319" spans="15:15" x14ac:dyDescent="0.2">
      <c r="O319" s="20"/>
    </row>
    <row r="320" spans="15:15" x14ac:dyDescent="0.2">
      <c r="O320" s="20"/>
    </row>
    <row r="321" spans="15:15" x14ac:dyDescent="0.2">
      <c r="O321" s="20"/>
    </row>
    <row r="322" spans="15:15" x14ac:dyDescent="0.2">
      <c r="O322" s="20"/>
    </row>
    <row r="323" spans="15:15" x14ac:dyDescent="0.2">
      <c r="O323" s="20"/>
    </row>
    <row r="324" spans="15:15" x14ac:dyDescent="0.2">
      <c r="O324" s="20"/>
    </row>
    <row r="325" spans="15:15" x14ac:dyDescent="0.2">
      <c r="O325" s="20"/>
    </row>
    <row r="326" spans="15:15" x14ac:dyDescent="0.2">
      <c r="O326" s="20"/>
    </row>
    <row r="327" spans="15:15" x14ac:dyDescent="0.2">
      <c r="O327" s="20"/>
    </row>
    <row r="328" spans="15:15" x14ac:dyDescent="0.2">
      <c r="O328" s="20"/>
    </row>
    <row r="329" spans="15:15" x14ac:dyDescent="0.2">
      <c r="O329" s="20"/>
    </row>
    <row r="330" spans="15:15" x14ac:dyDescent="0.2">
      <c r="O330" s="20"/>
    </row>
    <row r="331" spans="15:15" x14ac:dyDescent="0.2">
      <c r="O331" s="20"/>
    </row>
    <row r="332" spans="15:15" x14ac:dyDescent="0.2">
      <c r="O332" s="20"/>
    </row>
    <row r="333" spans="15:15" x14ac:dyDescent="0.2">
      <c r="O333" s="20"/>
    </row>
    <row r="334" spans="15:15" x14ac:dyDescent="0.2">
      <c r="O334" s="20"/>
    </row>
    <row r="335" spans="15:15" x14ac:dyDescent="0.2">
      <c r="O335" s="20"/>
    </row>
    <row r="336" spans="15:15" x14ac:dyDescent="0.2">
      <c r="O336" s="20"/>
    </row>
    <row r="337" spans="15:15" x14ac:dyDescent="0.2">
      <c r="O337" s="20"/>
    </row>
    <row r="338" spans="15:15" x14ac:dyDescent="0.2">
      <c r="O338" s="20"/>
    </row>
    <row r="339" spans="15:15" x14ac:dyDescent="0.2">
      <c r="O339" s="20"/>
    </row>
    <row r="340" spans="15:15" x14ac:dyDescent="0.2">
      <c r="O340" s="20"/>
    </row>
    <row r="341" spans="15:15" x14ac:dyDescent="0.2">
      <c r="O341" s="20"/>
    </row>
    <row r="342" spans="15:15" x14ac:dyDescent="0.2">
      <c r="O342" s="20"/>
    </row>
    <row r="343" spans="15:15" x14ac:dyDescent="0.2">
      <c r="O343" s="20"/>
    </row>
    <row r="344" spans="15:15" x14ac:dyDescent="0.2">
      <c r="O344" s="20"/>
    </row>
    <row r="345" spans="15:15" x14ac:dyDescent="0.2">
      <c r="O345" s="20"/>
    </row>
    <row r="346" spans="15:15" x14ac:dyDescent="0.2">
      <c r="O346" s="20"/>
    </row>
    <row r="347" spans="15:15" x14ac:dyDescent="0.2">
      <c r="O347" s="20"/>
    </row>
    <row r="348" spans="15:15" x14ac:dyDescent="0.2">
      <c r="O348" s="20"/>
    </row>
    <row r="349" spans="15:15" x14ac:dyDescent="0.2">
      <c r="O349" s="20"/>
    </row>
    <row r="350" spans="15:15" x14ac:dyDescent="0.2">
      <c r="O350" s="20"/>
    </row>
    <row r="351" spans="15:15" x14ac:dyDescent="0.2">
      <c r="O351" s="20"/>
    </row>
    <row r="352" spans="15:15" x14ac:dyDescent="0.2">
      <c r="O352" s="20"/>
    </row>
    <row r="353" spans="15:15" x14ac:dyDescent="0.2">
      <c r="O353" s="20"/>
    </row>
    <row r="354" spans="15:15" x14ac:dyDescent="0.2">
      <c r="O354" s="20"/>
    </row>
    <row r="355" spans="15:15" x14ac:dyDescent="0.2">
      <c r="O355" s="20"/>
    </row>
    <row r="356" spans="15:15" x14ac:dyDescent="0.2">
      <c r="O356" s="20"/>
    </row>
    <row r="357" spans="15:15" x14ac:dyDescent="0.2">
      <c r="O357" s="20"/>
    </row>
    <row r="358" spans="15:15" x14ac:dyDescent="0.2">
      <c r="O358" s="20"/>
    </row>
    <row r="359" spans="15:15" x14ac:dyDescent="0.2">
      <c r="O359" s="20"/>
    </row>
    <row r="360" spans="15:15" x14ac:dyDescent="0.2">
      <c r="O360" s="20"/>
    </row>
    <row r="361" spans="15:15" x14ac:dyDescent="0.2">
      <c r="O361" s="20"/>
    </row>
    <row r="362" spans="15:15" x14ac:dyDescent="0.2">
      <c r="O362" s="20"/>
    </row>
    <row r="363" spans="15:15" x14ac:dyDescent="0.2">
      <c r="O363" s="20"/>
    </row>
    <row r="364" spans="15:15" x14ac:dyDescent="0.2">
      <c r="O364" s="20"/>
    </row>
    <row r="365" spans="15:15" x14ac:dyDescent="0.2">
      <c r="O365" s="20"/>
    </row>
    <row r="366" spans="15:15" x14ac:dyDescent="0.2">
      <c r="O366" s="20"/>
    </row>
    <row r="367" spans="15:15" x14ac:dyDescent="0.2">
      <c r="O367" s="20"/>
    </row>
    <row r="368" spans="15:15" x14ac:dyDescent="0.2">
      <c r="O368" s="20"/>
    </row>
    <row r="369" spans="15:15" x14ac:dyDescent="0.2">
      <c r="O369" s="20"/>
    </row>
    <row r="370" spans="15:15" x14ac:dyDescent="0.2">
      <c r="O370" s="20"/>
    </row>
    <row r="371" spans="15:15" x14ac:dyDescent="0.2">
      <c r="O371" s="20"/>
    </row>
    <row r="372" spans="15:15" x14ac:dyDescent="0.2">
      <c r="O372" s="20"/>
    </row>
    <row r="373" spans="15:15" x14ac:dyDescent="0.2">
      <c r="O373" s="20"/>
    </row>
    <row r="374" spans="15:15" x14ac:dyDescent="0.2">
      <c r="O374" s="20"/>
    </row>
    <row r="375" spans="15:15" x14ac:dyDescent="0.2">
      <c r="O375" s="20"/>
    </row>
    <row r="376" spans="15:15" x14ac:dyDescent="0.2">
      <c r="O376" s="20"/>
    </row>
    <row r="377" spans="15:15" x14ac:dyDescent="0.2">
      <c r="O377" s="20"/>
    </row>
    <row r="378" spans="15:15" x14ac:dyDescent="0.2">
      <c r="O378" s="20"/>
    </row>
    <row r="379" spans="15:15" x14ac:dyDescent="0.2">
      <c r="O379" s="20"/>
    </row>
    <row r="380" spans="15:15" x14ac:dyDescent="0.2">
      <c r="O380" s="20"/>
    </row>
    <row r="381" spans="15:15" x14ac:dyDescent="0.2">
      <c r="O381" s="20"/>
    </row>
    <row r="382" spans="15:15" x14ac:dyDescent="0.2">
      <c r="O382" s="20"/>
    </row>
    <row r="383" spans="15:15" x14ac:dyDescent="0.2">
      <c r="O383" s="20"/>
    </row>
    <row r="384" spans="15:15" x14ac:dyDescent="0.2">
      <c r="O384" s="20"/>
    </row>
    <row r="385" spans="15:15" x14ac:dyDescent="0.2">
      <c r="O385" s="20"/>
    </row>
    <row r="386" spans="15:15" x14ac:dyDescent="0.2">
      <c r="O386" s="20"/>
    </row>
    <row r="387" spans="15:15" x14ac:dyDescent="0.2">
      <c r="O387" s="20"/>
    </row>
    <row r="388" spans="15:15" x14ac:dyDescent="0.2">
      <c r="O388" s="20"/>
    </row>
    <row r="389" spans="15:15" x14ac:dyDescent="0.2">
      <c r="O389" s="20"/>
    </row>
    <row r="390" spans="15:15" x14ac:dyDescent="0.2">
      <c r="O390" s="20"/>
    </row>
    <row r="391" spans="15:15" x14ac:dyDescent="0.2">
      <c r="O391" s="20"/>
    </row>
    <row r="392" spans="15:15" x14ac:dyDescent="0.2">
      <c r="O392" s="20"/>
    </row>
    <row r="393" spans="15:15" x14ac:dyDescent="0.2">
      <c r="O393" s="20"/>
    </row>
    <row r="394" spans="15:15" x14ac:dyDescent="0.2">
      <c r="O394" s="20"/>
    </row>
    <row r="395" spans="15:15" x14ac:dyDescent="0.2">
      <c r="O395" s="20"/>
    </row>
    <row r="396" spans="15:15" x14ac:dyDescent="0.2">
      <c r="O396" s="20"/>
    </row>
    <row r="397" spans="15:15" x14ac:dyDescent="0.2">
      <c r="O397" s="20"/>
    </row>
    <row r="398" spans="15:15" x14ac:dyDescent="0.2">
      <c r="O398" s="20"/>
    </row>
    <row r="399" spans="15:15" x14ac:dyDescent="0.2">
      <c r="O399" s="20"/>
    </row>
    <row r="400" spans="15:15" x14ac:dyDescent="0.2">
      <c r="O400" s="20"/>
    </row>
    <row r="401" spans="15:15" x14ac:dyDescent="0.2">
      <c r="O401" s="20"/>
    </row>
    <row r="402" spans="15:15" x14ac:dyDescent="0.2">
      <c r="O402" s="20"/>
    </row>
    <row r="403" spans="15:15" x14ac:dyDescent="0.2">
      <c r="O403" s="20"/>
    </row>
    <row r="404" spans="15:15" x14ac:dyDescent="0.2">
      <c r="O404" s="20"/>
    </row>
    <row r="405" spans="15:15" x14ac:dyDescent="0.2">
      <c r="O405" s="20"/>
    </row>
    <row r="406" spans="15:15" x14ac:dyDescent="0.2">
      <c r="O406" s="20"/>
    </row>
    <row r="407" spans="15:15" x14ac:dyDescent="0.2">
      <c r="O407" s="20"/>
    </row>
    <row r="408" spans="15:15" x14ac:dyDescent="0.2">
      <c r="O408" s="20"/>
    </row>
    <row r="409" spans="15:15" x14ac:dyDescent="0.2">
      <c r="O409" s="20"/>
    </row>
    <row r="410" spans="15:15" x14ac:dyDescent="0.2">
      <c r="O410" s="20"/>
    </row>
    <row r="411" spans="15:15" x14ac:dyDescent="0.2">
      <c r="O411" s="20"/>
    </row>
    <row r="412" spans="15:15" x14ac:dyDescent="0.2">
      <c r="O412" s="20"/>
    </row>
    <row r="413" spans="15:15" x14ac:dyDescent="0.2">
      <c r="O413" s="20"/>
    </row>
    <row r="414" spans="15:15" x14ac:dyDescent="0.2">
      <c r="O414" s="20"/>
    </row>
    <row r="415" spans="15:15" x14ac:dyDescent="0.2">
      <c r="O415" s="20"/>
    </row>
    <row r="416" spans="15:15" x14ac:dyDescent="0.2">
      <c r="O416" s="20"/>
    </row>
    <row r="417" spans="15:15" x14ac:dyDescent="0.2">
      <c r="O417" s="20"/>
    </row>
    <row r="418" spans="15:15" x14ac:dyDescent="0.2">
      <c r="O418" s="20"/>
    </row>
    <row r="419" spans="15:15" x14ac:dyDescent="0.2">
      <c r="O419" s="20"/>
    </row>
    <row r="420" spans="15:15" x14ac:dyDescent="0.2">
      <c r="O420" s="20"/>
    </row>
    <row r="421" spans="15:15" x14ac:dyDescent="0.2">
      <c r="O421" s="20"/>
    </row>
    <row r="422" spans="15:15" x14ac:dyDescent="0.2">
      <c r="O422" s="20"/>
    </row>
    <row r="423" spans="15:15" x14ac:dyDescent="0.2">
      <c r="O423" s="20"/>
    </row>
    <row r="424" spans="15:15" x14ac:dyDescent="0.2">
      <c r="O424" s="20"/>
    </row>
    <row r="425" spans="15:15" x14ac:dyDescent="0.2">
      <c r="O425" s="20"/>
    </row>
    <row r="426" spans="15:15" x14ac:dyDescent="0.2">
      <c r="O426" s="20"/>
    </row>
    <row r="427" spans="15:15" x14ac:dyDescent="0.2">
      <c r="O427" s="20"/>
    </row>
    <row r="428" spans="15:15" x14ac:dyDescent="0.2">
      <c r="O428" s="20"/>
    </row>
    <row r="429" spans="15:15" x14ac:dyDescent="0.2">
      <c r="O429" s="20"/>
    </row>
    <row r="430" spans="15:15" x14ac:dyDescent="0.2">
      <c r="O430" s="20"/>
    </row>
    <row r="431" spans="15:15" x14ac:dyDescent="0.2">
      <c r="O431" s="20"/>
    </row>
    <row r="432" spans="15:15" x14ac:dyDescent="0.2">
      <c r="O432" s="20"/>
    </row>
    <row r="433" spans="15:15" x14ac:dyDescent="0.2">
      <c r="O433" s="20"/>
    </row>
    <row r="434" spans="15:15" x14ac:dyDescent="0.2">
      <c r="O434" s="20"/>
    </row>
    <row r="435" spans="15:15" x14ac:dyDescent="0.2">
      <c r="O435" s="20"/>
    </row>
    <row r="436" spans="15:15" x14ac:dyDescent="0.2">
      <c r="O436" s="20"/>
    </row>
    <row r="437" spans="15:15" x14ac:dyDescent="0.2">
      <c r="O437" s="20"/>
    </row>
    <row r="438" spans="15:15" x14ac:dyDescent="0.2">
      <c r="O438" s="20"/>
    </row>
    <row r="439" spans="15:15" x14ac:dyDescent="0.2">
      <c r="O439" s="20"/>
    </row>
    <row r="440" spans="15:15" x14ac:dyDescent="0.2">
      <c r="O440" s="20"/>
    </row>
    <row r="441" spans="15:15" x14ac:dyDescent="0.2">
      <c r="O441" s="20"/>
    </row>
    <row r="442" spans="15:15" x14ac:dyDescent="0.2">
      <c r="O442" s="20"/>
    </row>
    <row r="443" spans="15:15" x14ac:dyDescent="0.2">
      <c r="O443" s="20"/>
    </row>
    <row r="444" spans="15:15" x14ac:dyDescent="0.2">
      <c r="O444" s="20"/>
    </row>
    <row r="445" spans="15:15" x14ac:dyDescent="0.2">
      <c r="O445" s="20"/>
    </row>
    <row r="446" spans="15:15" x14ac:dyDescent="0.2">
      <c r="O446" s="20"/>
    </row>
    <row r="447" spans="15:15" x14ac:dyDescent="0.2">
      <c r="O447" s="20"/>
    </row>
    <row r="448" spans="15:15" x14ac:dyDescent="0.2">
      <c r="O448" s="20"/>
    </row>
    <row r="449" spans="15:15" x14ac:dyDescent="0.2">
      <c r="O449" s="20"/>
    </row>
    <row r="450" spans="15:15" x14ac:dyDescent="0.2">
      <c r="O450" s="20"/>
    </row>
    <row r="451" spans="15:15" x14ac:dyDescent="0.2">
      <c r="O451" s="20"/>
    </row>
    <row r="452" spans="15:15" x14ac:dyDescent="0.2">
      <c r="O452" s="20"/>
    </row>
    <row r="453" spans="15:15" x14ac:dyDescent="0.2">
      <c r="O453" s="20"/>
    </row>
    <row r="454" spans="15:15" x14ac:dyDescent="0.2">
      <c r="O454" s="20"/>
    </row>
    <row r="455" spans="15:15" x14ac:dyDescent="0.2">
      <c r="O455" s="20"/>
    </row>
    <row r="456" spans="15:15" x14ac:dyDescent="0.2">
      <c r="O456" s="20"/>
    </row>
    <row r="457" spans="15:15" x14ac:dyDescent="0.2">
      <c r="O457" s="20"/>
    </row>
    <row r="458" spans="15:15" x14ac:dyDescent="0.2">
      <c r="O458" s="20"/>
    </row>
    <row r="459" spans="15:15" x14ac:dyDescent="0.2">
      <c r="O459" s="20"/>
    </row>
    <row r="460" spans="15:15" x14ac:dyDescent="0.2">
      <c r="O460" s="20"/>
    </row>
    <row r="461" spans="15:15" x14ac:dyDescent="0.2">
      <c r="O461" s="20"/>
    </row>
    <row r="462" spans="15:15" x14ac:dyDescent="0.2">
      <c r="O462" s="20"/>
    </row>
    <row r="463" spans="15:15" x14ac:dyDescent="0.2">
      <c r="O463" s="20"/>
    </row>
    <row r="464" spans="15:15" x14ac:dyDescent="0.2">
      <c r="O464" s="20"/>
    </row>
    <row r="465" spans="15:15" x14ac:dyDescent="0.2">
      <c r="O465" s="20"/>
    </row>
    <row r="466" spans="15:15" x14ac:dyDescent="0.2">
      <c r="O466" s="20"/>
    </row>
    <row r="467" spans="15:15" x14ac:dyDescent="0.2">
      <c r="O467" s="20"/>
    </row>
    <row r="468" spans="15:15" x14ac:dyDescent="0.2">
      <c r="O468" s="20"/>
    </row>
    <row r="469" spans="15:15" x14ac:dyDescent="0.2">
      <c r="O469" s="20"/>
    </row>
    <row r="470" spans="15:15" x14ac:dyDescent="0.2">
      <c r="O470" s="20"/>
    </row>
    <row r="471" spans="15:15" x14ac:dyDescent="0.2">
      <c r="O471" s="20"/>
    </row>
    <row r="472" spans="15:15" x14ac:dyDescent="0.2">
      <c r="O472" s="20"/>
    </row>
    <row r="473" spans="15:15" x14ac:dyDescent="0.2">
      <c r="O473" s="20"/>
    </row>
    <row r="474" spans="15:15" x14ac:dyDescent="0.2">
      <c r="O474" s="20"/>
    </row>
    <row r="475" spans="15:15" x14ac:dyDescent="0.2">
      <c r="O475" s="20"/>
    </row>
    <row r="476" spans="15:15" x14ac:dyDescent="0.2">
      <c r="O476" s="20"/>
    </row>
    <row r="477" spans="15:15" x14ac:dyDescent="0.2">
      <c r="O477" s="20"/>
    </row>
    <row r="478" spans="15:15" x14ac:dyDescent="0.2">
      <c r="O478" s="20"/>
    </row>
    <row r="479" spans="15:15" x14ac:dyDescent="0.2">
      <c r="O479" s="20"/>
    </row>
    <row r="480" spans="15:15" x14ac:dyDescent="0.2">
      <c r="O480" s="20"/>
    </row>
    <row r="481" spans="15:15" x14ac:dyDescent="0.2">
      <c r="O481" s="20"/>
    </row>
    <row r="482" spans="15:15" x14ac:dyDescent="0.2">
      <c r="O482" s="20"/>
    </row>
    <row r="483" spans="15:15" x14ac:dyDescent="0.2">
      <c r="O483" s="20"/>
    </row>
    <row r="484" spans="15:15" x14ac:dyDescent="0.2">
      <c r="O484" s="20"/>
    </row>
    <row r="485" spans="15:15" x14ac:dyDescent="0.2">
      <c r="O485" s="20"/>
    </row>
    <row r="486" spans="15:15" x14ac:dyDescent="0.2">
      <c r="O486" s="20"/>
    </row>
    <row r="487" spans="15:15" x14ac:dyDescent="0.2">
      <c r="O487" s="20"/>
    </row>
    <row r="488" spans="15:15" x14ac:dyDescent="0.2">
      <c r="O488" s="20"/>
    </row>
    <row r="489" spans="15:15" x14ac:dyDescent="0.2">
      <c r="O489" s="20"/>
    </row>
    <row r="490" spans="15:15" x14ac:dyDescent="0.2">
      <c r="O490" s="20"/>
    </row>
    <row r="491" spans="15:15" x14ac:dyDescent="0.2">
      <c r="O491" s="20"/>
    </row>
    <row r="492" spans="15:15" x14ac:dyDescent="0.2">
      <c r="O492" s="20"/>
    </row>
    <row r="493" spans="15:15" x14ac:dyDescent="0.2">
      <c r="O493" s="20"/>
    </row>
    <row r="494" spans="15:15" x14ac:dyDescent="0.2">
      <c r="O494" s="20"/>
    </row>
    <row r="495" spans="15:15" x14ac:dyDescent="0.2">
      <c r="O495" s="20"/>
    </row>
    <row r="496" spans="15:15" x14ac:dyDescent="0.2">
      <c r="O496" s="20"/>
    </row>
    <row r="497" spans="15:15" x14ac:dyDescent="0.2">
      <c r="O497" s="20"/>
    </row>
    <row r="498" spans="15:15" x14ac:dyDescent="0.2">
      <c r="O498" s="20"/>
    </row>
    <row r="499" spans="15:15" x14ac:dyDescent="0.2">
      <c r="O499" s="20"/>
    </row>
    <row r="500" spans="15:15" x14ac:dyDescent="0.2">
      <c r="O500" s="20"/>
    </row>
    <row r="501" spans="15:15" x14ac:dyDescent="0.2">
      <c r="O501" s="20"/>
    </row>
    <row r="502" spans="15:15" x14ac:dyDescent="0.2">
      <c r="O502" s="20"/>
    </row>
    <row r="503" spans="15:15" x14ac:dyDescent="0.2">
      <c r="O503" s="20"/>
    </row>
    <row r="504" spans="15:15" x14ac:dyDescent="0.2">
      <c r="O504" s="20"/>
    </row>
    <row r="505" spans="15:15" x14ac:dyDescent="0.2">
      <c r="O505" s="20"/>
    </row>
    <row r="506" spans="15:15" x14ac:dyDescent="0.2">
      <c r="O506" s="20"/>
    </row>
    <row r="507" spans="15:15" x14ac:dyDescent="0.2">
      <c r="O507" s="20"/>
    </row>
    <row r="508" spans="15:15" x14ac:dyDescent="0.2">
      <c r="O508" s="20"/>
    </row>
    <row r="509" spans="15:15" x14ac:dyDescent="0.2">
      <c r="O509" s="20"/>
    </row>
    <row r="510" spans="15:15" x14ac:dyDescent="0.2">
      <c r="O510" s="20"/>
    </row>
    <row r="511" spans="15:15" x14ac:dyDescent="0.2">
      <c r="O511" s="20"/>
    </row>
    <row r="512" spans="15:15" x14ac:dyDescent="0.2">
      <c r="O512" s="20"/>
    </row>
    <row r="513" spans="15:15" x14ac:dyDescent="0.2">
      <c r="O513" s="20"/>
    </row>
    <row r="514" spans="15:15" x14ac:dyDescent="0.2">
      <c r="O514" s="20"/>
    </row>
    <row r="515" spans="15:15" x14ac:dyDescent="0.2">
      <c r="O515" s="20"/>
    </row>
    <row r="516" spans="15:15" x14ac:dyDescent="0.2">
      <c r="O516" s="20"/>
    </row>
    <row r="517" spans="15:15" x14ac:dyDescent="0.2">
      <c r="O517" s="20"/>
    </row>
    <row r="518" spans="15:15" x14ac:dyDescent="0.2">
      <c r="O518" s="20"/>
    </row>
    <row r="519" spans="15:15" x14ac:dyDescent="0.2">
      <c r="O519" s="20"/>
    </row>
    <row r="520" spans="15:15" x14ac:dyDescent="0.2">
      <c r="O520" s="20"/>
    </row>
    <row r="521" spans="15:15" x14ac:dyDescent="0.2">
      <c r="O521" s="20"/>
    </row>
    <row r="522" spans="15:15" x14ac:dyDescent="0.2">
      <c r="O522" s="20"/>
    </row>
    <row r="523" spans="15:15" x14ac:dyDescent="0.2">
      <c r="O523" s="20"/>
    </row>
    <row r="524" spans="15:15" x14ac:dyDescent="0.2">
      <c r="O524" s="20"/>
    </row>
    <row r="525" spans="15:15" x14ac:dyDescent="0.2">
      <c r="O525" s="20"/>
    </row>
    <row r="526" spans="15:15" x14ac:dyDescent="0.2">
      <c r="O526" s="20"/>
    </row>
    <row r="527" spans="15:15" x14ac:dyDescent="0.2">
      <c r="O527" s="20"/>
    </row>
    <row r="528" spans="15:15" x14ac:dyDescent="0.2">
      <c r="O528" s="20"/>
    </row>
    <row r="529" spans="15:15" x14ac:dyDescent="0.2">
      <c r="O529" s="20"/>
    </row>
    <row r="530" spans="15:15" x14ac:dyDescent="0.2">
      <c r="O530" s="20"/>
    </row>
    <row r="531" spans="15:15" x14ac:dyDescent="0.2">
      <c r="O531" s="20"/>
    </row>
    <row r="532" spans="15:15" x14ac:dyDescent="0.2">
      <c r="O532" s="20"/>
    </row>
    <row r="533" spans="15:15" x14ac:dyDescent="0.2">
      <c r="O533" s="20"/>
    </row>
    <row r="534" spans="15:15" x14ac:dyDescent="0.2">
      <c r="O534" s="20"/>
    </row>
    <row r="535" spans="15:15" x14ac:dyDescent="0.2">
      <c r="O535" s="20"/>
    </row>
    <row r="536" spans="15:15" x14ac:dyDescent="0.2">
      <c r="O536" s="20"/>
    </row>
    <row r="537" spans="15:15" x14ac:dyDescent="0.2">
      <c r="O537" s="20"/>
    </row>
    <row r="538" spans="15:15" x14ac:dyDescent="0.2">
      <c r="O538" s="20"/>
    </row>
    <row r="539" spans="15:15" x14ac:dyDescent="0.2">
      <c r="O539" s="20"/>
    </row>
    <row r="540" spans="15:15" x14ac:dyDescent="0.2">
      <c r="O540" s="20"/>
    </row>
    <row r="541" spans="15:15" x14ac:dyDescent="0.2">
      <c r="O541" s="20"/>
    </row>
    <row r="542" spans="15:15" x14ac:dyDescent="0.2">
      <c r="O542" s="20"/>
    </row>
    <row r="543" spans="15:15" x14ac:dyDescent="0.2">
      <c r="O543" s="20"/>
    </row>
    <row r="544" spans="15:15" x14ac:dyDescent="0.2">
      <c r="O544" s="20"/>
    </row>
    <row r="545" spans="15:15" x14ac:dyDescent="0.2">
      <c r="O545" s="20"/>
    </row>
    <row r="546" spans="15:15" x14ac:dyDescent="0.2">
      <c r="O546" s="20"/>
    </row>
    <row r="547" spans="15:15" x14ac:dyDescent="0.2">
      <c r="O547" s="20"/>
    </row>
    <row r="548" spans="15:15" x14ac:dyDescent="0.2">
      <c r="O548" s="20"/>
    </row>
    <row r="549" spans="15:15" x14ac:dyDescent="0.2">
      <c r="O549" s="20"/>
    </row>
    <row r="550" spans="15:15" x14ac:dyDescent="0.2">
      <c r="O550" s="20"/>
    </row>
    <row r="551" spans="15:15" x14ac:dyDescent="0.2">
      <c r="O551" s="20"/>
    </row>
    <row r="552" spans="15:15" x14ac:dyDescent="0.2">
      <c r="O552" s="20"/>
    </row>
    <row r="553" spans="15:15" x14ac:dyDescent="0.2">
      <c r="O553" s="20"/>
    </row>
    <row r="554" spans="15:15" x14ac:dyDescent="0.2">
      <c r="O554" s="20"/>
    </row>
    <row r="555" spans="15:15" x14ac:dyDescent="0.2">
      <c r="O555" s="20"/>
    </row>
    <row r="556" spans="15:15" x14ac:dyDescent="0.2">
      <c r="O556" s="20"/>
    </row>
    <row r="557" spans="15:15" x14ac:dyDescent="0.2">
      <c r="O557" s="20"/>
    </row>
    <row r="558" spans="15:15" x14ac:dyDescent="0.2">
      <c r="O558" s="20"/>
    </row>
    <row r="559" spans="15:15" x14ac:dyDescent="0.2">
      <c r="O559" s="20"/>
    </row>
    <row r="560" spans="15:15" x14ac:dyDescent="0.2">
      <c r="O560" s="20"/>
    </row>
    <row r="561" spans="15:15" x14ac:dyDescent="0.2">
      <c r="O561" s="20"/>
    </row>
    <row r="562" spans="15:15" x14ac:dyDescent="0.2">
      <c r="O562" s="20"/>
    </row>
    <row r="563" spans="15:15" x14ac:dyDescent="0.2">
      <c r="O563" s="20"/>
    </row>
    <row r="564" spans="15:15" x14ac:dyDescent="0.2">
      <c r="O564" s="20"/>
    </row>
    <row r="565" spans="15:15" x14ac:dyDescent="0.2">
      <c r="O565" s="20"/>
    </row>
    <row r="566" spans="15:15" x14ac:dyDescent="0.2">
      <c r="O566" s="20"/>
    </row>
    <row r="567" spans="15:15" x14ac:dyDescent="0.2">
      <c r="O567" s="20"/>
    </row>
    <row r="568" spans="15:15" x14ac:dyDescent="0.2">
      <c r="O568" s="20"/>
    </row>
    <row r="569" spans="15:15" x14ac:dyDescent="0.2">
      <c r="O569" s="20"/>
    </row>
    <row r="570" spans="15:15" x14ac:dyDescent="0.2">
      <c r="O570" s="20"/>
    </row>
    <row r="571" spans="15:15" x14ac:dyDescent="0.2">
      <c r="O571" s="20"/>
    </row>
    <row r="572" spans="15:15" x14ac:dyDescent="0.2">
      <c r="O572" s="20"/>
    </row>
    <row r="573" spans="15:15" x14ac:dyDescent="0.2">
      <c r="O573" s="20"/>
    </row>
    <row r="574" spans="15:15" x14ac:dyDescent="0.2">
      <c r="O574" s="20"/>
    </row>
    <row r="575" spans="15:15" x14ac:dyDescent="0.2">
      <c r="O575" s="20"/>
    </row>
    <row r="576" spans="15:15" x14ac:dyDescent="0.2">
      <c r="O576" s="20"/>
    </row>
    <row r="577" spans="15:15" x14ac:dyDescent="0.2">
      <c r="O577" s="20"/>
    </row>
    <row r="578" spans="15:15" x14ac:dyDescent="0.2">
      <c r="O578" s="20"/>
    </row>
    <row r="579" spans="15:15" x14ac:dyDescent="0.2">
      <c r="O579" s="20"/>
    </row>
    <row r="580" spans="15:15" x14ac:dyDescent="0.2">
      <c r="O580" s="20"/>
    </row>
    <row r="581" spans="15:15" x14ac:dyDescent="0.2">
      <c r="O581" s="20"/>
    </row>
    <row r="582" spans="15:15" x14ac:dyDescent="0.2">
      <c r="O582" s="20"/>
    </row>
    <row r="583" spans="15:15" x14ac:dyDescent="0.2">
      <c r="O583" s="20"/>
    </row>
    <row r="584" spans="15:15" x14ac:dyDescent="0.2">
      <c r="O584" s="20"/>
    </row>
    <row r="585" spans="15:15" x14ac:dyDescent="0.2">
      <c r="O585" s="20"/>
    </row>
    <row r="586" spans="15:15" x14ac:dyDescent="0.2">
      <c r="O586" s="20"/>
    </row>
    <row r="587" spans="15:15" x14ac:dyDescent="0.2">
      <c r="O587" s="20"/>
    </row>
    <row r="588" spans="15:15" x14ac:dyDescent="0.2">
      <c r="O588" s="20"/>
    </row>
    <row r="589" spans="15:15" x14ac:dyDescent="0.2">
      <c r="O589" s="20"/>
    </row>
    <row r="590" spans="15:15" x14ac:dyDescent="0.2">
      <c r="O590" s="20"/>
    </row>
    <row r="591" spans="15:15" x14ac:dyDescent="0.2">
      <c r="O591" s="20"/>
    </row>
    <row r="592" spans="15:15" x14ac:dyDescent="0.2">
      <c r="O592" s="20"/>
    </row>
    <row r="593" spans="15:15" x14ac:dyDescent="0.2">
      <c r="O593" s="20"/>
    </row>
    <row r="594" spans="15:15" x14ac:dyDescent="0.2">
      <c r="O594" s="20"/>
    </row>
    <row r="595" spans="15:15" x14ac:dyDescent="0.2">
      <c r="O595" s="20"/>
    </row>
    <row r="596" spans="15:15" x14ac:dyDescent="0.2">
      <c r="O596" s="20"/>
    </row>
    <row r="597" spans="15:15" x14ac:dyDescent="0.2">
      <c r="O597" s="20"/>
    </row>
    <row r="598" spans="15:15" x14ac:dyDescent="0.2">
      <c r="O598" s="20"/>
    </row>
    <row r="599" spans="15:15" x14ac:dyDescent="0.2">
      <c r="O599" s="20"/>
    </row>
    <row r="600" spans="15:15" x14ac:dyDescent="0.2">
      <c r="O600" s="20"/>
    </row>
    <row r="601" spans="15:15" x14ac:dyDescent="0.2">
      <c r="O601" s="20"/>
    </row>
    <row r="602" spans="15:15" x14ac:dyDescent="0.2">
      <c r="O602" s="20"/>
    </row>
    <row r="603" spans="15:15" x14ac:dyDescent="0.2">
      <c r="O603" s="20"/>
    </row>
    <row r="604" spans="15:15" x14ac:dyDescent="0.2">
      <c r="O604" s="20"/>
    </row>
    <row r="605" spans="15:15" x14ac:dyDescent="0.2">
      <c r="O605" s="20"/>
    </row>
    <row r="606" spans="15:15" x14ac:dyDescent="0.2">
      <c r="O606" s="20"/>
    </row>
    <row r="607" spans="15:15" x14ac:dyDescent="0.2">
      <c r="O607" s="20"/>
    </row>
    <row r="608" spans="15:15" x14ac:dyDescent="0.2">
      <c r="O608" s="20"/>
    </row>
    <row r="609" spans="15:15" x14ac:dyDescent="0.2">
      <c r="O609" s="20"/>
    </row>
    <row r="610" spans="15:15" x14ac:dyDescent="0.2">
      <c r="O610" s="20"/>
    </row>
    <row r="611" spans="15:15" x14ac:dyDescent="0.2">
      <c r="O611" s="20"/>
    </row>
    <row r="612" spans="15:15" x14ac:dyDescent="0.2">
      <c r="O612" s="20"/>
    </row>
    <row r="613" spans="15:15" x14ac:dyDescent="0.2">
      <c r="O613" s="20"/>
    </row>
    <row r="614" spans="15:15" x14ac:dyDescent="0.2">
      <c r="O614" s="20"/>
    </row>
    <row r="615" spans="15:15" x14ac:dyDescent="0.2">
      <c r="O615" s="20"/>
    </row>
    <row r="616" spans="15:15" x14ac:dyDescent="0.2">
      <c r="O616" s="20"/>
    </row>
    <row r="617" spans="15:15" x14ac:dyDescent="0.2">
      <c r="O617" s="20"/>
    </row>
    <row r="618" spans="15:15" x14ac:dyDescent="0.2">
      <c r="O618" s="20"/>
    </row>
    <row r="619" spans="15:15" x14ac:dyDescent="0.2">
      <c r="O619" s="20"/>
    </row>
    <row r="620" spans="15:15" x14ac:dyDescent="0.2">
      <c r="O620" s="20"/>
    </row>
    <row r="621" spans="15:15" x14ac:dyDescent="0.2">
      <c r="O621" s="20"/>
    </row>
    <row r="622" spans="15:15" x14ac:dyDescent="0.2">
      <c r="O622" s="20"/>
    </row>
    <row r="623" spans="15:15" x14ac:dyDescent="0.2">
      <c r="O623" s="20"/>
    </row>
    <row r="624" spans="15:15" x14ac:dyDescent="0.2">
      <c r="O624" s="20"/>
    </row>
    <row r="625" spans="15:15" x14ac:dyDescent="0.2">
      <c r="O625" s="20"/>
    </row>
    <row r="626" spans="15:15" x14ac:dyDescent="0.2">
      <c r="O626" s="20"/>
    </row>
    <row r="627" spans="15:15" x14ac:dyDescent="0.2">
      <c r="O627" s="20"/>
    </row>
    <row r="628" spans="15:15" x14ac:dyDescent="0.2">
      <c r="O628" s="20"/>
    </row>
    <row r="629" spans="15:15" x14ac:dyDescent="0.2">
      <c r="O629" s="20"/>
    </row>
    <row r="630" spans="15:15" x14ac:dyDescent="0.2">
      <c r="O630" s="20"/>
    </row>
    <row r="631" spans="15:15" x14ac:dyDescent="0.2">
      <c r="O631" s="20"/>
    </row>
    <row r="632" spans="15:15" x14ac:dyDescent="0.2">
      <c r="O632" s="20"/>
    </row>
    <row r="633" spans="15:15" x14ac:dyDescent="0.2">
      <c r="O633" s="20"/>
    </row>
    <row r="634" spans="15:15" x14ac:dyDescent="0.2">
      <c r="O634" s="20"/>
    </row>
    <row r="635" spans="15:15" x14ac:dyDescent="0.2">
      <c r="O635" s="20"/>
    </row>
    <row r="636" spans="15:15" x14ac:dyDescent="0.2">
      <c r="O636" s="20"/>
    </row>
    <row r="637" spans="15:15" x14ac:dyDescent="0.2">
      <c r="O637" s="20"/>
    </row>
    <row r="638" spans="15:15" x14ac:dyDescent="0.2">
      <c r="O638" s="20"/>
    </row>
    <row r="639" spans="15:15" x14ac:dyDescent="0.2">
      <c r="O639" s="20"/>
    </row>
    <row r="640" spans="15:15" x14ac:dyDescent="0.2">
      <c r="O640" s="20"/>
    </row>
    <row r="641" spans="15:15" x14ac:dyDescent="0.2">
      <c r="O641" s="20"/>
    </row>
    <row r="642" spans="15:15" x14ac:dyDescent="0.2">
      <c r="O642" s="20"/>
    </row>
    <row r="643" spans="15:15" x14ac:dyDescent="0.2">
      <c r="O643" s="20"/>
    </row>
    <row r="644" spans="15:15" x14ac:dyDescent="0.2">
      <c r="O644" s="20"/>
    </row>
    <row r="645" spans="15:15" x14ac:dyDescent="0.2">
      <c r="O645" s="20"/>
    </row>
    <row r="646" spans="15:15" x14ac:dyDescent="0.2">
      <c r="O646" s="20"/>
    </row>
    <row r="647" spans="15:15" x14ac:dyDescent="0.2">
      <c r="O647" s="20"/>
    </row>
    <row r="648" spans="15:15" x14ac:dyDescent="0.2">
      <c r="O648" s="20"/>
    </row>
    <row r="649" spans="15:15" x14ac:dyDescent="0.2">
      <c r="O649" s="20"/>
    </row>
    <row r="650" spans="15:15" x14ac:dyDescent="0.2">
      <c r="O650" s="20"/>
    </row>
    <row r="651" spans="15:15" x14ac:dyDescent="0.2">
      <c r="O651" s="20"/>
    </row>
    <row r="652" spans="15:15" x14ac:dyDescent="0.2">
      <c r="O652" s="20"/>
    </row>
    <row r="653" spans="15:15" x14ac:dyDescent="0.2">
      <c r="O653" s="20"/>
    </row>
    <row r="654" spans="15:15" x14ac:dyDescent="0.2">
      <c r="O654" s="20"/>
    </row>
    <row r="655" spans="15:15" x14ac:dyDescent="0.2">
      <c r="O655" s="20"/>
    </row>
    <row r="656" spans="15:15" x14ac:dyDescent="0.2">
      <c r="O656" s="20"/>
    </row>
    <row r="657" spans="15:15" x14ac:dyDescent="0.2">
      <c r="O657" s="20"/>
    </row>
    <row r="658" spans="15:15" x14ac:dyDescent="0.2">
      <c r="O658" s="20"/>
    </row>
    <row r="659" spans="15:15" x14ac:dyDescent="0.2">
      <c r="O659" s="20"/>
    </row>
    <row r="660" spans="15:15" x14ac:dyDescent="0.2">
      <c r="O660" s="20"/>
    </row>
    <row r="661" spans="15:15" x14ac:dyDescent="0.2">
      <c r="O661" s="20"/>
    </row>
    <row r="662" spans="15:15" x14ac:dyDescent="0.2">
      <c r="O662" s="20"/>
    </row>
    <row r="663" spans="15:15" x14ac:dyDescent="0.2">
      <c r="O663" s="20"/>
    </row>
    <row r="664" spans="15:15" x14ac:dyDescent="0.2">
      <c r="O664" s="20"/>
    </row>
    <row r="665" spans="15:15" x14ac:dyDescent="0.2">
      <c r="O665" s="20"/>
    </row>
    <row r="666" spans="15:15" x14ac:dyDescent="0.2">
      <c r="O666" s="20"/>
    </row>
    <row r="667" spans="15:15" x14ac:dyDescent="0.2">
      <c r="O667" s="20"/>
    </row>
    <row r="668" spans="15:15" x14ac:dyDescent="0.2">
      <c r="O668" s="20"/>
    </row>
    <row r="669" spans="15:15" x14ac:dyDescent="0.2">
      <c r="O669" s="20"/>
    </row>
    <row r="670" spans="15:15" x14ac:dyDescent="0.2">
      <c r="O670" s="20"/>
    </row>
    <row r="671" spans="15:15" x14ac:dyDescent="0.2">
      <c r="O671" s="20"/>
    </row>
    <row r="672" spans="15:15" x14ac:dyDescent="0.2">
      <c r="O672" s="20"/>
    </row>
    <row r="673" spans="15:15" x14ac:dyDescent="0.2">
      <c r="O673" s="20"/>
    </row>
    <row r="674" spans="15:15" x14ac:dyDescent="0.2">
      <c r="O674" s="20"/>
    </row>
    <row r="675" spans="15:15" x14ac:dyDescent="0.2">
      <c r="O675" s="20"/>
    </row>
    <row r="676" spans="15:15" x14ac:dyDescent="0.2">
      <c r="O676" s="20"/>
    </row>
    <row r="677" spans="15:15" x14ac:dyDescent="0.2">
      <c r="O677" s="20"/>
    </row>
    <row r="678" spans="15:15" x14ac:dyDescent="0.2">
      <c r="O678" s="20"/>
    </row>
    <row r="679" spans="15:15" x14ac:dyDescent="0.2">
      <c r="O679" s="20"/>
    </row>
    <row r="680" spans="15:15" x14ac:dyDescent="0.2">
      <c r="O680" s="20"/>
    </row>
    <row r="681" spans="15:15" x14ac:dyDescent="0.2">
      <c r="O681" s="20"/>
    </row>
    <row r="682" spans="15:15" x14ac:dyDescent="0.2">
      <c r="O682" s="20"/>
    </row>
    <row r="683" spans="15:15" x14ac:dyDescent="0.2">
      <c r="O683" s="20"/>
    </row>
    <row r="684" spans="15:15" x14ac:dyDescent="0.2">
      <c r="O684" s="20"/>
    </row>
    <row r="685" spans="15:15" x14ac:dyDescent="0.2">
      <c r="O685" s="20"/>
    </row>
    <row r="686" spans="15:15" x14ac:dyDescent="0.2">
      <c r="O686" s="20"/>
    </row>
    <row r="687" spans="15:15" x14ac:dyDescent="0.2">
      <c r="O687" s="20"/>
    </row>
    <row r="688" spans="15:15" x14ac:dyDescent="0.2">
      <c r="O688" s="20"/>
    </row>
    <row r="689" spans="15:15" x14ac:dyDescent="0.2">
      <c r="O689" s="20"/>
    </row>
    <row r="690" spans="15:15" x14ac:dyDescent="0.2">
      <c r="O690" s="20"/>
    </row>
    <row r="691" spans="15:15" x14ac:dyDescent="0.2">
      <c r="O691" s="20"/>
    </row>
    <row r="692" spans="15:15" x14ac:dyDescent="0.2">
      <c r="O692" s="20"/>
    </row>
    <row r="693" spans="15:15" x14ac:dyDescent="0.2">
      <c r="O693" s="20"/>
    </row>
    <row r="694" spans="15:15" x14ac:dyDescent="0.2">
      <c r="O694" s="20"/>
    </row>
    <row r="695" spans="15:15" x14ac:dyDescent="0.2">
      <c r="O695" s="20"/>
    </row>
    <row r="696" spans="15:15" x14ac:dyDescent="0.2">
      <c r="O696" s="20"/>
    </row>
    <row r="697" spans="15:15" x14ac:dyDescent="0.2">
      <c r="O697" s="20"/>
    </row>
    <row r="698" spans="15:15" x14ac:dyDescent="0.2">
      <c r="O698" s="20"/>
    </row>
    <row r="699" spans="15:15" x14ac:dyDescent="0.2">
      <c r="O699" s="20"/>
    </row>
    <row r="700" spans="15:15" x14ac:dyDescent="0.2">
      <c r="O700" s="20"/>
    </row>
    <row r="701" spans="15:15" x14ac:dyDescent="0.2">
      <c r="O701" s="20"/>
    </row>
    <row r="702" spans="15:15" x14ac:dyDescent="0.2">
      <c r="O702" s="20"/>
    </row>
    <row r="703" spans="15:15" x14ac:dyDescent="0.2">
      <c r="O703" s="20"/>
    </row>
    <row r="704" spans="15:15" x14ac:dyDescent="0.2">
      <c r="O704" s="20"/>
    </row>
    <row r="705" spans="15:15" x14ac:dyDescent="0.2">
      <c r="O705" s="20"/>
    </row>
    <row r="706" spans="15:15" x14ac:dyDescent="0.2">
      <c r="O706" s="20"/>
    </row>
    <row r="707" spans="15:15" x14ac:dyDescent="0.2">
      <c r="O707" s="20"/>
    </row>
    <row r="708" spans="15:15" x14ac:dyDescent="0.2">
      <c r="O708" s="20"/>
    </row>
    <row r="709" spans="15:15" x14ac:dyDescent="0.2">
      <c r="O709" s="20"/>
    </row>
    <row r="710" spans="15:15" x14ac:dyDescent="0.2">
      <c r="O710" s="20"/>
    </row>
    <row r="711" spans="15:15" x14ac:dyDescent="0.2">
      <c r="O711" s="20"/>
    </row>
    <row r="712" spans="15:15" x14ac:dyDescent="0.2">
      <c r="O712" s="20"/>
    </row>
    <row r="713" spans="15:15" x14ac:dyDescent="0.2">
      <c r="O713" s="20"/>
    </row>
    <row r="714" spans="15:15" x14ac:dyDescent="0.2">
      <c r="O714" s="20"/>
    </row>
    <row r="715" spans="15:15" x14ac:dyDescent="0.2">
      <c r="O715" s="20"/>
    </row>
    <row r="716" spans="15:15" x14ac:dyDescent="0.2">
      <c r="O716" s="20"/>
    </row>
    <row r="717" spans="15:15" x14ac:dyDescent="0.2">
      <c r="O717" s="20"/>
    </row>
    <row r="718" spans="15:15" x14ac:dyDescent="0.2">
      <c r="O718" s="20"/>
    </row>
    <row r="719" spans="15:15" x14ac:dyDescent="0.2">
      <c r="O719" s="20"/>
    </row>
    <row r="720" spans="15:15" x14ac:dyDescent="0.2">
      <c r="O720" s="20"/>
    </row>
    <row r="721" spans="15:15" x14ac:dyDescent="0.2">
      <c r="O721" s="20"/>
    </row>
    <row r="722" spans="15:15" x14ac:dyDescent="0.2">
      <c r="O722" s="20"/>
    </row>
    <row r="723" spans="15:15" x14ac:dyDescent="0.2">
      <c r="O723" s="20"/>
    </row>
    <row r="724" spans="15:15" x14ac:dyDescent="0.2">
      <c r="O724" s="20"/>
    </row>
    <row r="725" spans="15:15" x14ac:dyDescent="0.2">
      <c r="O725" s="20"/>
    </row>
    <row r="726" spans="15:15" x14ac:dyDescent="0.2">
      <c r="O726" s="20"/>
    </row>
    <row r="727" spans="15:15" x14ac:dyDescent="0.2">
      <c r="O727" s="20"/>
    </row>
    <row r="728" spans="15:15" x14ac:dyDescent="0.2">
      <c r="O728" s="20"/>
    </row>
    <row r="729" spans="15:15" x14ac:dyDescent="0.2">
      <c r="O729" s="20"/>
    </row>
    <row r="730" spans="15:15" x14ac:dyDescent="0.2">
      <c r="O730" s="20"/>
    </row>
    <row r="731" spans="15:15" x14ac:dyDescent="0.2">
      <c r="O731" s="20"/>
    </row>
    <row r="732" spans="15:15" x14ac:dyDescent="0.2">
      <c r="O732" s="20"/>
    </row>
    <row r="733" spans="15:15" x14ac:dyDescent="0.2">
      <c r="O733" s="20"/>
    </row>
    <row r="734" spans="15:15" x14ac:dyDescent="0.2">
      <c r="O734" s="20"/>
    </row>
    <row r="735" spans="15:15" x14ac:dyDescent="0.2">
      <c r="O735" s="20"/>
    </row>
    <row r="736" spans="15:15" x14ac:dyDescent="0.2">
      <c r="O736" s="20"/>
    </row>
    <row r="737" spans="15:15" x14ac:dyDescent="0.2">
      <c r="O737" s="20"/>
    </row>
    <row r="738" spans="15:15" x14ac:dyDescent="0.2">
      <c r="O738" s="20"/>
    </row>
    <row r="739" spans="15:15" x14ac:dyDescent="0.2">
      <c r="O739" s="20"/>
    </row>
    <row r="740" spans="15:15" x14ac:dyDescent="0.2">
      <c r="O740" s="20"/>
    </row>
    <row r="741" spans="15:15" x14ac:dyDescent="0.2">
      <c r="O741" s="20"/>
    </row>
    <row r="742" spans="15:15" x14ac:dyDescent="0.2">
      <c r="O742" s="20"/>
    </row>
    <row r="743" spans="15:15" x14ac:dyDescent="0.2">
      <c r="O743" s="20"/>
    </row>
    <row r="744" spans="15:15" x14ac:dyDescent="0.2">
      <c r="O744" s="20"/>
    </row>
    <row r="745" spans="15:15" x14ac:dyDescent="0.2">
      <c r="O745" s="20"/>
    </row>
    <row r="746" spans="15:15" x14ac:dyDescent="0.2">
      <c r="O746" s="20"/>
    </row>
    <row r="747" spans="15:15" x14ac:dyDescent="0.2">
      <c r="O747" s="20"/>
    </row>
    <row r="748" spans="15:15" x14ac:dyDescent="0.2">
      <c r="O748" s="20"/>
    </row>
    <row r="749" spans="15:15" x14ac:dyDescent="0.2">
      <c r="O749" s="20"/>
    </row>
    <row r="750" spans="15:15" x14ac:dyDescent="0.2">
      <c r="O750" s="20"/>
    </row>
    <row r="751" spans="15:15" x14ac:dyDescent="0.2">
      <c r="O751" s="20"/>
    </row>
    <row r="752" spans="15:15" x14ac:dyDescent="0.2">
      <c r="O752" s="20"/>
    </row>
    <row r="753" spans="15:15" x14ac:dyDescent="0.2">
      <c r="O753" s="20"/>
    </row>
    <row r="754" spans="15:15" x14ac:dyDescent="0.2">
      <c r="O754" s="20"/>
    </row>
    <row r="755" spans="15:15" x14ac:dyDescent="0.2">
      <c r="O755" s="20"/>
    </row>
    <row r="756" spans="15:15" x14ac:dyDescent="0.2">
      <c r="O756" s="20"/>
    </row>
    <row r="757" spans="15:15" x14ac:dyDescent="0.2">
      <c r="O757" s="20"/>
    </row>
    <row r="758" spans="15:15" x14ac:dyDescent="0.2">
      <c r="O758" s="20"/>
    </row>
    <row r="759" spans="15:15" x14ac:dyDescent="0.2">
      <c r="O759" s="20"/>
    </row>
    <row r="760" spans="15:15" x14ac:dyDescent="0.2">
      <c r="O760" s="20"/>
    </row>
    <row r="761" spans="15:15" x14ac:dyDescent="0.2">
      <c r="O761" s="20"/>
    </row>
    <row r="762" spans="15:15" x14ac:dyDescent="0.2">
      <c r="O762" s="20"/>
    </row>
    <row r="763" spans="15:15" x14ac:dyDescent="0.2">
      <c r="O763" s="20"/>
    </row>
    <row r="764" spans="15:15" x14ac:dyDescent="0.2">
      <c r="O764" s="20"/>
    </row>
    <row r="765" spans="15:15" x14ac:dyDescent="0.2">
      <c r="O765" s="20"/>
    </row>
    <row r="766" spans="15:15" x14ac:dyDescent="0.2">
      <c r="O766" s="20"/>
    </row>
    <row r="767" spans="15:15" x14ac:dyDescent="0.2">
      <c r="O767" s="20"/>
    </row>
    <row r="768" spans="15:15" x14ac:dyDescent="0.2">
      <c r="O768" s="20"/>
    </row>
    <row r="769" spans="15:15" x14ac:dyDescent="0.2">
      <c r="O769" s="20"/>
    </row>
    <row r="770" spans="15:15" x14ac:dyDescent="0.2">
      <c r="O770" s="20"/>
    </row>
    <row r="771" spans="15:15" x14ac:dyDescent="0.2">
      <c r="O771" s="20"/>
    </row>
    <row r="772" spans="15:15" x14ac:dyDescent="0.2">
      <c r="O772" s="20"/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F8D23-ABA4-1A44-B54C-CBEFB7E9A58E}">
  <dimension ref="A2:O772"/>
  <sheetViews>
    <sheetView topLeftCell="A9" zoomScaleNormal="100" workbookViewId="0">
      <selection activeCell="F49" sqref="F49"/>
    </sheetView>
  </sheetViews>
  <sheetFormatPr baseColWidth="10" defaultColWidth="11" defaultRowHeight="16" x14ac:dyDescent="0.2"/>
  <cols>
    <col min="1" max="1" width="17.1640625" customWidth="1"/>
    <col min="2" max="2" width="26.1640625" bestFit="1" customWidth="1"/>
    <col min="3" max="3" width="31.33203125" bestFit="1" customWidth="1"/>
    <col min="4" max="4" width="9.5" customWidth="1"/>
    <col min="5" max="5" width="8.83203125" customWidth="1"/>
  </cols>
  <sheetData>
    <row r="2" spans="1:15" x14ac:dyDescent="0.2">
      <c r="A2" s="19" t="s">
        <v>57</v>
      </c>
    </row>
    <row r="3" spans="1:15" x14ac:dyDescent="0.2">
      <c r="O3" s="17"/>
    </row>
    <row r="4" spans="1:15" x14ac:dyDescent="0.2">
      <c r="A4" t="s">
        <v>41</v>
      </c>
      <c r="O4" s="17"/>
    </row>
    <row r="5" spans="1:15" ht="17" thickBot="1" x14ac:dyDescent="0.25">
      <c r="O5" s="17"/>
    </row>
    <row r="6" spans="1:15" x14ac:dyDescent="0.2">
      <c r="A6" s="14"/>
      <c r="B6" s="14" t="s">
        <v>42</v>
      </c>
      <c r="C6" s="14" t="s">
        <v>43</v>
      </c>
      <c r="O6" s="17"/>
    </row>
    <row r="7" spans="1:15" x14ac:dyDescent="0.2">
      <c r="A7" t="s">
        <v>44</v>
      </c>
      <c r="B7">
        <v>77.549033816425123</v>
      </c>
      <c r="C7">
        <v>77.219747191011237</v>
      </c>
      <c r="O7" s="17"/>
    </row>
    <row r="8" spans="1:15" x14ac:dyDescent="0.2">
      <c r="A8" t="s">
        <v>45</v>
      </c>
      <c r="B8">
        <v>269.45103925793291</v>
      </c>
      <c r="C8">
        <v>289.96208472464127</v>
      </c>
      <c r="O8" s="17"/>
    </row>
    <row r="9" spans="1:15" x14ac:dyDescent="0.2">
      <c r="A9" t="s">
        <v>46</v>
      </c>
      <c r="B9">
        <v>414</v>
      </c>
      <c r="C9">
        <v>356</v>
      </c>
      <c r="O9" s="17"/>
    </row>
    <row r="10" spans="1:15" x14ac:dyDescent="0.2">
      <c r="A10" t="s">
        <v>47</v>
      </c>
      <c r="B10">
        <v>278.93205636819522</v>
      </c>
      <c r="O10" s="17"/>
    </row>
    <row r="11" spans="1:15" x14ac:dyDescent="0.2">
      <c r="A11" t="s">
        <v>48</v>
      </c>
      <c r="B11">
        <v>0</v>
      </c>
      <c r="O11" s="17"/>
    </row>
    <row r="12" spans="1:15" x14ac:dyDescent="0.2">
      <c r="A12" t="s">
        <v>49</v>
      </c>
      <c r="B12">
        <v>768</v>
      </c>
      <c r="O12" s="17"/>
    </row>
    <row r="13" spans="1:15" x14ac:dyDescent="0.2">
      <c r="A13" t="s">
        <v>50</v>
      </c>
      <c r="B13">
        <v>0.27277507512981902</v>
      </c>
      <c r="O13" s="17"/>
    </row>
    <row r="14" spans="1:15" x14ac:dyDescent="0.2">
      <c r="A14" t="s">
        <v>51</v>
      </c>
      <c r="B14">
        <v>0.39254972337198163</v>
      </c>
      <c r="O14" s="17"/>
    </row>
    <row r="15" spans="1:15" x14ac:dyDescent="0.2">
      <c r="A15" t="s">
        <v>52</v>
      </c>
      <c r="B15">
        <v>1.6468401113756266</v>
      </c>
      <c r="O15" s="17"/>
    </row>
    <row r="16" spans="1:15" x14ac:dyDescent="0.2">
      <c r="A16" t="s">
        <v>53</v>
      </c>
      <c r="B16">
        <v>0.78509944674396326</v>
      </c>
      <c r="O16" s="17"/>
    </row>
    <row r="17" spans="1:15" ht="17" thickBot="1" x14ac:dyDescent="0.25">
      <c r="A17" s="13" t="s">
        <v>54</v>
      </c>
      <c r="B17" s="13">
        <v>1.963057670341438</v>
      </c>
      <c r="C17" s="13"/>
      <c r="O17" s="17"/>
    </row>
    <row r="18" spans="1:15" x14ac:dyDescent="0.2">
      <c r="B18" s="12"/>
      <c r="C18" s="12"/>
      <c r="O18" s="17"/>
    </row>
    <row r="19" spans="1:15" x14ac:dyDescent="0.2">
      <c r="A19" s="19" t="s">
        <v>55</v>
      </c>
      <c r="O19" s="17"/>
    </row>
    <row r="20" spans="1:15" x14ac:dyDescent="0.2">
      <c r="O20" s="17"/>
    </row>
    <row r="21" spans="1:15" x14ac:dyDescent="0.2">
      <c r="A21" t="s">
        <v>41</v>
      </c>
      <c r="O21" s="17"/>
    </row>
    <row r="22" spans="1:15" ht="17" thickBot="1" x14ac:dyDescent="0.25">
      <c r="O22" s="17"/>
    </row>
    <row r="23" spans="1:15" x14ac:dyDescent="0.2">
      <c r="A23" s="14"/>
      <c r="B23" s="14" t="s">
        <v>42</v>
      </c>
      <c r="C23" s="14" t="s">
        <v>43</v>
      </c>
      <c r="O23" s="17"/>
    </row>
    <row r="24" spans="1:15" x14ac:dyDescent="0.2">
      <c r="A24" t="s">
        <v>44</v>
      </c>
      <c r="B24">
        <v>1.927461139896373</v>
      </c>
      <c r="C24">
        <v>2.5598958333333335</v>
      </c>
      <c r="O24" s="17"/>
    </row>
    <row r="25" spans="1:15" x14ac:dyDescent="0.2">
      <c r="A25" t="s">
        <v>45</v>
      </c>
      <c r="B25">
        <v>4.0986205504340223</v>
      </c>
      <c r="C25">
        <v>3.108674662750218</v>
      </c>
      <c r="O25" s="17"/>
    </row>
    <row r="26" spans="1:15" x14ac:dyDescent="0.2">
      <c r="A26" t="s">
        <v>46</v>
      </c>
      <c r="B26">
        <v>386</v>
      </c>
      <c r="C26">
        <v>384</v>
      </c>
      <c r="O26" s="17"/>
    </row>
    <row r="27" spans="1:15" x14ac:dyDescent="0.2">
      <c r="A27" t="s">
        <v>47</v>
      </c>
      <c r="B27">
        <v>3.6049365986333748</v>
      </c>
      <c r="O27" s="17"/>
    </row>
    <row r="28" spans="1:15" x14ac:dyDescent="0.2">
      <c r="A28" t="s">
        <v>48</v>
      </c>
      <c r="B28">
        <v>0</v>
      </c>
      <c r="O28" s="17"/>
    </row>
    <row r="29" spans="1:15" x14ac:dyDescent="0.2">
      <c r="A29" t="s">
        <v>49</v>
      </c>
      <c r="B29">
        <v>768</v>
      </c>
      <c r="O29" s="17"/>
    </row>
    <row r="30" spans="1:15" x14ac:dyDescent="0.2">
      <c r="A30" t="s">
        <v>50</v>
      </c>
      <c r="B30">
        <v>-4.621476748951781</v>
      </c>
      <c r="O30" s="17"/>
    </row>
    <row r="31" spans="1:15" x14ac:dyDescent="0.2">
      <c r="A31" t="s">
        <v>51</v>
      </c>
      <c r="B31">
        <v>2.2340223221838824E-6</v>
      </c>
      <c r="O31" s="17"/>
    </row>
    <row r="32" spans="1:15" x14ac:dyDescent="0.2">
      <c r="A32" t="s">
        <v>52</v>
      </c>
      <c r="B32">
        <v>1.6468401113756266</v>
      </c>
      <c r="O32" s="17"/>
    </row>
    <row r="33" spans="1:15" x14ac:dyDescent="0.2">
      <c r="A33" t="s">
        <v>53</v>
      </c>
      <c r="B33">
        <v>4.4680446443677648E-6</v>
      </c>
      <c r="O33" s="17"/>
    </row>
    <row r="34" spans="1:15" ht="17" thickBot="1" x14ac:dyDescent="0.25">
      <c r="A34" s="13" t="s">
        <v>54</v>
      </c>
      <c r="B34" s="13">
        <v>1.963057670341438</v>
      </c>
      <c r="C34" s="13"/>
      <c r="E34" s="18"/>
      <c r="F34" s="18"/>
      <c r="G34" s="18"/>
      <c r="O34" s="17"/>
    </row>
    <row r="35" spans="1:15" x14ac:dyDescent="0.2">
      <c r="O35" s="17"/>
    </row>
    <row r="36" spans="1:15" x14ac:dyDescent="0.2">
      <c r="O36" s="17"/>
    </row>
    <row r="37" spans="1:15" x14ac:dyDescent="0.2">
      <c r="A37" s="19" t="s">
        <v>56</v>
      </c>
      <c r="O37" s="17"/>
    </row>
    <row r="38" spans="1:15" x14ac:dyDescent="0.2">
      <c r="O38" s="17"/>
    </row>
    <row r="39" spans="1:15" x14ac:dyDescent="0.2">
      <c r="A39" t="s">
        <v>58</v>
      </c>
      <c r="B39" t="s">
        <v>59</v>
      </c>
      <c r="C39" t="s">
        <v>60</v>
      </c>
      <c r="O39" s="17"/>
    </row>
    <row r="40" spans="1:15" x14ac:dyDescent="0.2">
      <c r="O40" s="17"/>
    </row>
    <row r="41" spans="1:15" x14ac:dyDescent="0.2">
      <c r="A41" t="s">
        <v>41</v>
      </c>
      <c r="O41" s="17"/>
    </row>
    <row r="42" spans="1:15" ht="17" thickBot="1" x14ac:dyDescent="0.25">
      <c r="O42" s="17"/>
    </row>
    <row r="43" spans="1:15" x14ac:dyDescent="0.2">
      <c r="A43" s="14"/>
      <c r="B43" s="14" t="s">
        <v>42</v>
      </c>
      <c r="C43" s="14" t="s">
        <v>43</v>
      </c>
      <c r="O43" s="17"/>
    </row>
    <row r="44" spans="1:15" x14ac:dyDescent="0.2">
      <c r="A44" t="s">
        <v>44</v>
      </c>
      <c r="B44">
        <v>0.70952380952380956</v>
      </c>
      <c r="C44">
        <v>2.422857142857143</v>
      </c>
      <c r="O44" s="17"/>
    </row>
    <row r="45" spans="1:15" x14ac:dyDescent="0.2">
      <c r="A45" t="s">
        <v>45</v>
      </c>
      <c r="B45">
        <v>0.8605296056370042</v>
      </c>
      <c r="C45">
        <v>1.3049201801064272</v>
      </c>
      <c r="O45" s="17"/>
    </row>
    <row r="46" spans="1:15" x14ac:dyDescent="0.2">
      <c r="A46" t="s">
        <v>46</v>
      </c>
      <c r="B46">
        <v>420</v>
      </c>
      <c r="C46">
        <v>350</v>
      </c>
      <c r="O46" s="17"/>
    </row>
    <row r="47" spans="1:15" x14ac:dyDescent="0.2">
      <c r="A47" t="s">
        <v>47</v>
      </c>
      <c r="B47">
        <v>1.0624727182539686</v>
      </c>
      <c r="O47" s="17"/>
    </row>
    <row r="48" spans="1:15" x14ac:dyDescent="0.2">
      <c r="A48" t="s">
        <v>48</v>
      </c>
      <c r="B48">
        <v>0</v>
      </c>
      <c r="O48" s="17"/>
    </row>
    <row r="49" spans="1:15" x14ac:dyDescent="0.2">
      <c r="A49" t="s">
        <v>49</v>
      </c>
      <c r="B49">
        <v>768</v>
      </c>
      <c r="O49" s="17"/>
    </row>
    <row r="50" spans="1:15" x14ac:dyDescent="0.2">
      <c r="A50" t="s">
        <v>50</v>
      </c>
      <c r="B50">
        <v>-22.966577203162</v>
      </c>
      <c r="O50" s="17"/>
    </row>
    <row r="51" spans="1:15" x14ac:dyDescent="0.2">
      <c r="A51" t="s">
        <v>51</v>
      </c>
      <c r="B51">
        <v>1.4447885404856698E-89</v>
      </c>
      <c r="O51" s="17"/>
    </row>
    <row r="52" spans="1:15" x14ac:dyDescent="0.2">
      <c r="A52" t="s">
        <v>52</v>
      </c>
      <c r="B52">
        <v>1.6468401113756266</v>
      </c>
      <c r="O52" s="17"/>
    </row>
    <row r="53" spans="1:15" x14ac:dyDescent="0.2">
      <c r="A53" t="s">
        <v>53</v>
      </c>
      <c r="B53">
        <v>2.8895770809713397E-89</v>
      </c>
      <c r="O53" s="17"/>
    </row>
    <row r="54" spans="1:15" ht="17" thickBot="1" x14ac:dyDescent="0.25">
      <c r="A54" s="13" t="s">
        <v>54</v>
      </c>
      <c r="B54" s="13">
        <v>1.963057670341438</v>
      </c>
      <c r="C54" s="13"/>
      <c r="O54" s="17"/>
    </row>
    <row r="55" spans="1:15" x14ac:dyDescent="0.2">
      <c r="O55" s="17"/>
    </row>
    <row r="56" spans="1:15" x14ac:dyDescent="0.2">
      <c r="O56" s="17"/>
    </row>
    <row r="57" spans="1:15" x14ac:dyDescent="0.2">
      <c r="A57" s="19" t="s">
        <v>63</v>
      </c>
      <c r="O57" s="17"/>
    </row>
    <row r="58" spans="1:15" x14ac:dyDescent="0.2">
      <c r="O58" s="17"/>
    </row>
    <row r="59" spans="1:15" x14ac:dyDescent="0.2">
      <c r="A59" t="s">
        <v>58</v>
      </c>
      <c r="B59" t="s">
        <v>61</v>
      </c>
      <c r="C59" t="s">
        <v>62</v>
      </c>
      <c r="O59" s="17"/>
    </row>
    <row r="60" spans="1:15" x14ac:dyDescent="0.2">
      <c r="O60" s="17"/>
    </row>
    <row r="61" spans="1:15" x14ac:dyDescent="0.2">
      <c r="A61" t="s">
        <v>41</v>
      </c>
      <c r="O61" s="17"/>
    </row>
    <row r="62" spans="1:15" ht="17" thickBot="1" x14ac:dyDescent="0.25">
      <c r="O62" s="17"/>
    </row>
    <row r="63" spans="1:15" x14ac:dyDescent="0.2">
      <c r="A63" s="14"/>
      <c r="B63" s="14" t="s">
        <v>42</v>
      </c>
      <c r="C63" s="14" t="s">
        <v>43</v>
      </c>
      <c r="O63" s="17"/>
    </row>
    <row r="64" spans="1:15" x14ac:dyDescent="0.2">
      <c r="A64" t="s">
        <v>44</v>
      </c>
      <c r="B64">
        <v>2.152173913043478</v>
      </c>
      <c r="C64">
        <v>2.4270833333333335</v>
      </c>
      <c r="O64" s="17"/>
    </row>
    <row r="65" spans="1:15" x14ac:dyDescent="0.2">
      <c r="A65" t="s">
        <v>45</v>
      </c>
      <c r="B65">
        <v>3.9040316205533601</v>
      </c>
      <c r="C65">
        <v>3.7747600349040145</v>
      </c>
      <c r="O65" s="17"/>
    </row>
    <row r="66" spans="1:15" x14ac:dyDescent="0.2">
      <c r="A66" t="s">
        <v>46</v>
      </c>
      <c r="B66">
        <v>276</v>
      </c>
      <c r="C66">
        <v>192</v>
      </c>
      <c r="O66" s="17"/>
    </row>
    <row r="67" spans="1:15" x14ac:dyDescent="0.2">
      <c r="A67" t="s">
        <v>47</v>
      </c>
      <c r="B67">
        <v>3.8510469148472977</v>
      </c>
      <c r="O67" s="17"/>
    </row>
    <row r="68" spans="1:15" x14ac:dyDescent="0.2">
      <c r="A68" t="s">
        <v>48</v>
      </c>
      <c r="B68">
        <v>0</v>
      </c>
      <c r="O68" s="17"/>
    </row>
    <row r="69" spans="1:15" x14ac:dyDescent="0.2">
      <c r="A69" t="s">
        <v>49</v>
      </c>
      <c r="B69">
        <v>466</v>
      </c>
      <c r="O69" s="17"/>
    </row>
    <row r="70" spans="1:15" x14ac:dyDescent="0.2">
      <c r="A70" t="s">
        <v>50</v>
      </c>
      <c r="B70">
        <v>-1.4906732088548171</v>
      </c>
      <c r="O70" s="17"/>
    </row>
    <row r="71" spans="1:15" x14ac:dyDescent="0.2">
      <c r="A71" t="s">
        <v>51</v>
      </c>
      <c r="B71">
        <v>6.8361933190798974E-2</v>
      </c>
      <c r="O71" s="17"/>
    </row>
    <row r="72" spans="1:15" x14ac:dyDescent="0.2">
      <c r="A72" t="s">
        <v>52</v>
      </c>
      <c r="B72">
        <v>1.648130067561884</v>
      </c>
      <c r="O72" s="17"/>
    </row>
    <row r="73" spans="1:15" x14ac:dyDescent="0.2">
      <c r="A73" t="s">
        <v>53</v>
      </c>
      <c r="B73">
        <v>0.13672386638159795</v>
      </c>
      <c r="O73" s="17"/>
    </row>
    <row r="74" spans="1:15" ht="17" thickBot="1" x14ac:dyDescent="0.25">
      <c r="A74" s="13" t="s">
        <v>54</v>
      </c>
      <c r="B74" s="13">
        <v>1.9650677181873784</v>
      </c>
      <c r="C74" s="13"/>
      <c r="O74" s="17"/>
    </row>
    <row r="75" spans="1:15" x14ac:dyDescent="0.2">
      <c r="O75" s="17"/>
    </row>
    <row r="76" spans="1:15" x14ac:dyDescent="0.2">
      <c r="O76" s="17"/>
    </row>
    <row r="77" spans="1:15" x14ac:dyDescent="0.2">
      <c r="O77" s="17"/>
    </row>
    <row r="78" spans="1:15" x14ac:dyDescent="0.2">
      <c r="O78" s="17"/>
    </row>
    <row r="79" spans="1:15" x14ac:dyDescent="0.2">
      <c r="O79" s="17"/>
    </row>
    <row r="80" spans="1:15" x14ac:dyDescent="0.2">
      <c r="O80" s="17"/>
    </row>
    <row r="81" spans="15:15" x14ac:dyDescent="0.2">
      <c r="O81" s="17"/>
    </row>
    <row r="82" spans="15:15" x14ac:dyDescent="0.2">
      <c r="O82" s="17"/>
    </row>
    <row r="83" spans="15:15" x14ac:dyDescent="0.2">
      <c r="O83" s="17"/>
    </row>
    <row r="84" spans="15:15" x14ac:dyDescent="0.2">
      <c r="O84" s="17"/>
    </row>
    <row r="85" spans="15:15" x14ac:dyDescent="0.2">
      <c r="O85" s="17"/>
    </row>
    <row r="86" spans="15:15" x14ac:dyDescent="0.2">
      <c r="O86" s="17"/>
    </row>
    <row r="87" spans="15:15" x14ac:dyDescent="0.2">
      <c r="O87" s="17"/>
    </row>
    <row r="88" spans="15:15" x14ac:dyDescent="0.2">
      <c r="O88" s="17"/>
    </row>
    <row r="89" spans="15:15" x14ac:dyDescent="0.2">
      <c r="O89" s="17"/>
    </row>
    <row r="90" spans="15:15" x14ac:dyDescent="0.2">
      <c r="O90" s="17"/>
    </row>
    <row r="91" spans="15:15" x14ac:dyDescent="0.2">
      <c r="O91" s="17"/>
    </row>
    <row r="92" spans="15:15" x14ac:dyDescent="0.2">
      <c r="O92" s="17"/>
    </row>
    <row r="93" spans="15:15" x14ac:dyDescent="0.2">
      <c r="O93" s="17"/>
    </row>
    <row r="94" spans="15:15" x14ac:dyDescent="0.2">
      <c r="O94" s="17"/>
    </row>
    <row r="95" spans="15:15" x14ac:dyDescent="0.2">
      <c r="O95" s="17"/>
    </row>
    <row r="96" spans="15:15" x14ac:dyDescent="0.2">
      <c r="O96" s="17"/>
    </row>
    <row r="97" spans="15:15" x14ac:dyDescent="0.2">
      <c r="O97" s="17"/>
    </row>
    <row r="98" spans="15:15" x14ac:dyDescent="0.2">
      <c r="O98" s="17"/>
    </row>
    <row r="99" spans="15:15" x14ac:dyDescent="0.2">
      <c r="O99" s="17"/>
    </row>
    <row r="100" spans="15:15" x14ac:dyDescent="0.2">
      <c r="O100" s="17"/>
    </row>
    <row r="101" spans="15:15" x14ac:dyDescent="0.2">
      <c r="O101" s="17"/>
    </row>
    <row r="102" spans="15:15" x14ac:dyDescent="0.2">
      <c r="O102" s="17"/>
    </row>
    <row r="103" spans="15:15" x14ac:dyDescent="0.2">
      <c r="O103" s="17"/>
    </row>
    <row r="104" spans="15:15" x14ac:dyDescent="0.2">
      <c r="O104" s="17"/>
    </row>
    <row r="105" spans="15:15" x14ac:dyDescent="0.2">
      <c r="O105" s="17"/>
    </row>
    <row r="106" spans="15:15" x14ac:dyDescent="0.2">
      <c r="O106" s="17"/>
    </row>
    <row r="107" spans="15:15" x14ac:dyDescent="0.2">
      <c r="O107" s="17"/>
    </row>
    <row r="108" spans="15:15" x14ac:dyDescent="0.2">
      <c r="O108" s="17"/>
    </row>
    <row r="109" spans="15:15" x14ac:dyDescent="0.2">
      <c r="O109" s="17"/>
    </row>
    <row r="110" spans="15:15" x14ac:dyDescent="0.2">
      <c r="O110" s="17"/>
    </row>
    <row r="111" spans="15:15" x14ac:dyDescent="0.2">
      <c r="O111" s="17"/>
    </row>
    <row r="112" spans="15:15" x14ac:dyDescent="0.2">
      <c r="O112" s="17"/>
    </row>
    <row r="113" spans="15:15" x14ac:dyDescent="0.2">
      <c r="O113" s="17"/>
    </row>
    <row r="114" spans="15:15" x14ac:dyDescent="0.2">
      <c r="O114" s="17"/>
    </row>
    <row r="115" spans="15:15" x14ac:dyDescent="0.2">
      <c r="O115" s="17"/>
    </row>
    <row r="116" spans="15:15" x14ac:dyDescent="0.2">
      <c r="O116" s="17"/>
    </row>
    <row r="117" spans="15:15" x14ac:dyDescent="0.2">
      <c r="O117" s="17"/>
    </row>
    <row r="118" spans="15:15" x14ac:dyDescent="0.2">
      <c r="O118" s="17"/>
    </row>
    <row r="119" spans="15:15" x14ac:dyDescent="0.2">
      <c r="O119" s="17"/>
    </row>
    <row r="120" spans="15:15" x14ac:dyDescent="0.2">
      <c r="O120" s="17"/>
    </row>
    <row r="121" spans="15:15" x14ac:dyDescent="0.2">
      <c r="O121" s="17"/>
    </row>
    <row r="122" spans="15:15" x14ac:dyDescent="0.2">
      <c r="O122" s="17"/>
    </row>
    <row r="123" spans="15:15" x14ac:dyDescent="0.2">
      <c r="O123" s="17"/>
    </row>
    <row r="124" spans="15:15" x14ac:dyDescent="0.2">
      <c r="O124" s="17"/>
    </row>
    <row r="125" spans="15:15" x14ac:dyDescent="0.2">
      <c r="O125" s="17"/>
    </row>
    <row r="126" spans="15:15" x14ac:dyDescent="0.2">
      <c r="O126" s="17"/>
    </row>
    <row r="127" spans="15:15" x14ac:dyDescent="0.2">
      <c r="O127" s="17"/>
    </row>
    <row r="128" spans="15:15" x14ac:dyDescent="0.2">
      <c r="O128" s="17"/>
    </row>
    <row r="129" spans="15:15" x14ac:dyDescent="0.2">
      <c r="O129" s="17"/>
    </row>
    <row r="130" spans="15:15" x14ac:dyDescent="0.2">
      <c r="O130" s="17"/>
    </row>
    <row r="131" spans="15:15" x14ac:dyDescent="0.2">
      <c r="O131" s="17"/>
    </row>
    <row r="132" spans="15:15" x14ac:dyDescent="0.2">
      <c r="O132" s="17"/>
    </row>
    <row r="133" spans="15:15" x14ac:dyDescent="0.2">
      <c r="O133" s="17"/>
    </row>
    <row r="134" spans="15:15" x14ac:dyDescent="0.2">
      <c r="O134" s="17"/>
    </row>
    <row r="135" spans="15:15" x14ac:dyDescent="0.2">
      <c r="O135" s="17"/>
    </row>
    <row r="136" spans="15:15" x14ac:dyDescent="0.2">
      <c r="O136" s="17"/>
    </row>
    <row r="137" spans="15:15" x14ac:dyDescent="0.2">
      <c r="O137" s="17"/>
    </row>
    <row r="138" spans="15:15" x14ac:dyDescent="0.2">
      <c r="O138" s="17"/>
    </row>
    <row r="139" spans="15:15" x14ac:dyDescent="0.2">
      <c r="O139" s="17"/>
    </row>
    <row r="140" spans="15:15" x14ac:dyDescent="0.2">
      <c r="O140" s="17"/>
    </row>
    <row r="141" spans="15:15" x14ac:dyDescent="0.2">
      <c r="O141" s="17"/>
    </row>
    <row r="142" spans="15:15" x14ac:dyDescent="0.2">
      <c r="O142" s="17"/>
    </row>
    <row r="143" spans="15:15" x14ac:dyDescent="0.2">
      <c r="O143" s="17"/>
    </row>
    <row r="144" spans="15:15" x14ac:dyDescent="0.2">
      <c r="O144" s="17"/>
    </row>
    <row r="145" spans="15:15" x14ac:dyDescent="0.2">
      <c r="O145" s="17"/>
    </row>
    <row r="146" spans="15:15" x14ac:dyDescent="0.2">
      <c r="O146" s="17"/>
    </row>
    <row r="147" spans="15:15" x14ac:dyDescent="0.2">
      <c r="O147" s="17"/>
    </row>
    <row r="148" spans="15:15" x14ac:dyDescent="0.2">
      <c r="O148" s="17"/>
    </row>
    <row r="149" spans="15:15" x14ac:dyDescent="0.2">
      <c r="O149" s="17"/>
    </row>
    <row r="150" spans="15:15" x14ac:dyDescent="0.2">
      <c r="O150" s="17"/>
    </row>
    <row r="151" spans="15:15" x14ac:dyDescent="0.2">
      <c r="O151" s="17"/>
    </row>
    <row r="152" spans="15:15" x14ac:dyDescent="0.2">
      <c r="O152" s="17"/>
    </row>
    <row r="153" spans="15:15" x14ac:dyDescent="0.2">
      <c r="O153" s="17"/>
    </row>
    <row r="154" spans="15:15" x14ac:dyDescent="0.2">
      <c r="O154" s="17"/>
    </row>
    <row r="155" spans="15:15" x14ac:dyDescent="0.2">
      <c r="O155" s="17"/>
    </row>
    <row r="156" spans="15:15" x14ac:dyDescent="0.2">
      <c r="O156" s="17"/>
    </row>
    <row r="157" spans="15:15" x14ac:dyDescent="0.2">
      <c r="O157" s="17"/>
    </row>
    <row r="158" spans="15:15" x14ac:dyDescent="0.2">
      <c r="O158" s="17"/>
    </row>
    <row r="159" spans="15:15" x14ac:dyDescent="0.2">
      <c r="O159" s="17"/>
    </row>
    <row r="160" spans="15:15" x14ac:dyDescent="0.2">
      <c r="O160" s="17"/>
    </row>
    <row r="161" spans="15:15" x14ac:dyDescent="0.2">
      <c r="O161" s="17"/>
    </row>
    <row r="162" spans="15:15" x14ac:dyDescent="0.2">
      <c r="O162" s="17"/>
    </row>
    <row r="163" spans="15:15" x14ac:dyDescent="0.2">
      <c r="O163" s="17"/>
    </row>
    <row r="164" spans="15:15" x14ac:dyDescent="0.2">
      <c r="O164" s="17"/>
    </row>
    <row r="165" spans="15:15" x14ac:dyDescent="0.2">
      <c r="O165" s="17"/>
    </row>
    <row r="166" spans="15:15" x14ac:dyDescent="0.2">
      <c r="O166" s="17"/>
    </row>
    <row r="167" spans="15:15" x14ac:dyDescent="0.2">
      <c r="O167" s="17"/>
    </row>
    <row r="168" spans="15:15" x14ac:dyDescent="0.2">
      <c r="O168" s="17"/>
    </row>
    <row r="169" spans="15:15" x14ac:dyDescent="0.2">
      <c r="O169" s="17"/>
    </row>
    <row r="170" spans="15:15" x14ac:dyDescent="0.2">
      <c r="O170" s="17"/>
    </row>
    <row r="171" spans="15:15" x14ac:dyDescent="0.2">
      <c r="O171" s="17"/>
    </row>
    <row r="172" spans="15:15" x14ac:dyDescent="0.2">
      <c r="O172" s="17"/>
    </row>
    <row r="173" spans="15:15" x14ac:dyDescent="0.2">
      <c r="O173" s="17"/>
    </row>
    <row r="174" spans="15:15" x14ac:dyDescent="0.2">
      <c r="O174" s="17"/>
    </row>
    <row r="175" spans="15:15" x14ac:dyDescent="0.2">
      <c r="O175" s="17"/>
    </row>
    <row r="176" spans="15:15" x14ac:dyDescent="0.2">
      <c r="O176" s="17"/>
    </row>
    <row r="177" spans="15:15" x14ac:dyDescent="0.2">
      <c r="O177" s="17"/>
    </row>
    <row r="178" spans="15:15" x14ac:dyDescent="0.2">
      <c r="O178" s="17"/>
    </row>
    <row r="179" spans="15:15" x14ac:dyDescent="0.2">
      <c r="O179" s="17"/>
    </row>
    <row r="180" spans="15:15" x14ac:dyDescent="0.2">
      <c r="O180" s="17"/>
    </row>
    <row r="181" spans="15:15" x14ac:dyDescent="0.2">
      <c r="O181" s="17"/>
    </row>
    <row r="182" spans="15:15" x14ac:dyDescent="0.2">
      <c r="O182" s="17"/>
    </row>
    <row r="183" spans="15:15" x14ac:dyDescent="0.2">
      <c r="O183" s="17"/>
    </row>
    <row r="184" spans="15:15" x14ac:dyDescent="0.2">
      <c r="O184" s="17"/>
    </row>
    <row r="185" spans="15:15" x14ac:dyDescent="0.2">
      <c r="O185" s="17"/>
    </row>
    <row r="186" spans="15:15" x14ac:dyDescent="0.2">
      <c r="O186" s="17"/>
    </row>
    <row r="187" spans="15:15" x14ac:dyDescent="0.2">
      <c r="O187" s="17"/>
    </row>
    <row r="188" spans="15:15" x14ac:dyDescent="0.2">
      <c r="O188" s="17"/>
    </row>
    <row r="189" spans="15:15" x14ac:dyDescent="0.2">
      <c r="O189" s="17"/>
    </row>
    <row r="190" spans="15:15" x14ac:dyDescent="0.2">
      <c r="O190" s="17"/>
    </row>
    <row r="191" spans="15:15" x14ac:dyDescent="0.2">
      <c r="O191" s="17"/>
    </row>
    <row r="192" spans="15:15" x14ac:dyDescent="0.2">
      <c r="O192" s="17"/>
    </row>
    <row r="193" spans="15:15" x14ac:dyDescent="0.2">
      <c r="O193" s="17"/>
    </row>
    <row r="194" spans="15:15" x14ac:dyDescent="0.2">
      <c r="O194" s="17"/>
    </row>
    <row r="195" spans="15:15" x14ac:dyDescent="0.2">
      <c r="O195" s="17"/>
    </row>
    <row r="196" spans="15:15" x14ac:dyDescent="0.2">
      <c r="O196" s="17"/>
    </row>
    <row r="197" spans="15:15" x14ac:dyDescent="0.2">
      <c r="O197" s="17"/>
    </row>
    <row r="198" spans="15:15" x14ac:dyDescent="0.2">
      <c r="O198" s="17"/>
    </row>
    <row r="199" spans="15:15" x14ac:dyDescent="0.2">
      <c r="O199" s="17"/>
    </row>
    <row r="200" spans="15:15" x14ac:dyDescent="0.2">
      <c r="O200" s="17"/>
    </row>
    <row r="201" spans="15:15" x14ac:dyDescent="0.2">
      <c r="O201" s="17"/>
    </row>
    <row r="202" spans="15:15" x14ac:dyDescent="0.2">
      <c r="O202" s="17"/>
    </row>
    <row r="203" spans="15:15" x14ac:dyDescent="0.2">
      <c r="O203" s="17"/>
    </row>
    <row r="204" spans="15:15" x14ac:dyDescent="0.2">
      <c r="O204" s="17"/>
    </row>
    <row r="205" spans="15:15" x14ac:dyDescent="0.2">
      <c r="O205" s="17"/>
    </row>
    <row r="206" spans="15:15" x14ac:dyDescent="0.2">
      <c r="O206" s="17"/>
    </row>
    <row r="207" spans="15:15" x14ac:dyDescent="0.2">
      <c r="O207" s="17"/>
    </row>
    <row r="208" spans="15:15" x14ac:dyDescent="0.2">
      <c r="O208" s="17"/>
    </row>
    <row r="209" spans="15:15" x14ac:dyDescent="0.2">
      <c r="O209" s="17"/>
    </row>
    <row r="210" spans="15:15" x14ac:dyDescent="0.2">
      <c r="O210" s="17"/>
    </row>
    <row r="211" spans="15:15" x14ac:dyDescent="0.2">
      <c r="O211" s="17"/>
    </row>
    <row r="212" spans="15:15" x14ac:dyDescent="0.2">
      <c r="O212" s="17"/>
    </row>
    <row r="213" spans="15:15" x14ac:dyDescent="0.2">
      <c r="O213" s="17"/>
    </row>
    <row r="214" spans="15:15" x14ac:dyDescent="0.2">
      <c r="O214" s="17"/>
    </row>
    <row r="215" spans="15:15" x14ac:dyDescent="0.2">
      <c r="O215" s="17"/>
    </row>
    <row r="216" spans="15:15" x14ac:dyDescent="0.2">
      <c r="O216" s="17"/>
    </row>
    <row r="217" spans="15:15" x14ac:dyDescent="0.2">
      <c r="O217" s="17"/>
    </row>
    <row r="218" spans="15:15" x14ac:dyDescent="0.2">
      <c r="O218" s="17"/>
    </row>
    <row r="219" spans="15:15" x14ac:dyDescent="0.2">
      <c r="O219" s="17"/>
    </row>
    <row r="220" spans="15:15" x14ac:dyDescent="0.2">
      <c r="O220" s="17"/>
    </row>
    <row r="221" spans="15:15" x14ac:dyDescent="0.2">
      <c r="O221" s="17"/>
    </row>
    <row r="222" spans="15:15" x14ac:dyDescent="0.2">
      <c r="O222" s="17"/>
    </row>
    <row r="223" spans="15:15" x14ac:dyDescent="0.2">
      <c r="O223" s="17"/>
    </row>
    <row r="224" spans="15:15" x14ac:dyDescent="0.2">
      <c r="O224" s="17"/>
    </row>
    <row r="225" spans="15:15" x14ac:dyDescent="0.2">
      <c r="O225" s="17"/>
    </row>
    <row r="226" spans="15:15" x14ac:dyDescent="0.2">
      <c r="O226" s="17"/>
    </row>
    <row r="227" spans="15:15" x14ac:dyDescent="0.2">
      <c r="O227" s="17"/>
    </row>
    <row r="228" spans="15:15" x14ac:dyDescent="0.2">
      <c r="O228" s="17"/>
    </row>
    <row r="229" spans="15:15" x14ac:dyDescent="0.2">
      <c r="O229" s="17"/>
    </row>
    <row r="230" spans="15:15" x14ac:dyDescent="0.2">
      <c r="O230" s="17"/>
    </row>
    <row r="231" spans="15:15" x14ac:dyDescent="0.2">
      <c r="O231" s="17"/>
    </row>
    <row r="232" spans="15:15" x14ac:dyDescent="0.2">
      <c r="O232" s="17"/>
    </row>
    <row r="233" spans="15:15" x14ac:dyDescent="0.2">
      <c r="O233" s="17"/>
    </row>
    <row r="234" spans="15:15" x14ac:dyDescent="0.2">
      <c r="O234" s="17"/>
    </row>
    <row r="235" spans="15:15" x14ac:dyDescent="0.2">
      <c r="O235" s="17"/>
    </row>
    <row r="236" spans="15:15" x14ac:dyDescent="0.2">
      <c r="O236" s="17"/>
    </row>
    <row r="237" spans="15:15" x14ac:dyDescent="0.2">
      <c r="O237" s="17"/>
    </row>
    <row r="238" spans="15:15" x14ac:dyDescent="0.2">
      <c r="O238" s="17"/>
    </row>
    <row r="239" spans="15:15" x14ac:dyDescent="0.2">
      <c r="O239" s="17"/>
    </row>
    <row r="240" spans="15:15" x14ac:dyDescent="0.2">
      <c r="O240" s="17"/>
    </row>
    <row r="241" spans="15:15" x14ac:dyDescent="0.2">
      <c r="O241" s="17"/>
    </row>
    <row r="242" spans="15:15" x14ac:dyDescent="0.2">
      <c r="O242" s="17"/>
    </row>
    <row r="243" spans="15:15" x14ac:dyDescent="0.2">
      <c r="O243" s="17"/>
    </row>
    <row r="244" spans="15:15" x14ac:dyDescent="0.2">
      <c r="O244" s="17"/>
    </row>
    <row r="245" spans="15:15" x14ac:dyDescent="0.2">
      <c r="O245" s="17"/>
    </row>
    <row r="246" spans="15:15" x14ac:dyDescent="0.2">
      <c r="O246" s="17"/>
    </row>
    <row r="247" spans="15:15" x14ac:dyDescent="0.2">
      <c r="O247" s="17"/>
    </row>
    <row r="248" spans="15:15" x14ac:dyDescent="0.2">
      <c r="O248" s="17"/>
    </row>
    <row r="249" spans="15:15" x14ac:dyDescent="0.2">
      <c r="O249" s="17"/>
    </row>
    <row r="250" spans="15:15" x14ac:dyDescent="0.2">
      <c r="O250" s="17"/>
    </row>
    <row r="251" spans="15:15" x14ac:dyDescent="0.2">
      <c r="O251" s="17"/>
    </row>
    <row r="252" spans="15:15" x14ac:dyDescent="0.2">
      <c r="O252" s="17"/>
    </row>
    <row r="253" spans="15:15" x14ac:dyDescent="0.2">
      <c r="O253" s="17"/>
    </row>
    <row r="254" spans="15:15" x14ac:dyDescent="0.2">
      <c r="O254" s="17"/>
    </row>
    <row r="255" spans="15:15" x14ac:dyDescent="0.2">
      <c r="O255" s="17"/>
    </row>
    <row r="256" spans="15:15" x14ac:dyDescent="0.2">
      <c r="O256" s="17"/>
    </row>
    <row r="257" spans="15:15" x14ac:dyDescent="0.2">
      <c r="O257" s="17"/>
    </row>
    <row r="258" spans="15:15" x14ac:dyDescent="0.2">
      <c r="O258" s="17"/>
    </row>
    <row r="259" spans="15:15" x14ac:dyDescent="0.2">
      <c r="O259" s="17"/>
    </row>
    <row r="260" spans="15:15" x14ac:dyDescent="0.2">
      <c r="O260" s="17"/>
    </row>
    <row r="261" spans="15:15" x14ac:dyDescent="0.2">
      <c r="O261" s="17"/>
    </row>
    <row r="262" spans="15:15" x14ac:dyDescent="0.2">
      <c r="O262" s="17"/>
    </row>
    <row r="263" spans="15:15" x14ac:dyDescent="0.2">
      <c r="O263" s="17"/>
    </row>
    <row r="264" spans="15:15" x14ac:dyDescent="0.2">
      <c r="O264" s="17"/>
    </row>
    <row r="265" spans="15:15" x14ac:dyDescent="0.2">
      <c r="O265" s="17"/>
    </row>
    <row r="266" spans="15:15" x14ac:dyDescent="0.2">
      <c r="O266" s="17"/>
    </row>
    <row r="267" spans="15:15" x14ac:dyDescent="0.2">
      <c r="O267" s="17"/>
    </row>
    <row r="268" spans="15:15" x14ac:dyDescent="0.2">
      <c r="O268" s="17"/>
    </row>
    <row r="269" spans="15:15" x14ac:dyDescent="0.2">
      <c r="O269" s="17"/>
    </row>
    <row r="270" spans="15:15" x14ac:dyDescent="0.2">
      <c r="O270" s="17"/>
    </row>
    <row r="271" spans="15:15" x14ac:dyDescent="0.2">
      <c r="O271" s="17"/>
    </row>
    <row r="272" spans="15:15" x14ac:dyDescent="0.2">
      <c r="O272" s="17"/>
    </row>
    <row r="273" spans="15:15" x14ac:dyDescent="0.2">
      <c r="O273" s="17"/>
    </row>
    <row r="274" spans="15:15" x14ac:dyDescent="0.2">
      <c r="O274" s="17"/>
    </row>
    <row r="275" spans="15:15" x14ac:dyDescent="0.2">
      <c r="O275" s="17"/>
    </row>
    <row r="276" spans="15:15" x14ac:dyDescent="0.2">
      <c r="O276" s="17"/>
    </row>
    <row r="277" spans="15:15" x14ac:dyDescent="0.2">
      <c r="O277" s="17"/>
    </row>
    <row r="278" spans="15:15" x14ac:dyDescent="0.2">
      <c r="O278" s="17"/>
    </row>
    <row r="279" spans="15:15" x14ac:dyDescent="0.2">
      <c r="O279" s="17"/>
    </row>
    <row r="280" spans="15:15" x14ac:dyDescent="0.2">
      <c r="O280" s="17"/>
    </row>
    <row r="281" spans="15:15" x14ac:dyDescent="0.2">
      <c r="O281" s="17"/>
    </row>
    <row r="282" spans="15:15" x14ac:dyDescent="0.2">
      <c r="O282" s="17"/>
    </row>
    <row r="283" spans="15:15" x14ac:dyDescent="0.2">
      <c r="O283" s="17"/>
    </row>
    <row r="284" spans="15:15" x14ac:dyDescent="0.2">
      <c r="O284" s="17"/>
    </row>
    <row r="285" spans="15:15" x14ac:dyDescent="0.2">
      <c r="O285" s="17"/>
    </row>
    <row r="286" spans="15:15" x14ac:dyDescent="0.2">
      <c r="O286" s="17"/>
    </row>
    <row r="287" spans="15:15" x14ac:dyDescent="0.2">
      <c r="O287" s="17"/>
    </row>
    <row r="288" spans="15:15" x14ac:dyDescent="0.2">
      <c r="O288" s="17"/>
    </row>
    <row r="289" spans="15:15" x14ac:dyDescent="0.2">
      <c r="O289" s="17"/>
    </row>
    <row r="290" spans="15:15" x14ac:dyDescent="0.2">
      <c r="O290" s="17"/>
    </row>
    <row r="291" spans="15:15" x14ac:dyDescent="0.2">
      <c r="O291" s="17"/>
    </row>
    <row r="292" spans="15:15" x14ac:dyDescent="0.2">
      <c r="O292" s="17"/>
    </row>
    <row r="293" spans="15:15" x14ac:dyDescent="0.2">
      <c r="O293" s="17"/>
    </row>
    <row r="294" spans="15:15" x14ac:dyDescent="0.2">
      <c r="O294" s="17"/>
    </row>
    <row r="295" spans="15:15" x14ac:dyDescent="0.2">
      <c r="O295" s="17"/>
    </row>
    <row r="296" spans="15:15" x14ac:dyDescent="0.2">
      <c r="O296" s="17"/>
    </row>
    <row r="297" spans="15:15" x14ac:dyDescent="0.2">
      <c r="O297" s="17"/>
    </row>
    <row r="298" spans="15:15" x14ac:dyDescent="0.2">
      <c r="O298" s="17"/>
    </row>
    <row r="299" spans="15:15" x14ac:dyDescent="0.2">
      <c r="O299" s="17"/>
    </row>
    <row r="300" spans="15:15" x14ac:dyDescent="0.2">
      <c r="O300" s="17"/>
    </row>
    <row r="301" spans="15:15" x14ac:dyDescent="0.2">
      <c r="O301" s="17"/>
    </row>
    <row r="302" spans="15:15" x14ac:dyDescent="0.2">
      <c r="O302" s="17"/>
    </row>
    <row r="303" spans="15:15" x14ac:dyDescent="0.2">
      <c r="O303" s="17"/>
    </row>
    <row r="304" spans="15:15" x14ac:dyDescent="0.2">
      <c r="O304" s="17"/>
    </row>
    <row r="305" spans="15:15" x14ac:dyDescent="0.2">
      <c r="O305" s="17"/>
    </row>
    <row r="306" spans="15:15" x14ac:dyDescent="0.2">
      <c r="O306" s="17"/>
    </row>
    <row r="307" spans="15:15" x14ac:dyDescent="0.2">
      <c r="O307" s="17"/>
    </row>
    <row r="308" spans="15:15" x14ac:dyDescent="0.2">
      <c r="O308" s="17"/>
    </row>
    <row r="309" spans="15:15" x14ac:dyDescent="0.2">
      <c r="O309" s="17"/>
    </row>
    <row r="310" spans="15:15" x14ac:dyDescent="0.2">
      <c r="O310" s="17"/>
    </row>
    <row r="311" spans="15:15" x14ac:dyDescent="0.2">
      <c r="O311" s="17"/>
    </row>
    <row r="312" spans="15:15" x14ac:dyDescent="0.2">
      <c r="O312" s="17"/>
    </row>
    <row r="313" spans="15:15" x14ac:dyDescent="0.2">
      <c r="O313" s="17"/>
    </row>
    <row r="314" spans="15:15" x14ac:dyDescent="0.2">
      <c r="O314" s="17"/>
    </row>
    <row r="315" spans="15:15" x14ac:dyDescent="0.2">
      <c r="O315" s="17"/>
    </row>
    <row r="316" spans="15:15" x14ac:dyDescent="0.2">
      <c r="O316" s="17"/>
    </row>
    <row r="317" spans="15:15" x14ac:dyDescent="0.2">
      <c r="O317" s="17"/>
    </row>
    <row r="318" spans="15:15" x14ac:dyDescent="0.2">
      <c r="O318" s="17"/>
    </row>
    <row r="319" spans="15:15" x14ac:dyDescent="0.2">
      <c r="O319" s="17"/>
    </row>
    <row r="320" spans="15:15" x14ac:dyDescent="0.2">
      <c r="O320" s="17"/>
    </row>
    <row r="321" spans="15:15" x14ac:dyDescent="0.2">
      <c r="O321" s="17"/>
    </row>
    <row r="322" spans="15:15" x14ac:dyDescent="0.2">
      <c r="O322" s="17"/>
    </row>
    <row r="323" spans="15:15" x14ac:dyDescent="0.2">
      <c r="O323" s="17"/>
    </row>
    <row r="324" spans="15:15" x14ac:dyDescent="0.2">
      <c r="O324" s="17"/>
    </row>
    <row r="325" spans="15:15" x14ac:dyDescent="0.2">
      <c r="O325" s="17"/>
    </row>
    <row r="326" spans="15:15" x14ac:dyDescent="0.2">
      <c r="O326" s="17"/>
    </row>
    <row r="327" spans="15:15" x14ac:dyDescent="0.2">
      <c r="O327" s="17"/>
    </row>
    <row r="328" spans="15:15" x14ac:dyDescent="0.2">
      <c r="O328" s="17"/>
    </row>
    <row r="329" spans="15:15" x14ac:dyDescent="0.2">
      <c r="O329" s="17"/>
    </row>
    <row r="330" spans="15:15" x14ac:dyDescent="0.2">
      <c r="O330" s="17"/>
    </row>
    <row r="331" spans="15:15" x14ac:dyDescent="0.2">
      <c r="O331" s="17"/>
    </row>
    <row r="332" spans="15:15" x14ac:dyDescent="0.2">
      <c r="O332" s="17"/>
    </row>
    <row r="333" spans="15:15" x14ac:dyDescent="0.2">
      <c r="O333" s="17"/>
    </row>
    <row r="334" spans="15:15" x14ac:dyDescent="0.2">
      <c r="O334" s="17"/>
    </row>
    <row r="335" spans="15:15" x14ac:dyDescent="0.2">
      <c r="O335" s="17"/>
    </row>
    <row r="336" spans="15:15" x14ac:dyDescent="0.2">
      <c r="O336" s="17"/>
    </row>
    <row r="337" spans="15:15" x14ac:dyDescent="0.2">
      <c r="O337" s="17"/>
    </row>
    <row r="338" spans="15:15" x14ac:dyDescent="0.2">
      <c r="O338" s="17"/>
    </row>
    <row r="339" spans="15:15" x14ac:dyDescent="0.2">
      <c r="O339" s="17"/>
    </row>
    <row r="340" spans="15:15" x14ac:dyDescent="0.2">
      <c r="O340" s="17"/>
    </row>
    <row r="341" spans="15:15" x14ac:dyDescent="0.2">
      <c r="O341" s="17"/>
    </row>
    <row r="342" spans="15:15" x14ac:dyDescent="0.2">
      <c r="O342" s="17"/>
    </row>
    <row r="343" spans="15:15" x14ac:dyDescent="0.2">
      <c r="O343" s="17"/>
    </row>
    <row r="344" spans="15:15" x14ac:dyDescent="0.2">
      <c r="O344" s="17"/>
    </row>
    <row r="345" spans="15:15" x14ac:dyDescent="0.2">
      <c r="O345" s="17"/>
    </row>
    <row r="346" spans="15:15" x14ac:dyDescent="0.2">
      <c r="O346" s="17"/>
    </row>
    <row r="347" spans="15:15" x14ac:dyDescent="0.2">
      <c r="O347" s="17"/>
    </row>
    <row r="348" spans="15:15" x14ac:dyDescent="0.2">
      <c r="O348" s="17"/>
    </row>
    <row r="349" spans="15:15" x14ac:dyDescent="0.2">
      <c r="O349" s="17"/>
    </row>
    <row r="350" spans="15:15" x14ac:dyDescent="0.2">
      <c r="O350" s="17"/>
    </row>
    <row r="351" spans="15:15" x14ac:dyDescent="0.2">
      <c r="O351" s="17"/>
    </row>
    <row r="352" spans="15:15" x14ac:dyDescent="0.2">
      <c r="O352" s="17"/>
    </row>
    <row r="353" spans="15:15" x14ac:dyDescent="0.2">
      <c r="O353" s="17"/>
    </row>
    <row r="354" spans="15:15" x14ac:dyDescent="0.2">
      <c r="O354" s="17"/>
    </row>
    <row r="355" spans="15:15" x14ac:dyDescent="0.2">
      <c r="O355" s="17"/>
    </row>
    <row r="356" spans="15:15" x14ac:dyDescent="0.2">
      <c r="O356" s="17"/>
    </row>
    <row r="357" spans="15:15" x14ac:dyDescent="0.2">
      <c r="O357" s="17"/>
    </row>
    <row r="358" spans="15:15" x14ac:dyDescent="0.2">
      <c r="O358" s="17"/>
    </row>
    <row r="359" spans="15:15" x14ac:dyDescent="0.2">
      <c r="O359" s="17"/>
    </row>
    <row r="360" spans="15:15" x14ac:dyDescent="0.2">
      <c r="O360" s="17"/>
    </row>
    <row r="361" spans="15:15" x14ac:dyDescent="0.2">
      <c r="O361" s="17"/>
    </row>
    <row r="362" spans="15:15" x14ac:dyDescent="0.2">
      <c r="O362" s="17"/>
    </row>
    <row r="363" spans="15:15" x14ac:dyDescent="0.2">
      <c r="O363" s="17"/>
    </row>
    <row r="364" spans="15:15" x14ac:dyDescent="0.2">
      <c r="O364" s="17"/>
    </row>
    <row r="365" spans="15:15" x14ac:dyDescent="0.2">
      <c r="O365" s="17"/>
    </row>
    <row r="366" spans="15:15" x14ac:dyDescent="0.2">
      <c r="O366" s="17"/>
    </row>
    <row r="367" spans="15:15" x14ac:dyDescent="0.2">
      <c r="O367" s="17"/>
    </row>
    <row r="368" spans="15:15" x14ac:dyDescent="0.2">
      <c r="O368" s="17"/>
    </row>
    <row r="369" spans="15:15" x14ac:dyDescent="0.2">
      <c r="O369" s="17"/>
    </row>
    <row r="370" spans="15:15" x14ac:dyDescent="0.2">
      <c r="O370" s="17"/>
    </row>
    <row r="371" spans="15:15" x14ac:dyDescent="0.2">
      <c r="O371" s="17"/>
    </row>
    <row r="372" spans="15:15" x14ac:dyDescent="0.2">
      <c r="O372" s="17"/>
    </row>
    <row r="373" spans="15:15" x14ac:dyDescent="0.2">
      <c r="O373" s="17"/>
    </row>
    <row r="374" spans="15:15" x14ac:dyDescent="0.2">
      <c r="O374" s="17"/>
    </row>
    <row r="375" spans="15:15" x14ac:dyDescent="0.2">
      <c r="O375" s="17"/>
    </row>
    <row r="376" spans="15:15" x14ac:dyDescent="0.2">
      <c r="O376" s="17"/>
    </row>
    <row r="377" spans="15:15" x14ac:dyDescent="0.2">
      <c r="O377" s="17"/>
    </row>
    <row r="378" spans="15:15" x14ac:dyDescent="0.2">
      <c r="O378" s="17"/>
    </row>
    <row r="379" spans="15:15" x14ac:dyDescent="0.2">
      <c r="O379" s="17"/>
    </row>
    <row r="380" spans="15:15" x14ac:dyDescent="0.2">
      <c r="O380" s="17"/>
    </row>
    <row r="381" spans="15:15" x14ac:dyDescent="0.2">
      <c r="O381" s="17"/>
    </row>
    <row r="382" spans="15:15" x14ac:dyDescent="0.2">
      <c r="O382" s="17"/>
    </row>
    <row r="383" spans="15:15" x14ac:dyDescent="0.2">
      <c r="O383" s="17"/>
    </row>
    <row r="384" spans="15:15" x14ac:dyDescent="0.2">
      <c r="O384" s="17"/>
    </row>
    <row r="385" spans="15:15" x14ac:dyDescent="0.2">
      <c r="O385" s="17"/>
    </row>
    <row r="386" spans="15:15" x14ac:dyDescent="0.2">
      <c r="O386" s="17"/>
    </row>
    <row r="387" spans="15:15" x14ac:dyDescent="0.2">
      <c r="O387" s="17"/>
    </row>
    <row r="388" spans="15:15" x14ac:dyDescent="0.2">
      <c r="O388" s="17"/>
    </row>
    <row r="389" spans="15:15" x14ac:dyDescent="0.2">
      <c r="O389" s="17"/>
    </row>
    <row r="390" spans="15:15" x14ac:dyDescent="0.2">
      <c r="O390" s="17"/>
    </row>
    <row r="391" spans="15:15" x14ac:dyDescent="0.2">
      <c r="O391" s="17"/>
    </row>
    <row r="392" spans="15:15" x14ac:dyDescent="0.2">
      <c r="O392" s="17"/>
    </row>
    <row r="393" spans="15:15" x14ac:dyDescent="0.2">
      <c r="O393" s="17"/>
    </row>
    <row r="394" spans="15:15" x14ac:dyDescent="0.2">
      <c r="O394" s="17"/>
    </row>
    <row r="395" spans="15:15" x14ac:dyDescent="0.2">
      <c r="O395" s="17"/>
    </row>
    <row r="396" spans="15:15" x14ac:dyDescent="0.2">
      <c r="O396" s="17"/>
    </row>
    <row r="397" spans="15:15" x14ac:dyDescent="0.2">
      <c r="O397" s="17"/>
    </row>
    <row r="398" spans="15:15" x14ac:dyDescent="0.2">
      <c r="O398" s="17"/>
    </row>
    <row r="399" spans="15:15" x14ac:dyDescent="0.2">
      <c r="O399" s="17"/>
    </row>
    <row r="400" spans="15:15" x14ac:dyDescent="0.2">
      <c r="O400" s="17"/>
    </row>
    <row r="401" spans="15:15" x14ac:dyDescent="0.2">
      <c r="O401" s="17"/>
    </row>
    <row r="402" spans="15:15" x14ac:dyDescent="0.2">
      <c r="O402" s="17"/>
    </row>
    <row r="403" spans="15:15" x14ac:dyDescent="0.2">
      <c r="O403" s="17"/>
    </row>
    <row r="404" spans="15:15" x14ac:dyDescent="0.2">
      <c r="O404" s="17"/>
    </row>
    <row r="405" spans="15:15" x14ac:dyDescent="0.2">
      <c r="O405" s="17"/>
    </row>
    <row r="406" spans="15:15" x14ac:dyDescent="0.2">
      <c r="O406" s="17"/>
    </row>
    <row r="407" spans="15:15" x14ac:dyDescent="0.2">
      <c r="O407" s="17"/>
    </row>
    <row r="408" spans="15:15" x14ac:dyDescent="0.2">
      <c r="O408" s="17"/>
    </row>
    <row r="409" spans="15:15" x14ac:dyDescent="0.2">
      <c r="O409" s="17"/>
    </row>
    <row r="410" spans="15:15" x14ac:dyDescent="0.2">
      <c r="O410" s="17"/>
    </row>
    <row r="411" spans="15:15" x14ac:dyDescent="0.2">
      <c r="O411" s="17"/>
    </row>
    <row r="412" spans="15:15" x14ac:dyDescent="0.2">
      <c r="O412" s="17"/>
    </row>
    <row r="413" spans="15:15" x14ac:dyDescent="0.2">
      <c r="O413" s="17"/>
    </row>
    <row r="414" spans="15:15" x14ac:dyDescent="0.2">
      <c r="O414" s="17"/>
    </row>
    <row r="415" spans="15:15" x14ac:dyDescent="0.2">
      <c r="O415" s="17"/>
    </row>
    <row r="416" spans="15:15" x14ac:dyDescent="0.2">
      <c r="O416" s="17"/>
    </row>
    <row r="417" spans="15:15" x14ac:dyDescent="0.2">
      <c r="O417" s="17"/>
    </row>
    <row r="418" spans="15:15" x14ac:dyDescent="0.2">
      <c r="O418" s="17"/>
    </row>
    <row r="419" spans="15:15" x14ac:dyDescent="0.2">
      <c r="O419" s="17"/>
    </row>
    <row r="420" spans="15:15" x14ac:dyDescent="0.2">
      <c r="O420" s="17"/>
    </row>
    <row r="421" spans="15:15" x14ac:dyDescent="0.2">
      <c r="O421" s="17"/>
    </row>
    <row r="422" spans="15:15" x14ac:dyDescent="0.2">
      <c r="O422" s="17"/>
    </row>
    <row r="423" spans="15:15" x14ac:dyDescent="0.2">
      <c r="O423" s="17"/>
    </row>
    <row r="424" spans="15:15" x14ac:dyDescent="0.2">
      <c r="O424" s="17"/>
    </row>
    <row r="425" spans="15:15" x14ac:dyDescent="0.2">
      <c r="O425" s="17"/>
    </row>
    <row r="426" spans="15:15" x14ac:dyDescent="0.2">
      <c r="O426" s="17"/>
    </row>
    <row r="427" spans="15:15" x14ac:dyDescent="0.2">
      <c r="O427" s="17"/>
    </row>
    <row r="428" spans="15:15" x14ac:dyDescent="0.2">
      <c r="O428" s="17"/>
    </row>
    <row r="429" spans="15:15" x14ac:dyDescent="0.2">
      <c r="O429" s="17"/>
    </row>
    <row r="430" spans="15:15" x14ac:dyDescent="0.2">
      <c r="O430" s="17"/>
    </row>
    <row r="431" spans="15:15" x14ac:dyDescent="0.2">
      <c r="O431" s="17"/>
    </row>
    <row r="432" spans="15:15" x14ac:dyDescent="0.2">
      <c r="O432" s="17"/>
    </row>
    <row r="433" spans="15:15" x14ac:dyDescent="0.2">
      <c r="O433" s="17"/>
    </row>
    <row r="434" spans="15:15" x14ac:dyDescent="0.2">
      <c r="O434" s="17"/>
    </row>
    <row r="435" spans="15:15" x14ac:dyDescent="0.2">
      <c r="O435" s="17"/>
    </row>
    <row r="436" spans="15:15" x14ac:dyDescent="0.2">
      <c r="O436" s="17"/>
    </row>
    <row r="437" spans="15:15" x14ac:dyDescent="0.2">
      <c r="O437" s="17"/>
    </row>
    <row r="438" spans="15:15" x14ac:dyDescent="0.2">
      <c r="O438" s="17"/>
    </row>
    <row r="439" spans="15:15" x14ac:dyDescent="0.2">
      <c r="O439" s="17"/>
    </row>
    <row r="440" spans="15:15" x14ac:dyDescent="0.2">
      <c r="O440" s="17"/>
    </row>
    <row r="441" spans="15:15" x14ac:dyDescent="0.2">
      <c r="O441" s="17"/>
    </row>
    <row r="442" spans="15:15" x14ac:dyDescent="0.2">
      <c r="O442" s="17"/>
    </row>
    <row r="443" spans="15:15" x14ac:dyDescent="0.2">
      <c r="O443" s="17"/>
    </row>
    <row r="444" spans="15:15" x14ac:dyDescent="0.2">
      <c r="O444" s="17"/>
    </row>
    <row r="445" spans="15:15" x14ac:dyDescent="0.2">
      <c r="O445" s="17"/>
    </row>
    <row r="446" spans="15:15" x14ac:dyDescent="0.2">
      <c r="O446" s="17"/>
    </row>
    <row r="447" spans="15:15" x14ac:dyDescent="0.2">
      <c r="O447" s="17"/>
    </row>
    <row r="448" spans="15:15" x14ac:dyDescent="0.2">
      <c r="O448" s="17"/>
    </row>
    <row r="449" spans="15:15" x14ac:dyDescent="0.2">
      <c r="O449" s="17"/>
    </row>
    <row r="450" spans="15:15" x14ac:dyDescent="0.2">
      <c r="O450" s="17"/>
    </row>
    <row r="451" spans="15:15" x14ac:dyDescent="0.2">
      <c r="O451" s="17"/>
    </row>
    <row r="452" spans="15:15" x14ac:dyDescent="0.2">
      <c r="O452" s="17"/>
    </row>
    <row r="453" spans="15:15" x14ac:dyDescent="0.2">
      <c r="O453" s="17"/>
    </row>
    <row r="454" spans="15:15" x14ac:dyDescent="0.2">
      <c r="O454" s="17"/>
    </row>
    <row r="455" spans="15:15" x14ac:dyDescent="0.2">
      <c r="O455" s="17"/>
    </row>
    <row r="456" spans="15:15" x14ac:dyDescent="0.2">
      <c r="O456" s="17"/>
    </row>
    <row r="457" spans="15:15" x14ac:dyDescent="0.2">
      <c r="O457" s="17"/>
    </row>
    <row r="458" spans="15:15" x14ac:dyDescent="0.2">
      <c r="O458" s="17"/>
    </row>
    <row r="459" spans="15:15" x14ac:dyDescent="0.2">
      <c r="O459" s="17"/>
    </row>
    <row r="460" spans="15:15" x14ac:dyDescent="0.2">
      <c r="O460" s="17"/>
    </row>
    <row r="461" spans="15:15" x14ac:dyDescent="0.2">
      <c r="O461" s="17"/>
    </row>
    <row r="462" spans="15:15" x14ac:dyDescent="0.2">
      <c r="O462" s="17"/>
    </row>
    <row r="463" spans="15:15" x14ac:dyDescent="0.2">
      <c r="O463" s="17"/>
    </row>
    <row r="464" spans="15:15" x14ac:dyDescent="0.2">
      <c r="O464" s="17"/>
    </row>
    <row r="465" spans="15:15" x14ac:dyDescent="0.2">
      <c r="O465" s="17"/>
    </row>
    <row r="466" spans="15:15" x14ac:dyDescent="0.2">
      <c r="O466" s="17"/>
    </row>
    <row r="467" spans="15:15" x14ac:dyDescent="0.2">
      <c r="O467" s="17"/>
    </row>
    <row r="468" spans="15:15" x14ac:dyDescent="0.2">
      <c r="O468" s="17"/>
    </row>
    <row r="469" spans="15:15" x14ac:dyDescent="0.2">
      <c r="O469" s="17"/>
    </row>
    <row r="470" spans="15:15" x14ac:dyDescent="0.2">
      <c r="O470" s="17"/>
    </row>
    <row r="471" spans="15:15" x14ac:dyDescent="0.2">
      <c r="O471" s="17"/>
    </row>
    <row r="472" spans="15:15" x14ac:dyDescent="0.2">
      <c r="O472" s="17"/>
    </row>
    <row r="473" spans="15:15" x14ac:dyDescent="0.2">
      <c r="O473" s="17"/>
    </row>
    <row r="474" spans="15:15" x14ac:dyDescent="0.2">
      <c r="O474" s="17"/>
    </row>
    <row r="475" spans="15:15" x14ac:dyDescent="0.2">
      <c r="O475" s="17"/>
    </row>
    <row r="476" spans="15:15" x14ac:dyDescent="0.2">
      <c r="O476" s="17"/>
    </row>
    <row r="477" spans="15:15" x14ac:dyDescent="0.2">
      <c r="O477" s="17"/>
    </row>
    <row r="478" spans="15:15" x14ac:dyDescent="0.2">
      <c r="O478" s="17"/>
    </row>
    <row r="479" spans="15:15" x14ac:dyDescent="0.2">
      <c r="O479" s="17"/>
    </row>
    <row r="480" spans="15:15" x14ac:dyDescent="0.2">
      <c r="O480" s="17"/>
    </row>
    <row r="481" spans="15:15" x14ac:dyDescent="0.2">
      <c r="O481" s="17"/>
    </row>
    <row r="482" spans="15:15" x14ac:dyDescent="0.2">
      <c r="O482" s="17"/>
    </row>
    <row r="483" spans="15:15" x14ac:dyDescent="0.2">
      <c r="O483" s="17"/>
    </row>
    <row r="484" spans="15:15" x14ac:dyDescent="0.2">
      <c r="O484" s="17"/>
    </row>
    <row r="485" spans="15:15" x14ac:dyDescent="0.2">
      <c r="O485" s="17"/>
    </row>
    <row r="486" spans="15:15" x14ac:dyDescent="0.2">
      <c r="O486" s="17"/>
    </row>
    <row r="487" spans="15:15" x14ac:dyDescent="0.2">
      <c r="O487" s="17"/>
    </row>
    <row r="488" spans="15:15" x14ac:dyDescent="0.2">
      <c r="O488" s="17"/>
    </row>
    <row r="489" spans="15:15" x14ac:dyDescent="0.2">
      <c r="O489" s="17"/>
    </row>
    <row r="490" spans="15:15" x14ac:dyDescent="0.2">
      <c r="O490" s="17"/>
    </row>
    <row r="491" spans="15:15" x14ac:dyDescent="0.2">
      <c r="O491" s="17"/>
    </row>
    <row r="492" spans="15:15" x14ac:dyDescent="0.2">
      <c r="O492" s="17"/>
    </row>
    <row r="493" spans="15:15" x14ac:dyDescent="0.2">
      <c r="O493" s="17"/>
    </row>
    <row r="494" spans="15:15" x14ac:dyDescent="0.2">
      <c r="O494" s="17"/>
    </row>
    <row r="495" spans="15:15" x14ac:dyDescent="0.2">
      <c r="O495" s="17"/>
    </row>
    <row r="496" spans="15:15" x14ac:dyDescent="0.2">
      <c r="O496" s="17"/>
    </row>
    <row r="497" spans="15:15" x14ac:dyDescent="0.2">
      <c r="O497" s="17"/>
    </row>
    <row r="498" spans="15:15" x14ac:dyDescent="0.2">
      <c r="O498" s="17"/>
    </row>
    <row r="499" spans="15:15" x14ac:dyDescent="0.2">
      <c r="O499" s="17"/>
    </row>
    <row r="500" spans="15:15" x14ac:dyDescent="0.2">
      <c r="O500" s="17"/>
    </row>
    <row r="501" spans="15:15" x14ac:dyDescent="0.2">
      <c r="O501" s="17"/>
    </row>
    <row r="502" spans="15:15" x14ac:dyDescent="0.2">
      <c r="O502" s="17"/>
    </row>
    <row r="503" spans="15:15" x14ac:dyDescent="0.2">
      <c r="O503" s="17"/>
    </row>
    <row r="504" spans="15:15" x14ac:dyDescent="0.2">
      <c r="O504" s="17"/>
    </row>
    <row r="505" spans="15:15" x14ac:dyDescent="0.2">
      <c r="O505" s="17"/>
    </row>
    <row r="506" spans="15:15" x14ac:dyDescent="0.2">
      <c r="O506" s="17"/>
    </row>
    <row r="507" spans="15:15" x14ac:dyDescent="0.2">
      <c r="O507" s="17"/>
    </row>
    <row r="508" spans="15:15" x14ac:dyDescent="0.2">
      <c r="O508" s="17"/>
    </row>
    <row r="509" spans="15:15" x14ac:dyDescent="0.2">
      <c r="O509" s="17"/>
    </row>
    <row r="510" spans="15:15" x14ac:dyDescent="0.2">
      <c r="O510" s="17"/>
    </row>
    <row r="511" spans="15:15" x14ac:dyDescent="0.2">
      <c r="O511" s="17"/>
    </row>
    <row r="512" spans="15:15" x14ac:dyDescent="0.2">
      <c r="O512" s="17"/>
    </row>
    <row r="513" spans="15:15" x14ac:dyDescent="0.2">
      <c r="O513" s="17"/>
    </row>
    <row r="514" spans="15:15" x14ac:dyDescent="0.2">
      <c r="O514" s="17"/>
    </row>
    <row r="515" spans="15:15" x14ac:dyDescent="0.2">
      <c r="O515" s="17"/>
    </row>
    <row r="516" spans="15:15" x14ac:dyDescent="0.2">
      <c r="O516" s="17"/>
    </row>
    <row r="517" spans="15:15" x14ac:dyDescent="0.2">
      <c r="O517" s="17"/>
    </row>
    <row r="518" spans="15:15" x14ac:dyDescent="0.2">
      <c r="O518" s="17"/>
    </row>
    <row r="519" spans="15:15" x14ac:dyDescent="0.2">
      <c r="O519" s="17"/>
    </row>
    <row r="520" spans="15:15" x14ac:dyDescent="0.2">
      <c r="O520" s="17"/>
    </row>
    <row r="521" spans="15:15" x14ac:dyDescent="0.2">
      <c r="O521" s="17"/>
    </row>
    <row r="522" spans="15:15" x14ac:dyDescent="0.2">
      <c r="O522" s="17"/>
    </row>
    <row r="523" spans="15:15" x14ac:dyDescent="0.2">
      <c r="O523" s="17"/>
    </row>
    <row r="524" spans="15:15" x14ac:dyDescent="0.2">
      <c r="O524" s="17"/>
    </row>
    <row r="525" spans="15:15" x14ac:dyDescent="0.2">
      <c r="O525" s="17"/>
    </row>
    <row r="526" spans="15:15" x14ac:dyDescent="0.2">
      <c r="O526" s="17"/>
    </row>
    <row r="527" spans="15:15" x14ac:dyDescent="0.2">
      <c r="O527" s="17"/>
    </row>
    <row r="528" spans="15:15" x14ac:dyDescent="0.2">
      <c r="O528" s="17"/>
    </row>
    <row r="529" spans="15:15" x14ac:dyDescent="0.2">
      <c r="O529" s="17"/>
    </row>
    <row r="530" spans="15:15" x14ac:dyDescent="0.2">
      <c r="O530" s="17"/>
    </row>
    <row r="531" spans="15:15" x14ac:dyDescent="0.2">
      <c r="O531" s="17"/>
    </row>
    <row r="532" spans="15:15" x14ac:dyDescent="0.2">
      <c r="O532" s="17"/>
    </row>
    <row r="533" spans="15:15" x14ac:dyDescent="0.2">
      <c r="O533" s="17"/>
    </row>
    <row r="534" spans="15:15" x14ac:dyDescent="0.2">
      <c r="O534" s="17"/>
    </row>
    <row r="535" spans="15:15" x14ac:dyDescent="0.2">
      <c r="O535" s="17"/>
    </row>
    <row r="536" spans="15:15" x14ac:dyDescent="0.2">
      <c r="O536" s="17"/>
    </row>
    <row r="537" spans="15:15" x14ac:dyDescent="0.2">
      <c r="O537" s="17"/>
    </row>
    <row r="538" spans="15:15" x14ac:dyDescent="0.2">
      <c r="O538" s="17"/>
    </row>
    <row r="539" spans="15:15" x14ac:dyDescent="0.2">
      <c r="O539" s="17"/>
    </row>
    <row r="540" spans="15:15" x14ac:dyDescent="0.2">
      <c r="O540" s="17"/>
    </row>
    <row r="541" spans="15:15" x14ac:dyDescent="0.2">
      <c r="O541" s="17"/>
    </row>
    <row r="542" spans="15:15" x14ac:dyDescent="0.2">
      <c r="O542" s="17"/>
    </row>
    <row r="543" spans="15:15" x14ac:dyDescent="0.2">
      <c r="O543" s="17"/>
    </row>
    <row r="544" spans="15:15" x14ac:dyDescent="0.2">
      <c r="O544" s="17"/>
    </row>
    <row r="545" spans="15:15" x14ac:dyDescent="0.2">
      <c r="O545" s="17"/>
    </row>
    <row r="546" spans="15:15" x14ac:dyDescent="0.2">
      <c r="O546" s="17"/>
    </row>
    <row r="547" spans="15:15" x14ac:dyDescent="0.2">
      <c r="O547" s="17"/>
    </row>
    <row r="548" spans="15:15" x14ac:dyDescent="0.2">
      <c r="O548" s="17"/>
    </row>
    <row r="549" spans="15:15" x14ac:dyDescent="0.2">
      <c r="O549" s="17"/>
    </row>
    <row r="550" spans="15:15" x14ac:dyDescent="0.2">
      <c r="O550" s="17"/>
    </row>
    <row r="551" spans="15:15" x14ac:dyDescent="0.2">
      <c r="O551" s="17"/>
    </row>
    <row r="552" spans="15:15" x14ac:dyDescent="0.2">
      <c r="O552" s="17"/>
    </row>
    <row r="553" spans="15:15" x14ac:dyDescent="0.2">
      <c r="O553" s="17"/>
    </row>
    <row r="554" spans="15:15" x14ac:dyDescent="0.2">
      <c r="O554" s="17"/>
    </row>
    <row r="555" spans="15:15" x14ac:dyDescent="0.2">
      <c r="O555" s="17"/>
    </row>
    <row r="556" spans="15:15" x14ac:dyDescent="0.2">
      <c r="O556" s="17"/>
    </row>
    <row r="557" spans="15:15" x14ac:dyDescent="0.2">
      <c r="O557" s="17"/>
    </row>
    <row r="558" spans="15:15" x14ac:dyDescent="0.2">
      <c r="O558" s="17"/>
    </row>
    <row r="559" spans="15:15" x14ac:dyDescent="0.2">
      <c r="O559" s="17"/>
    </row>
    <row r="560" spans="15:15" x14ac:dyDescent="0.2">
      <c r="O560" s="17"/>
    </row>
    <row r="561" spans="15:15" x14ac:dyDescent="0.2">
      <c r="O561" s="17"/>
    </row>
    <row r="562" spans="15:15" x14ac:dyDescent="0.2">
      <c r="O562" s="17"/>
    </row>
    <row r="563" spans="15:15" x14ac:dyDescent="0.2">
      <c r="O563" s="17"/>
    </row>
    <row r="564" spans="15:15" x14ac:dyDescent="0.2">
      <c r="O564" s="17"/>
    </row>
    <row r="565" spans="15:15" x14ac:dyDescent="0.2">
      <c r="O565" s="17"/>
    </row>
    <row r="566" spans="15:15" x14ac:dyDescent="0.2">
      <c r="O566" s="17"/>
    </row>
    <row r="567" spans="15:15" x14ac:dyDescent="0.2">
      <c r="O567" s="17"/>
    </row>
    <row r="568" spans="15:15" x14ac:dyDescent="0.2">
      <c r="O568" s="17"/>
    </row>
    <row r="569" spans="15:15" x14ac:dyDescent="0.2">
      <c r="O569" s="17"/>
    </row>
    <row r="570" spans="15:15" x14ac:dyDescent="0.2">
      <c r="O570" s="17"/>
    </row>
    <row r="571" spans="15:15" x14ac:dyDescent="0.2">
      <c r="O571" s="17"/>
    </row>
    <row r="572" spans="15:15" x14ac:dyDescent="0.2">
      <c r="O572" s="17"/>
    </row>
    <row r="573" spans="15:15" x14ac:dyDescent="0.2">
      <c r="O573" s="17"/>
    </row>
    <row r="574" spans="15:15" x14ac:dyDescent="0.2">
      <c r="O574" s="17"/>
    </row>
    <row r="575" spans="15:15" x14ac:dyDescent="0.2">
      <c r="O575" s="17"/>
    </row>
    <row r="576" spans="15:15" x14ac:dyDescent="0.2">
      <c r="O576" s="17"/>
    </row>
    <row r="577" spans="15:15" x14ac:dyDescent="0.2">
      <c r="O577" s="17"/>
    </row>
    <row r="578" spans="15:15" x14ac:dyDescent="0.2">
      <c r="O578" s="17"/>
    </row>
    <row r="579" spans="15:15" x14ac:dyDescent="0.2">
      <c r="O579" s="17"/>
    </row>
    <row r="580" spans="15:15" x14ac:dyDescent="0.2">
      <c r="O580" s="17"/>
    </row>
    <row r="581" spans="15:15" x14ac:dyDescent="0.2">
      <c r="O581" s="17"/>
    </row>
    <row r="582" spans="15:15" x14ac:dyDescent="0.2">
      <c r="O582" s="17"/>
    </row>
    <row r="583" spans="15:15" x14ac:dyDescent="0.2">
      <c r="O583" s="17"/>
    </row>
    <row r="584" spans="15:15" x14ac:dyDescent="0.2">
      <c r="O584" s="17"/>
    </row>
    <row r="585" spans="15:15" x14ac:dyDescent="0.2">
      <c r="O585" s="17"/>
    </row>
    <row r="586" spans="15:15" x14ac:dyDescent="0.2">
      <c r="O586" s="17"/>
    </row>
    <row r="587" spans="15:15" x14ac:dyDescent="0.2">
      <c r="O587" s="17"/>
    </row>
    <row r="588" spans="15:15" x14ac:dyDescent="0.2">
      <c r="O588" s="17"/>
    </row>
    <row r="589" spans="15:15" x14ac:dyDescent="0.2">
      <c r="O589" s="17"/>
    </row>
    <row r="590" spans="15:15" x14ac:dyDescent="0.2">
      <c r="O590" s="17"/>
    </row>
    <row r="591" spans="15:15" x14ac:dyDescent="0.2">
      <c r="O591" s="17"/>
    </row>
    <row r="592" spans="15:15" x14ac:dyDescent="0.2">
      <c r="O592" s="17"/>
    </row>
    <row r="593" spans="15:15" x14ac:dyDescent="0.2">
      <c r="O593" s="17"/>
    </row>
    <row r="594" spans="15:15" x14ac:dyDescent="0.2">
      <c r="O594" s="17"/>
    </row>
    <row r="595" spans="15:15" x14ac:dyDescent="0.2">
      <c r="O595" s="17"/>
    </row>
    <row r="596" spans="15:15" x14ac:dyDescent="0.2">
      <c r="O596" s="17"/>
    </row>
    <row r="597" spans="15:15" x14ac:dyDescent="0.2">
      <c r="O597" s="17"/>
    </row>
    <row r="598" spans="15:15" x14ac:dyDescent="0.2">
      <c r="O598" s="17"/>
    </row>
    <row r="599" spans="15:15" x14ac:dyDescent="0.2">
      <c r="O599" s="17"/>
    </row>
    <row r="600" spans="15:15" x14ac:dyDescent="0.2">
      <c r="O600" s="17"/>
    </row>
    <row r="601" spans="15:15" x14ac:dyDescent="0.2">
      <c r="O601" s="17"/>
    </row>
    <row r="602" spans="15:15" x14ac:dyDescent="0.2">
      <c r="O602" s="17"/>
    </row>
    <row r="603" spans="15:15" x14ac:dyDescent="0.2">
      <c r="O603" s="17"/>
    </row>
    <row r="604" spans="15:15" x14ac:dyDescent="0.2">
      <c r="O604" s="17"/>
    </row>
    <row r="605" spans="15:15" x14ac:dyDescent="0.2">
      <c r="O605" s="17"/>
    </row>
    <row r="606" spans="15:15" x14ac:dyDescent="0.2">
      <c r="O606" s="17"/>
    </row>
    <row r="607" spans="15:15" x14ac:dyDescent="0.2">
      <c r="O607" s="17"/>
    </row>
    <row r="608" spans="15:15" x14ac:dyDescent="0.2">
      <c r="O608" s="17"/>
    </row>
    <row r="609" spans="15:15" x14ac:dyDescent="0.2">
      <c r="O609" s="17"/>
    </row>
    <row r="610" spans="15:15" x14ac:dyDescent="0.2">
      <c r="O610" s="17"/>
    </row>
    <row r="611" spans="15:15" x14ac:dyDescent="0.2">
      <c r="O611" s="17"/>
    </row>
    <row r="612" spans="15:15" x14ac:dyDescent="0.2">
      <c r="O612" s="17"/>
    </row>
    <row r="613" spans="15:15" x14ac:dyDescent="0.2">
      <c r="O613" s="17"/>
    </row>
    <row r="614" spans="15:15" x14ac:dyDescent="0.2">
      <c r="O614" s="17"/>
    </row>
    <row r="615" spans="15:15" x14ac:dyDescent="0.2">
      <c r="O615" s="17"/>
    </row>
    <row r="616" spans="15:15" x14ac:dyDescent="0.2">
      <c r="O616" s="17"/>
    </row>
    <row r="617" spans="15:15" x14ac:dyDescent="0.2">
      <c r="O617" s="17"/>
    </row>
    <row r="618" spans="15:15" x14ac:dyDescent="0.2">
      <c r="O618" s="17"/>
    </row>
    <row r="619" spans="15:15" x14ac:dyDescent="0.2">
      <c r="O619" s="17"/>
    </row>
    <row r="620" spans="15:15" x14ac:dyDescent="0.2">
      <c r="O620" s="17"/>
    </row>
    <row r="621" spans="15:15" x14ac:dyDescent="0.2">
      <c r="O621" s="17"/>
    </row>
    <row r="622" spans="15:15" x14ac:dyDescent="0.2">
      <c r="O622" s="17"/>
    </row>
    <row r="623" spans="15:15" x14ac:dyDescent="0.2">
      <c r="O623" s="17"/>
    </row>
    <row r="624" spans="15:15" x14ac:dyDescent="0.2">
      <c r="O624" s="17"/>
    </row>
    <row r="625" spans="15:15" x14ac:dyDescent="0.2">
      <c r="O625" s="17"/>
    </row>
    <row r="626" spans="15:15" x14ac:dyDescent="0.2">
      <c r="O626" s="17"/>
    </row>
    <row r="627" spans="15:15" x14ac:dyDescent="0.2">
      <c r="O627" s="17"/>
    </row>
    <row r="628" spans="15:15" x14ac:dyDescent="0.2">
      <c r="O628" s="17"/>
    </row>
    <row r="629" spans="15:15" x14ac:dyDescent="0.2">
      <c r="O629" s="17"/>
    </row>
    <row r="630" spans="15:15" x14ac:dyDescent="0.2">
      <c r="O630" s="17"/>
    </row>
    <row r="631" spans="15:15" x14ac:dyDescent="0.2">
      <c r="O631" s="17"/>
    </row>
    <row r="632" spans="15:15" x14ac:dyDescent="0.2">
      <c r="O632" s="17"/>
    </row>
    <row r="633" spans="15:15" x14ac:dyDescent="0.2">
      <c r="O633" s="17"/>
    </row>
    <row r="634" spans="15:15" x14ac:dyDescent="0.2">
      <c r="O634" s="17"/>
    </row>
    <row r="635" spans="15:15" x14ac:dyDescent="0.2">
      <c r="O635" s="17"/>
    </row>
    <row r="636" spans="15:15" x14ac:dyDescent="0.2">
      <c r="O636" s="17"/>
    </row>
    <row r="637" spans="15:15" x14ac:dyDescent="0.2">
      <c r="O637" s="17"/>
    </row>
    <row r="638" spans="15:15" x14ac:dyDescent="0.2">
      <c r="O638" s="17"/>
    </row>
    <row r="639" spans="15:15" x14ac:dyDescent="0.2">
      <c r="O639" s="17"/>
    </row>
    <row r="640" spans="15:15" x14ac:dyDescent="0.2">
      <c r="O640" s="17"/>
    </row>
    <row r="641" spans="15:15" x14ac:dyDescent="0.2">
      <c r="O641" s="17"/>
    </row>
    <row r="642" spans="15:15" x14ac:dyDescent="0.2">
      <c r="O642" s="17"/>
    </row>
    <row r="643" spans="15:15" x14ac:dyDescent="0.2">
      <c r="O643" s="17"/>
    </row>
    <row r="644" spans="15:15" x14ac:dyDescent="0.2">
      <c r="O644" s="17"/>
    </row>
    <row r="645" spans="15:15" x14ac:dyDescent="0.2">
      <c r="O645" s="17"/>
    </row>
    <row r="646" spans="15:15" x14ac:dyDescent="0.2">
      <c r="O646" s="17"/>
    </row>
    <row r="647" spans="15:15" x14ac:dyDescent="0.2">
      <c r="O647" s="17"/>
    </row>
    <row r="648" spans="15:15" x14ac:dyDescent="0.2">
      <c r="O648" s="17"/>
    </row>
    <row r="649" spans="15:15" x14ac:dyDescent="0.2">
      <c r="O649" s="17"/>
    </row>
    <row r="650" spans="15:15" x14ac:dyDescent="0.2">
      <c r="O650" s="17"/>
    </row>
    <row r="651" spans="15:15" x14ac:dyDescent="0.2">
      <c r="O651" s="17"/>
    </row>
    <row r="652" spans="15:15" x14ac:dyDescent="0.2">
      <c r="O652" s="17"/>
    </row>
    <row r="653" spans="15:15" x14ac:dyDescent="0.2">
      <c r="O653" s="17"/>
    </row>
    <row r="654" spans="15:15" x14ac:dyDescent="0.2">
      <c r="O654" s="17"/>
    </row>
    <row r="655" spans="15:15" x14ac:dyDescent="0.2">
      <c r="O655" s="17"/>
    </row>
    <row r="656" spans="15:15" x14ac:dyDescent="0.2">
      <c r="O656" s="17"/>
    </row>
    <row r="657" spans="15:15" x14ac:dyDescent="0.2">
      <c r="O657" s="17"/>
    </row>
    <row r="658" spans="15:15" x14ac:dyDescent="0.2">
      <c r="O658" s="17"/>
    </row>
    <row r="659" spans="15:15" x14ac:dyDescent="0.2">
      <c r="O659" s="17"/>
    </row>
    <row r="660" spans="15:15" x14ac:dyDescent="0.2">
      <c r="O660" s="17"/>
    </row>
    <row r="661" spans="15:15" x14ac:dyDescent="0.2">
      <c r="O661" s="17"/>
    </row>
    <row r="662" spans="15:15" x14ac:dyDescent="0.2">
      <c r="O662" s="17"/>
    </row>
    <row r="663" spans="15:15" x14ac:dyDescent="0.2">
      <c r="O663" s="17"/>
    </row>
    <row r="664" spans="15:15" x14ac:dyDescent="0.2">
      <c r="O664" s="17"/>
    </row>
    <row r="665" spans="15:15" x14ac:dyDescent="0.2">
      <c r="O665" s="17"/>
    </row>
    <row r="666" spans="15:15" x14ac:dyDescent="0.2">
      <c r="O666" s="17"/>
    </row>
    <row r="667" spans="15:15" x14ac:dyDescent="0.2">
      <c r="O667" s="17"/>
    </row>
    <row r="668" spans="15:15" x14ac:dyDescent="0.2">
      <c r="O668" s="17"/>
    </row>
    <row r="669" spans="15:15" x14ac:dyDescent="0.2">
      <c r="O669" s="17"/>
    </row>
    <row r="670" spans="15:15" x14ac:dyDescent="0.2">
      <c r="O670" s="17"/>
    </row>
    <row r="671" spans="15:15" x14ac:dyDescent="0.2">
      <c r="O671" s="17"/>
    </row>
    <row r="672" spans="15:15" x14ac:dyDescent="0.2">
      <c r="O672" s="17"/>
    </row>
    <row r="673" spans="15:15" x14ac:dyDescent="0.2">
      <c r="O673" s="17"/>
    </row>
    <row r="674" spans="15:15" x14ac:dyDescent="0.2">
      <c r="O674" s="17"/>
    </row>
    <row r="675" spans="15:15" x14ac:dyDescent="0.2">
      <c r="O675" s="17"/>
    </row>
    <row r="676" spans="15:15" x14ac:dyDescent="0.2">
      <c r="O676" s="17"/>
    </row>
    <row r="677" spans="15:15" x14ac:dyDescent="0.2">
      <c r="O677" s="17"/>
    </row>
    <row r="678" spans="15:15" x14ac:dyDescent="0.2">
      <c r="O678" s="17"/>
    </row>
    <row r="679" spans="15:15" x14ac:dyDescent="0.2">
      <c r="O679" s="17"/>
    </row>
    <row r="680" spans="15:15" x14ac:dyDescent="0.2">
      <c r="O680" s="17"/>
    </row>
    <row r="681" spans="15:15" x14ac:dyDescent="0.2">
      <c r="O681" s="17"/>
    </row>
    <row r="682" spans="15:15" x14ac:dyDescent="0.2">
      <c r="O682" s="17"/>
    </row>
    <row r="683" spans="15:15" x14ac:dyDescent="0.2">
      <c r="O683" s="17"/>
    </row>
    <row r="684" spans="15:15" x14ac:dyDescent="0.2">
      <c r="O684" s="17"/>
    </row>
    <row r="685" spans="15:15" x14ac:dyDescent="0.2">
      <c r="O685" s="17"/>
    </row>
    <row r="686" spans="15:15" x14ac:dyDescent="0.2">
      <c r="O686" s="17"/>
    </row>
    <row r="687" spans="15:15" x14ac:dyDescent="0.2">
      <c r="O687" s="17"/>
    </row>
    <row r="688" spans="15:15" x14ac:dyDescent="0.2">
      <c r="O688" s="17"/>
    </row>
    <row r="689" spans="15:15" x14ac:dyDescent="0.2">
      <c r="O689" s="17"/>
    </row>
    <row r="690" spans="15:15" x14ac:dyDescent="0.2">
      <c r="O690" s="17"/>
    </row>
    <row r="691" spans="15:15" x14ac:dyDescent="0.2">
      <c r="O691" s="17"/>
    </row>
    <row r="692" spans="15:15" x14ac:dyDescent="0.2">
      <c r="O692" s="17"/>
    </row>
    <row r="693" spans="15:15" x14ac:dyDescent="0.2">
      <c r="O693" s="17"/>
    </row>
    <row r="694" spans="15:15" x14ac:dyDescent="0.2">
      <c r="O694" s="17"/>
    </row>
    <row r="695" spans="15:15" x14ac:dyDescent="0.2">
      <c r="O695" s="17"/>
    </row>
    <row r="696" spans="15:15" x14ac:dyDescent="0.2">
      <c r="O696" s="17"/>
    </row>
    <row r="697" spans="15:15" x14ac:dyDescent="0.2">
      <c r="O697" s="17"/>
    </row>
    <row r="698" spans="15:15" x14ac:dyDescent="0.2">
      <c r="O698" s="17"/>
    </row>
    <row r="699" spans="15:15" x14ac:dyDescent="0.2">
      <c r="O699" s="17"/>
    </row>
    <row r="700" spans="15:15" x14ac:dyDescent="0.2">
      <c r="O700" s="17"/>
    </row>
    <row r="701" spans="15:15" x14ac:dyDescent="0.2">
      <c r="O701" s="17"/>
    </row>
    <row r="702" spans="15:15" x14ac:dyDescent="0.2">
      <c r="O702" s="17"/>
    </row>
    <row r="703" spans="15:15" x14ac:dyDescent="0.2">
      <c r="O703" s="17"/>
    </row>
    <row r="704" spans="15:15" x14ac:dyDescent="0.2">
      <c r="O704" s="17"/>
    </row>
    <row r="705" spans="15:15" x14ac:dyDescent="0.2">
      <c r="O705" s="17"/>
    </row>
    <row r="706" spans="15:15" x14ac:dyDescent="0.2">
      <c r="O706" s="17"/>
    </row>
    <row r="707" spans="15:15" x14ac:dyDescent="0.2">
      <c r="O707" s="17"/>
    </row>
    <row r="708" spans="15:15" x14ac:dyDescent="0.2">
      <c r="O708" s="17"/>
    </row>
    <row r="709" spans="15:15" x14ac:dyDescent="0.2">
      <c r="O709" s="17"/>
    </row>
    <row r="710" spans="15:15" x14ac:dyDescent="0.2">
      <c r="O710" s="17"/>
    </row>
    <row r="711" spans="15:15" x14ac:dyDescent="0.2">
      <c r="O711" s="17"/>
    </row>
    <row r="712" spans="15:15" x14ac:dyDescent="0.2">
      <c r="O712" s="17"/>
    </row>
    <row r="713" spans="15:15" x14ac:dyDescent="0.2">
      <c r="O713" s="17"/>
    </row>
    <row r="714" spans="15:15" x14ac:dyDescent="0.2">
      <c r="O714" s="17"/>
    </row>
    <row r="715" spans="15:15" x14ac:dyDescent="0.2">
      <c r="O715" s="17"/>
    </row>
    <row r="716" spans="15:15" x14ac:dyDescent="0.2">
      <c r="O716" s="17"/>
    </row>
    <row r="717" spans="15:15" x14ac:dyDescent="0.2">
      <c r="O717" s="17"/>
    </row>
    <row r="718" spans="15:15" x14ac:dyDescent="0.2">
      <c r="O718" s="17"/>
    </row>
    <row r="719" spans="15:15" x14ac:dyDescent="0.2">
      <c r="O719" s="17"/>
    </row>
    <row r="720" spans="15:15" x14ac:dyDescent="0.2">
      <c r="O720" s="17"/>
    </row>
    <row r="721" spans="15:15" x14ac:dyDescent="0.2">
      <c r="O721" s="17"/>
    </row>
    <row r="722" spans="15:15" x14ac:dyDescent="0.2">
      <c r="O722" s="17"/>
    </row>
    <row r="723" spans="15:15" x14ac:dyDescent="0.2">
      <c r="O723" s="17"/>
    </row>
    <row r="724" spans="15:15" x14ac:dyDescent="0.2">
      <c r="O724" s="17"/>
    </row>
    <row r="725" spans="15:15" x14ac:dyDescent="0.2">
      <c r="O725" s="17"/>
    </row>
    <row r="726" spans="15:15" x14ac:dyDescent="0.2">
      <c r="O726" s="17"/>
    </row>
    <row r="727" spans="15:15" x14ac:dyDescent="0.2">
      <c r="O727" s="17"/>
    </row>
    <row r="728" spans="15:15" x14ac:dyDescent="0.2">
      <c r="O728" s="17"/>
    </row>
    <row r="729" spans="15:15" x14ac:dyDescent="0.2">
      <c r="O729" s="17"/>
    </row>
    <row r="730" spans="15:15" x14ac:dyDescent="0.2">
      <c r="O730" s="17"/>
    </row>
    <row r="731" spans="15:15" x14ac:dyDescent="0.2">
      <c r="O731" s="17"/>
    </row>
    <row r="732" spans="15:15" x14ac:dyDescent="0.2">
      <c r="O732" s="17"/>
    </row>
    <row r="733" spans="15:15" x14ac:dyDescent="0.2">
      <c r="O733" s="17"/>
    </row>
    <row r="734" spans="15:15" x14ac:dyDescent="0.2">
      <c r="O734" s="17"/>
    </row>
    <row r="735" spans="15:15" x14ac:dyDescent="0.2">
      <c r="O735" s="17"/>
    </row>
    <row r="736" spans="15:15" x14ac:dyDescent="0.2">
      <c r="O736" s="17"/>
    </row>
    <row r="737" spans="15:15" x14ac:dyDescent="0.2">
      <c r="O737" s="17"/>
    </row>
    <row r="738" spans="15:15" x14ac:dyDescent="0.2">
      <c r="O738" s="17"/>
    </row>
    <row r="739" spans="15:15" x14ac:dyDescent="0.2">
      <c r="O739" s="17"/>
    </row>
    <row r="740" spans="15:15" x14ac:dyDescent="0.2">
      <c r="O740" s="17"/>
    </row>
    <row r="741" spans="15:15" x14ac:dyDescent="0.2">
      <c r="O741" s="17"/>
    </row>
    <row r="742" spans="15:15" x14ac:dyDescent="0.2">
      <c r="O742" s="17"/>
    </row>
    <row r="743" spans="15:15" x14ac:dyDescent="0.2">
      <c r="O743" s="17"/>
    </row>
    <row r="744" spans="15:15" x14ac:dyDescent="0.2">
      <c r="O744" s="17"/>
    </row>
    <row r="745" spans="15:15" x14ac:dyDescent="0.2">
      <c r="O745" s="17"/>
    </row>
    <row r="746" spans="15:15" x14ac:dyDescent="0.2">
      <c r="O746" s="17"/>
    </row>
    <row r="747" spans="15:15" x14ac:dyDescent="0.2">
      <c r="O747" s="17"/>
    </row>
    <row r="748" spans="15:15" x14ac:dyDescent="0.2">
      <c r="O748" s="17"/>
    </row>
    <row r="749" spans="15:15" x14ac:dyDescent="0.2">
      <c r="O749" s="17"/>
    </row>
    <row r="750" spans="15:15" x14ac:dyDescent="0.2">
      <c r="O750" s="17"/>
    </row>
    <row r="751" spans="15:15" x14ac:dyDescent="0.2">
      <c r="O751" s="17"/>
    </row>
    <row r="752" spans="15:15" x14ac:dyDescent="0.2">
      <c r="O752" s="17"/>
    </row>
    <row r="753" spans="15:15" x14ac:dyDescent="0.2">
      <c r="O753" s="17"/>
    </row>
    <row r="754" spans="15:15" x14ac:dyDescent="0.2">
      <c r="O754" s="17"/>
    </row>
    <row r="755" spans="15:15" x14ac:dyDescent="0.2">
      <c r="O755" s="17"/>
    </row>
    <row r="756" spans="15:15" x14ac:dyDescent="0.2">
      <c r="O756" s="17"/>
    </row>
    <row r="757" spans="15:15" x14ac:dyDescent="0.2">
      <c r="O757" s="17"/>
    </row>
    <row r="758" spans="15:15" x14ac:dyDescent="0.2">
      <c r="O758" s="17"/>
    </row>
    <row r="759" spans="15:15" x14ac:dyDescent="0.2">
      <c r="O759" s="17"/>
    </row>
    <row r="760" spans="15:15" x14ac:dyDescent="0.2">
      <c r="O760" s="17"/>
    </row>
    <row r="761" spans="15:15" x14ac:dyDescent="0.2">
      <c r="O761" s="17"/>
    </row>
    <row r="762" spans="15:15" x14ac:dyDescent="0.2">
      <c r="O762" s="17"/>
    </row>
    <row r="763" spans="15:15" x14ac:dyDescent="0.2">
      <c r="O763" s="17"/>
    </row>
    <row r="764" spans="15:15" x14ac:dyDescent="0.2">
      <c r="O764" s="17"/>
    </row>
    <row r="765" spans="15:15" x14ac:dyDescent="0.2">
      <c r="O765" s="17"/>
    </row>
    <row r="766" spans="15:15" x14ac:dyDescent="0.2">
      <c r="O766" s="17"/>
    </row>
    <row r="767" spans="15:15" x14ac:dyDescent="0.2">
      <c r="O767" s="17"/>
    </row>
    <row r="768" spans="15:15" x14ac:dyDescent="0.2">
      <c r="O768" s="17"/>
    </row>
    <row r="769" spans="15:15" x14ac:dyDescent="0.2">
      <c r="O769" s="17"/>
    </row>
    <row r="770" spans="15:15" x14ac:dyDescent="0.2">
      <c r="O770" s="17"/>
    </row>
    <row r="771" spans="15:15" x14ac:dyDescent="0.2">
      <c r="O771" s="17"/>
    </row>
    <row r="772" spans="15:15" x14ac:dyDescent="0.2">
      <c r="O772" s="1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0A1DB-42CE-49A0-AE60-012738161448}">
  <dimension ref="A2:H94"/>
  <sheetViews>
    <sheetView topLeftCell="A13" zoomScaleNormal="85" workbookViewId="0">
      <selection activeCell="C90" sqref="C90"/>
    </sheetView>
  </sheetViews>
  <sheetFormatPr baseColWidth="10" defaultColWidth="11" defaultRowHeight="16" x14ac:dyDescent="0.2"/>
  <cols>
    <col min="1" max="1" width="31.83203125" bestFit="1" customWidth="1"/>
    <col min="2" max="2" width="20.33203125" bestFit="1" customWidth="1"/>
    <col min="3" max="3" width="4.33203125" bestFit="1" customWidth="1"/>
    <col min="4" max="4" width="3.1640625" bestFit="1" customWidth="1"/>
    <col min="5" max="5" width="4.33203125" bestFit="1" customWidth="1"/>
    <col min="6" max="6" width="3.1640625" bestFit="1" customWidth="1"/>
    <col min="7" max="7" width="4.33203125" bestFit="1" customWidth="1"/>
    <col min="8" max="8" width="11.6640625" bestFit="1" customWidth="1"/>
    <col min="9" max="9" width="11.5" bestFit="1" customWidth="1"/>
  </cols>
  <sheetData>
    <row r="2" spans="1:8" x14ac:dyDescent="0.2">
      <c r="A2" s="19" t="s">
        <v>57</v>
      </c>
    </row>
    <row r="4" spans="1:8" x14ac:dyDescent="0.2">
      <c r="A4" s="5" t="s">
        <v>95</v>
      </c>
      <c r="B4" s="5" t="s">
        <v>94</v>
      </c>
    </row>
    <row r="5" spans="1:8" x14ac:dyDescent="0.2">
      <c r="A5" s="5" t="s">
        <v>19</v>
      </c>
      <c r="B5">
        <v>0</v>
      </c>
      <c r="C5">
        <v>1</v>
      </c>
      <c r="D5">
        <v>2</v>
      </c>
      <c r="E5">
        <v>3</v>
      </c>
      <c r="F5">
        <v>4</v>
      </c>
      <c r="G5">
        <v>5</v>
      </c>
      <c r="H5" t="s">
        <v>20</v>
      </c>
    </row>
    <row r="6" spans="1:8" x14ac:dyDescent="0.2">
      <c r="A6" s="6">
        <v>1</v>
      </c>
      <c r="B6">
        <v>26</v>
      </c>
      <c r="C6">
        <v>17</v>
      </c>
      <c r="D6">
        <v>16</v>
      </c>
      <c r="E6">
        <v>14</v>
      </c>
      <c r="F6">
        <v>18</v>
      </c>
      <c r="G6">
        <v>21</v>
      </c>
      <c r="H6">
        <v>112</v>
      </c>
    </row>
    <row r="7" spans="1:8" x14ac:dyDescent="0.2">
      <c r="A7" s="6">
        <v>2</v>
      </c>
      <c r="B7">
        <v>12</v>
      </c>
      <c r="C7">
        <v>18</v>
      </c>
      <c r="D7">
        <v>12</v>
      </c>
      <c r="E7">
        <v>23</v>
      </c>
      <c r="F7">
        <v>15</v>
      </c>
      <c r="G7">
        <v>26</v>
      </c>
      <c r="H7">
        <v>106</v>
      </c>
    </row>
    <row r="8" spans="1:8" x14ac:dyDescent="0.2">
      <c r="A8" s="6">
        <v>3</v>
      </c>
      <c r="B8">
        <v>27</v>
      </c>
      <c r="C8">
        <v>4</v>
      </c>
      <c r="D8">
        <v>7</v>
      </c>
      <c r="E8">
        <v>13</v>
      </c>
      <c r="F8">
        <v>6</v>
      </c>
      <c r="G8">
        <v>9</v>
      </c>
      <c r="H8">
        <v>66</v>
      </c>
    </row>
    <row r="9" spans="1:8" x14ac:dyDescent="0.2">
      <c r="A9" s="6">
        <v>4</v>
      </c>
      <c r="B9">
        <v>38</v>
      </c>
      <c r="C9">
        <v>30</v>
      </c>
      <c r="D9">
        <v>11</v>
      </c>
      <c r="E9">
        <v>23</v>
      </c>
      <c r="F9">
        <v>11</v>
      </c>
      <c r="G9">
        <v>35</v>
      </c>
      <c r="H9">
        <v>148</v>
      </c>
    </row>
    <row r="10" spans="1:8" x14ac:dyDescent="0.2">
      <c r="A10" s="6">
        <v>5</v>
      </c>
      <c r="B10">
        <v>8</v>
      </c>
      <c r="C10">
        <v>5</v>
      </c>
      <c r="D10">
        <v>3</v>
      </c>
      <c r="E10">
        <v>6</v>
      </c>
      <c r="F10">
        <v>6</v>
      </c>
      <c r="G10">
        <v>6</v>
      </c>
      <c r="H10">
        <v>34</v>
      </c>
    </row>
    <row r="11" spans="1:8" x14ac:dyDescent="0.2">
      <c r="A11" s="6">
        <v>6</v>
      </c>
      <c r="B11">
        <v>5</v>
      </c>
      <c r="C11">
        <v>3</v>
      </c>
      <c r="D11">
        <v>2</v>
      </c>
      <c r="E11">
        <v>2</v>
      </c>
      <c r="F11">
        <v>1</v>
      </c>
      <c r="G11">
        <v>8</v>
      </c>
      <c r="H11">
        <v>21</v>
      </c>
    </row>
    <row r="12" spans="1:8" x14ac:dyDescent="0.2">
      <c r="A12" s="6">
        <v>7</v>
      </c>
      <c r="B12">
        <v>15</v>
      </c>
      <c r="D12">
        <v>7</v>
      </c>
      <c r="E12">
        <v>3</v>
      </c>
      <c r="F12">
        <v>5</v>
      </c>
      <c r="G12">
        <v>11</v>
      </c>
      <c r="H12">
        <v>41</v>
      </c>
    </row>
    <row r="13" spans="1:8" x14ac:dyDescent="0.2">
      <c r="A13" s="6">
        <v>8</v>
      </c>
      <c r="B13">
        <v>56</v>
      </c>
      <c r="C13">
        <v>23</v>
      </c>
      <c r="D13">
        <v>10</v>
      </c>
      <c r="E13">
        <v>17</v>
      </c>
      <c r="F13">
        <v>16</v>
      </c>
      <c r="G13">
        <v>18</v>
      </c>
      <c r="H13">
        <v>140</v>
      </c>
    </row>
    <row r="14" spans="1:8" x14ac:dyDescent="0.2">
      <c r="A14" s="6">
        <v>9</v>
      </c>
      <c r="B14">
        <v>25</v>
      </c>
      <c r="C14">
        <v>5</v>
      </c>
      <c r="D14">
        <v>2</v>
      </c>
      <c r="E14">
        <v>2</v>
      </c>
      <c r="F14">
        <v>5</v>
      </c>
      <c r="G14">
        <v>11</v>
      </c>
      <c r="H14">
        <v>50</v>
      </c>
    </row>
    <row r="15" spans="1:8" x14ac:dyDescent="0.2">
      <c r="A15" s="6">
        <v>10</v>
      </c>
      <c r="B15">
        <v>13</v>
      </c>
      <c r="C15">
        <v>1</v>
      </c>
      <c r="D15">
        <v>2</v>
      </c>
      <c r="E15">
        <v>6</v>
      </c>
      <c r="F15">
        <v>3</v>
      </c>
      <c r="G15">
        <v>7</v>
      </c>
      <c r="H15">
        <v>32</v>
      </c>
    </row>
    <row r="16" spans="1:8" x14ac:dyDescent="0.2">
      <c r="A16" s="6">
        <v>11</v>
      </c>
      <c r="B16">
        <v>2</v>
      </c>
      <c r="C16">
        <v>9</v>
      </c>
      <c r="E16">
        <v>3</v>
      </c>
      <c r="F16">
        <v>2</v>
      </c>
      <c r="G16">
        <v>4</v>
      </c>
      <c r="H16">
        <v>20</v>
      </c>
    </row>
    <row r="17" spans="1:8" x14ac:dyDescent="0.2">
      <c r="A17" s="6" t="s">
        <v>20</v>
      </c>
      <c r="B17">
        <v>227</v>
      </c>
      <c r="C17">
        <v>115</v>
      </c>
      <c r="D17">
        <v>72</v>
      </c>
      <c r="E17">
        <v>112</v>
      </c>
      <c r="F17">
        <v>88</v>
      </c>
      <c r="G17">
        <v>156</v>
      </c>
      <c r="H17">
        <v>770</v>
      </c>
    </row>
    <row r="20" spans="1:8" x14ac:dyDescent="0.2">
      <c r="A20" s="41" t="s">
        <v>95</v>
      </c>
      <c r="B20" s="41" t="s">
        <v>94</v>
      </c>
      <c r="C20" s="41"/>
      <c r="D20" s="41"/>
      <c r="E20" s="41"/>
      <c r="F20" s="41"/>
      <c r="G20" s="41"/>
      <c r="H20" s="41"/>
    </row>
    <row r="21" spans="1:8" x14ac:dyDescent="0.2">
      <c r="A21" s="41" t="s">
        <v>19</v>
      </c>
      <c r="B21" s="41">
        <v>0</v>
      </c>
      <c r="C21" s="41">
        <v>1</v>
      </c>
      <c r="D21" s="41">
        <v>2</v>
      </c>
      <c r="E21" s="41">
        <v>3</v>
      </c>
      <c r="F21" s="41">
        <v>4</v>
      </c>
      <c r="G21" s="41">
        <v>5</v>
      </c>
      <c r="H21" s="41" t="s">
        <v>20</v>
      </c>
    </row>
    <row r="22" spans="1:8" x14ac:dyDescent="0.2">
      <c r="A22">
        <v>1</v>
      </c>
      <c r="B22">
        <v>26</v>
      </c>
      <c r="C22">
        <v>17</v>
      </c>
      <c r="D22">
        <v>16</v>
      </c>
      <c r="E22">
        <v>14</v>
      </c>
      <c r="F22">
        <v>18</v>
      </c>
      <c r="G22">
        <v>21</v>
      </c>
      <c r="H22">
        <v>112</v>
      </c>
    </row>
    <row r="23" spans="1:8" x14ac:dyDescent="0.2">
      <c r="A23">
        <v>2</v>
      </c>
      <c r="B23">
        <v>12</v>
      </c>
      <c r="C23">
        <v>18</v>
      </c>
      <c r="D23">
        <v>12</v>
      </c>
      <c r="E23">
        <v>23</v>
      </c>
      <c r="F23">
        <v>15</v>
      </c>
      <c r="G23">
        <v>26</v>
      </c>
      <c r="H23">
        <v>106</v>
      </c>
    </row>
    <row r="24" spans="1:8" x14ac:dyDescent="0.2">
      <c r="A24">
        <v>3</v>
      </c>
      <c r="B24">
        <v>27</v>
      </c>
      <c r="C24">
        <v>4</v>
      </c>
      <c r="D24">
        <v>7</v>
      </c>
      <c r="E24">
        <v>13</v>
      </c>
      <c r="F24">
        <v>6</v>
      </c>
      <c r="G24">
        <v>9</v>
      </c>
      <c r="H24">
        <v>66</v>
      </c>
    </row>
    <row r="25" spans="1:8" x14ac:dyDescent="0.2">
      <c r="A25">
        <v>4</v>
      </c>
      <c r="B25">
        <v>38</v>
      </c>
      <c r="C25">
        <v>30</v>
      </c>
      <c r="D25">
        <v>11</v>
      </c>
      <c r="E25">
        <v>23</v>
      </c>
      <c r="F25">
        <v>11</v>
      </c>
      <c r="G25">
        <v>35</v>
      </c>
      <c r="H25">
        <v>148</v>
      </c>
    </row>
    <row r="26" spans="1:8" x14ac:dyDescent="0.2">
      <c r="A26" s="40" t="s">
        <v>98</v>
      </c>
      <c r="B26">
        <f>GETPIVOTDATA("Playing Often",$A$4,"School Code",5,"Playing Often",0)+GETPIVOTDATA("Playing Often",$A$4,"School Code",6,"Playing Often",0)</f>
        <v>13</v>
      </c>
      <c r="C26">
        <f>GETPIVOTDATA("Playing Often",$A$4,"School Code",5,"Playing Often",1)+GETPIVOTDATA("Playing Often",$A$4,"School Code",6,"Playing Often",1)</f>
        <v>8</v>
      </c>
      <c r="D26">
        <f>GETPIVOTDATA("Playing Often",$A$4,"School Code",5,"Playing Often",2)+GETPIVOTDATA("Playing Often",$A$4,"School Code",6,"Playing Often",2)</f>
        <v>5</v>
      </c>
      <c r="E26">
        <f>GETPIVOTDATA("Playing Often",$A$4,"School Code",5,"Playing Often",3)+GETPIVOTDATA("Playing Often",$A$4,"School Code",6,"Playing Often",3)</f>
        <v>8</v>
      </c>
      <c r="F26">
        <f>GETPIVOTDATA("Playing Often",$A$4,"School Code",5,"Playing Often",4)+GETPIVOTDATA("Playing Often",$A$4,"School Code",6,"Playing Often",4)</f>
        <v>7</v>
      </c>
      <c r="G26">
        <f>GETPIVOTDATA("Playing Often",$A$4,"School Code",5,"Playing Often",5)+GETPIVOTDATA("Playing Often",$A$4,"School Code",6,"Playing Often",5)</f>
        <v>14</v>
      </c>
      <c r="H26">
        <f>GETPIVOTDATA("Playing Often",$A$4,"School Code",5)+GETPIVOTDATA("Playing Often",$A$4,"School Code",6)</f>
        <v>55</v>
      </c>
    </row>
    <row r="27" spans="1:8" x14ac:dyDescent="0.2">
      <c r="A27">
        <v>7</v>
      </c>
      <c r="B27">
        <v>15</v>
      </c>
      <c r="D27">
        <v>7</v>
      </c>
      <c r="E27">
        <v>3</v>
      </c>
      <c r="F27">
        <v>5</v>
      </c>
      <c r="G27">
        <v>11</v>
      </c>
      <c r="H27">
        <v>41</v>
      </c>
    </row>
    <row r="28" spans="1:8" x14ac:dyDescent="0.2">
      <c r="A28">
        <v>8</v>
      </c>
      <c r="B28">
        <v>56</v>
      </c>
      <c r="C28">
        <v>23</v>
      </c>
      <c r="D28">
        <v>10</v>
      </c>
      <c r="E28">
        <v>17</v>
      </c>
      <c r="F28">
        <v>16</v>
      </c>
      <c r="G28">
        <v>18</v>
      </c>
      <c r="H28">
        <v>140</v>
      </c>
    </row>
    <row r="29" spans="1:8" x14ac:dyDescent="0.2">
      <c r="A29">
        <v>9</v>
      </c>
      <c r="B29">
        <v>25</v>
      </c>
      <c r="C29">
        <v>5</v>
      </c>
      <c r="D29">
        <v>2</v>
      </c>
      <c r="E29">
        <v>2</v>
      </c>
      <c r="F29">
        <v>5</v>
      </c>
      <c r="G29">
        <v>11</v>
      </c>
      <c r="H29">
        <v>50</v>
      </c>
    </row>
    <row r="30" spans="1:8" x14ac:dyDescent="0.2">
      <c r="A30" s="40" t="s">
        <v>97</v>
      </c>
      <c r="B30">
        <f>GETPIVOTDATA("Playing Often",$A$4,"School Code",10,"Playing Often",0)+GETPIVOTDATA("Playing Often",$A$4,"School Code",11,"Playing Often",0)</f>
        <v>15</v>
      </c>
      <c r="C30">
        <f>GETPIVOTDATA("Playing Often",$A$4,"School Code",10,"Playing Often",1)+GETPIVOTDATA("Playing Often",$A$4,"School Code",11,"Playing Often",1)</f>
        <v>10</v>
      </c>
      <c r="D30">
        <f>GETPIVOTDATA("Playing Often",$A$4,"School Code",10,"Playing Often",2)+GETPIVOTDATA("Playing Often",$A$4,"School Code",11,"Playing Often",2)</f>
        <v>2</v>
      </c>
      <c r="E30">
        <f>GETPIVOTDATA("Playing Often",$A$4,"School Code",10,"Playing Often",3)+GETPIVOTDATA("Playing Often",$A$4,"School Code",11,"Playing Often",3)</f>
        <v>9</v>
      </c>
      <c r="F30">
        <f>GETPIVOTDATA("Playing Often",$A$4,"School Code",10,"Playing Often",4)+GETPIVOTDATA("Playing Often",$A$4,"School Code",11,"Playing Often",4)</f>
        <v>5</v>
      </c>
      <c r="G30">
        <f>GETPIVOTDATA("Playing Often",$A$4,"School Code",10,"Playing Often",5)+GETPIVOTDATA("Playing Often",$A$4,"School Code",11,"Playing Often",5)</f>
        <v>11</v>
      </c>
      <c r="H30">
        <f>GETPIVOTDATA("Playing Often",$A$4,"School Code",11)+GETPIVOTDATA("Playing Often",$A$4,"School Code",11)</f>
        <v>40</v>
      </c>
    </row>
    <row r="31" spans="1:8" x14ac:dyDescent="0.2">
      <c r="A31" s="41" t="s">
        <v>20</v>
      </c>
      <c r="B31" s="41">
        <v>227</v>
      </c>
      <c r="C31" s="41">
        <v>115</v>
      </c>
      <c r="D31" s="41">
        <v>72</v>
      </c>
      <c r="E31" s="41">
        <v>112</v>
      </c>
      <c r="F31" s="41">
        <v>88</v>
      </c>
      <c r="G31" s="41">
        <v>156</v>
      </c>
      <c r="H31" s="41">
        <v>770</v>
      </c>
    </row>
    <row r="34" spans="1:8" x14ac:dyDescent="0.2">
      <c r="A34" s="38" t="s">
        <v>96</v>
      </c>
    </row>
    <row r="35" spans="1:8" x14ac:dyDescent="0.2">
      <c r="A35" s="38" t="s">
        <v>95</v>
      </c>
      <c r="B35" s="38" t="s">
        <v>94</v>
      </c>
      <c r="C35" s="38"/>
      <c r="D35" s="38"/>
      <c r="E35" s="38"/>
      <c r="F35" s="38"/>
      <c r="G35" s="38"/>
      <c r="H35" s="38"/>
    </row>
    <row r="36" spans="1:8" x14ac:dyDescent="0.2">
      <c r="A36" s="38" t="s">
        <v>19</v>
      </c>
      <c r="B36" s="38">
        <v>0</v>
      </c>
      <c r="C36" s="38">
        <v>1</v>
      </c>
      <c r="D36" s="38">
        <v>2</v>
      </c>
      <c r="E36" s="38">
        <v>3</v>
      </c>
      <c r="F36" s="38">
        <v>4</v>
      </c>
      <c r="G36" s="38">
        <v>5</v>
      </c>
      <c r="H36" s="38" t="s">
        <v>20</v>
      </c>
    </row>
    <row r="37" spans="1:8" x14ac:dyDescent="0.2">
      <c r="A37">
        <v>1</v>
      </c>
      <c r="B37" s="12">
        <f t="shared" ref="B37:G45" si="0">($H37*B$46)/$H$46</f>
        <v>33.018181818181816</v>
      </c>
      <c r="C37">
        <f t="shared" si="0"/>
        <v>16.727272727272727</v>
      </c>
      <c r="D37">
        <f t="shared" si="0"/>
        <v>10.472727272727273</v>
      </c>
      <c r="E37">
        <f t="shared" si="0"/>
        <v>16.290909090909089</v>
      </c>
      <c r="F37">
        <f t="shared" si="0"/>
        <v>12.8</v>
      </c>
      <c r="G37">
        <f t="shared" si="0"/>
        <v>22.690909090909091</v>
      </c>
      <c r="H37">
        <v>112</v>
      </c>
    </row>
    <row r="38" spans="1:8" x14ac:dyDescent="0.2">
      <c r="A38">
        <v>2</v>
      </c>
      <c r="B38" s="12">
        <f t="shared" si="0"/>
        <v>31.249350649350649</v>
      </c>
      <c r="C38">
        <f t="shared" si="0"/>
        <v>15.831168831168831</v>
      </c>
      <c r="D38">
        <f t="shared" si="0"/>
        <v>9.9116883116883123</v>
      </c>
      <c r="E38">
        <f t="shared" si="0"/>
        <v>15.418181818181818</v>
      </c>
      <c r="F38">
        <f t="shared" si="0"/>
        <v>12.114285714285714</v>
      </c>
      <c r="G38">
        <f t="shared" si="0"/>
        <v>21.475324675324675</v>
      </c>
      <c r="H38">
        <v>106</v>
      </c>
    </row>
    <row r="39" spans="1:8" x14ac:dyDescent="0.2">
      <c r="A39">
        <v>3</v>
      </c>
      <c r="B39" s="12">
        <f t="shared" si="0"/>
        <v>19.457142857142856</v>
      </c>
      <c r="C39">
        <f t="shared" si="0"/>
        <v>9.8571428571428577</v>
      </c>
      <c r="D39">
        <f t="shared" si="0"/>
        <v>6.1714285714285717</v>
      </c>
      <c r="E39">
        <f t="shared" si="0"/>
        <v>9.6</v>
      </c>
      <c r="F39">
        <f t="shared" si="0"/>
        <v>7.5428571428571427</v>
      </c>
      <c r="G39">
        <f t="shared" si="0"/>
        <v>13.371428571428572</v>
      </c>
      <c r="H39">
        <v>66</v>
      </c>
    </row>
    <row r="40" spans="1:8" x14ac:dyDescent="0.2">
      <c r="A40">
        <v>4</v>
      </c>
      <c r="B40" s="12">
        <f t="shared" si="0"/>
        <v>43.631168831168829</v>
      </c>
      <c r="C40">
        <f t="shared" si="0"/>
        <v>22.103896103896105</v>
      </c>
      <c r="D40">
        <f t="shared" si="0"/>
        <v>13.838961038961038</v>
      </c>
      <c r="E40">
        <f t="shared" si="0"/>
        <v>21.527272727272727</v>
      </c>
      <c r="F40">
        <f t="shared" si="0"/>
        <v>16.914285714285715</v>
      </c>
      <c r="G40">
        <f t="shared" si="0"/>
        <v>29.984415584415583</v>
      </c>
      <c r="H40">
        <v>148</v>
      </c>
    </row>
    <row r="41" spans="1:8" x14ac:dyDescent="0.2">
      <c r="A41" s="40" t="s">
        <v>98</v>
      </c>
      <c r="B41" s="12">
        <f t="shared" si="0"/>
        <v>16.214285714285715</v>
      </c>
      <c r="C41">
        <f t="shared" si="0"/>
        <v>8.2142857142857135</v>
      </c>
      <c r="D41">
        <f t="shared" si="0"/>
        <v>5.1428571428571432</v>
      </c>
      <c r="E41">
        <f t="shared" si="0"/>
        <v>8</v>
      </c>
      <c r="F41">
        <f t="shared" si="0"/>
        <v>6.2857142857142856</v>
      </c>
      <c r="G41">
        <f t="shared" si="0"/>
        <v>11.142857142857142</v>
      </c>
      <c r="H41">
        <v>55</v>
      </c>
    </row>
    <row r="42" spans="1:8" x14ac:dyDescent="0.2">
      <c r="A42">
        <v>7</v>
      </c>
      <c r="B42" s="12">
        <f t="shared" si="0"/>
        <v>12.087012987012987</v>
      </c>
      <c r="C42">
        <f t="shared" si="0"/>
        <v>6.1233766233766236</v>
      </c>
      <c r="D42">
        <f t="shared" si="0"/>
        <v>3.8337662337662337</v>
      </c>
      <c r="E42">
        <f t="shared" si="0"/>
        <v>5.9636363636363638</v>
      </c>
      <c r="F42">
        <f t="shared" si="0"/>
        <v>4.6857142857142859</v>
      </c>
      <c r="G42">
        <f t="shared" si="0"/>
        <v>8.3064935064935064</v>
      </c>
      <c r="H42">
        <v>41</v>
      </c>
    </row>
    <row r="43" spans="1:8" x14ac:dyDescent="0.2">
      <c r="A43">
        <v>8</v>
      </c>
      <c r="B43" s="12">
        <f t="shared" si="0"/>
        <v>41.272727272727273</v>
      </c>
      <c r="C43">
        <f t="shared" si="0"/>
        <v>20.90909090909091</v>
      </c>
      <c r="D43">
        <f t="shared" si="0"/>
        <v>13.090909090909092</v>
      </c>
      <c r="E43">
        <f t="shared" si="0"/>
        <v>20.363636363636363</v>
      </c>
      <c r="F43">
        <f t="shared" si="0"/>
        <v>16</v>
      </c>
      <c r="G43">
        <f t="shared" si="0"/>
        <v>28.363636363636363</v>
      </c>
      <c r="H43">
        <v>140</v>
      </c>
    </row>
    <row r="44" spans="1:8" x14ac:dyDescent="0.2">
      <c r="A44">
        <v>9</v>
      </c>
      <c r="B44" s="12">
        <f t="shared" si="0"/>
        <v>14.74025974025974</v>
      </c>
      <c r="C44">
        <f t="shared" si="0"/>
        <v>7.4675324675324672</v>
      </c>
      <c r="D44">
        <f t="shared" si="0"/>
        <v>4.6753246753246751</v>
      </c>
      <c r="E44">
        <f t="shared" si="0"/>
        <v>7.2727272727272725</v>
      </c>
      <c r="F44">
        <f t="shared" si="0"/>
        <v>5.7142857142857144</v>
      </c>
      <c r="G44">
        <f t="shared" si="0"/>
        <v>10.129870129870129</v>
      </c>
      <c r="H44">
        <v>50</v>
      </c>
    </row>
    <row r="45" spans="1:8" x14ac:dyDescent="0.2">
      <c r="A45" s="40" t="s">
        <v>97</v>
      </c>
      <c r="B45" s="12">
        <f t="shared" si="0"/>
        <v>15.32987012987013</v>
      </c>
      <c r="C45">
        <f t="shared" si="0"/>
        <v>7.7662337662337659</v>
      </c>
      <c r="D45">
        <f t="shared" si="0"/>
        <v>4.8623376623376622</v>
      </c>
      <c r="E45">
        <f t="shared" si="0"/>
        <v>7.5636363636363635</v>
      </c>
      <c r="F45">
        <f t="shared" si="0"/>
        <v>5.9428571428571431</v>
      </c>
      <c r="G45">
        <f t="shared" si="0"/>
        <v>10.535064935064936</v>
      </c>
      <c r="H45">
        <v>52</v>
      </c>
    </row>
    <row r="46" spans="1:8" x14ac:dyDescent="0.2">
      <c r="A46" s="38" t="s">
        <v>20</v>
      </c>
      <c r="B46" s="38">
        <v>227</v>
      </c>
      <c r="C46" s="38">
        <v>115</v>
      </c>
      <c r="D46" s="38">
        <v>72</v>
      </c>
      <c r="E46" s="38">
        <v>112</v>
      </c>
      <c r="F46" s="38">
        <v>88</v>
      </c>
      <c r="G46" s="38">
        <v>156</v>
      </c>
      <c r="H46" s="38">
        <v>770</v>
      </c>
    </row>
    <row r="48" spans="1:8" x14ac:dyDescent="0.2">
      <c r="A48" s="19" t="s">
        <v>93</v>
      </c>
      <c r="B48">
        <f>CHITEST(B22:G30,B37:G45)</f>
        <v>5.8797719463284201E-4</v>
      </c>
    </row>
    <row r="50" spans="1:8" x14ac:dyDescent="0.2">
      <c r="A50" s="11"/>
      <c r="B50" s="11"/>
      <c r="C50" s="11"/>
      <c r="D50" s="11"/>
      <c r="E50" s="11"/>
      <c r="F50" s="11"/>
      <c r="G50" s="11"/>
      <c r="H50" s="11"/>
    </row>
    <row r="52" spans="1:8" x14ac:dyDescent="0.2">
      <c r="A52" s="19" t="s">
        <v>55</v>
      </c>
      <c r="B52" s="11"/>
      <c r="C52" s="11"/>
      <c r="D52" s="11"/>
      <c r="E52" s="11"/>
      <c r="F52" s="11"/>
      <c r="G52" s="11"/>
      <c r="H52" s="11"/>
    </row>
    <row r="53" spans="1:8" x14ac:dyDescent="0.2">
      <c r="B53" s="12"/>
      <c r="C53" s="12"/>
      <c r="D53" s="12"/>
      <c r="E53" s="12"/>
      <c r="F53" s="12"/>
      <c r="G53" s="12"/>
    </row>
    <row r="54" spans="1:8" x14ac:dyDescent="0.2">
      <c r="A54" s="5" t="s">
        <v>95</v>
      </c>
      <c r="B54" s="5" t="s">
        <v>94</v>
      </c>
    </row>
    <row r="55" spans="1:8" x14ac:dyDescent="0.2">
      <c r="A55" s="5" t="s">
        <v>19</v>
      </c>
      <c r="B55">
        <v>0</v>
      </c>
      <c r="C55">
        <v>1</v>
      </c>
      <c r="D55">
        <v>2</v>
      </c>
      <c r="E55">
        <v>3</v>
      </c>
      <c r="F55">
        <v>4</v>
      </c>
      <c r="G55">
        <v>5</v>
      </c>
      <c r="H55" t="s">
        <v>20</v>
      </c>
    </row>
    <row r="56" spans="1:8" x14ac:dyDescent="0.2">
      <c r="A56" s="6">
        <v>0</v>
      </c>
      <c r="B56">
        <v>41</v>
      </c>
      <c r="C56">
        <v>5</v>
      </c>
      <c r="D56">
        <v>9</v>
      </c>
      <c r="E56">
        <v>5</v>
      </c>
      <c r="F56">
        <v>10</v>
      </c>
      <c r="G56">
        <v>21</v>
      </c>
      <c r="H56">
        <v>91</v>
      </c>
    </row>
    <row r="57" spans="1:8" x14ac:dyDescent="0.2">
      <c r="A57" s="6">
        <v>1</v>
      </c>
      <c r="B57">
        <v>56</v>
      </c>
      <c r="C57">
        <v>25</v>
      </c>
      <c r="D57">
        <v>17</v>
      </c>
      <c r="E57">
        <v>30</v>
      </c>
      <c r="F57">
        <v>23</v>
      </c>
      <c r="G57">
        <v>34</v>
      </c>
      <c r="H57">
        <v>185</v>
      </c>
    </row>
    <row r="58" spans="1:8" x14ac:dyDescent="0.2">
      <c r="A58" s="6">
        <v>2</v>
      </c>
      <c r="B58">
        <v>82</v>
      </c>
      <c r="C58">
        <v>55</v>
      </c>
      <c r="D58">
        <v>25</v>
      </c>
      <c r="E58">
        <v>51</v>
      </c>
      <c r="F58">
        <v>36</v>
      </c>
      <c r="G58">
        <v>53</v>
      </c>
      <c r="H58">
        <v>302</v>
      </c>
    </row>
    <row r="59" spans="1:8" x14ac:dyDescent="0.2">
      <c r="A59" s="6">
        <v>3</v>
      </c>
      <c r="B59">
        <v>41</v>
      </c>
      <c r="C59">
        <v>22</v>
      </c>
      <c r="D59">
        <v>15</v>
      </c>
      <c r="E59">
        <v>20</v>
      </c>
      <c r="F59">
        <v>14</v>
      </c>
      <c r="G59">
        <v>30</v>
      </c>
      <c r="H59">
        <v>142</v>
      </c>
    </row>
    <row r="60" spans="1:8" x14ac:dyDescent="0.2">
      <c r="A60" s="6">
        <v>4</v>
      </c>
      <c r="B60">
        <v>7</v>
      </c>
      <c r="C60">
        <v>8</v>
      </c>
      <c r="D60">
        <v>6</v>
      </c>
      <c r="E60">
        <v>6</v>
      </c>
      <c r="F60">
        <v>5</v>
      </c>
      <c r="G60">
        <v>18</v>
      </c>
      <c r="H60">
        <v>50</v>
      </c>
    </row>
    <row r="61" spans="1:8" x14ac:dyDescent="0.2">
      <c r="A61" s="6" t="s">
        <v>20</v>
      </c>
      <c r="B61">
        <v>227</v>
      </c>
      <c r="C61">
        <v>115</v>
      </c>
      <c r="D61">
        <v>72</v>
      </c>
      <c r="E61">
        <v>112</v>
      </c>
      <c r="F61">
        <v>88</v>
      </c>
      <c r="G61">
        <v>156</v>
      </c>
      <c r="H61">
        <v>770</v>
      </c>
    </row>
    <row r="62" spans="1:8" x14ac:dyDescent="0.2">
      <c r="D62" s="11"/>
      <c r="E62" s="11"/>
      <c r="F62" s="11"/>
      <c r="G62" s="11"/>
      <c r="H62" s="11"/>
    </row>
    <row r="64" spans="1:8" x14ac:dyDescent="0.2">
      <c r="A64" s="38" t="s">
        <v>96</v>
      </c>
    </row>
    <row r="65" spans="1:8" x14ac:dyDescent="0.2">
      <c r="A65" s="37" t="s">
        <v>95</v>
      </c>
      <c r="B65" s="37" t="s">
        <v>94</v>
      </c>
      <c r="C65" s="39"/>
      <c r="D65" s="39"/>
      <c r="E65" s="39"/>
      <c r="F65" s="39"/>
      <c r="G65" s="39"/>
      <c r="H65" s="39"/>
    </row>
    <row r="66" spans="1:8" x14ac:dyDescent="0.2">
      <c r="A66" s="37" t="s">
        <v>19</v>
      </c>
      <c r="B66" s="37">
        <v>0</v>
      </c>
      <c r="C66" s="37">
        <v>1</v>
      </c>
      <c r="D66" s="37">
        <v>2</v>
      </c>
      <c r="E66" s="37">
        <v>3</v>
      </c>
      <c r="F66" s="37">
        <v>4</v>
      </c>
      <c r="G66" s="37">
        <v>5</v>
      </c>
      <c r="H66" s="37" t="s">
        <v>20</v>
      </c>
    </row>
    <row r="67" spans="1:8" x14ac:dyDescent="0.2">
      <c r="A67">
        <v>0</v>
      </c>
      <c r="B67">
        <f t="shared" ref="B67:G71" si="1">($H67*B$72)/$H$72</f>
        <v>26.827272727272728</v>
      </c>
      <c r="C67">
        <f t="shared" si="1"/>
        <v>13.590909090909092</v>
      </c>
      <c r="D67">
        <f t="shared" si="1"/>
        <v>8.5090909090909097</v>
      </c>
      <c r="E67">
        <f t="shared" si="1"/>
        <v>13.236363636363636</v>
      </c>
      <c r="F67">
        <f t="shared" si="1"/>
        <v>10.4</v>
      </c>
      <c r="G67">
        <f t="shared" si="1"/>
        <v>18.436363636363637</v>
      </c>
      <c r="H67">
        <v>91</v>
      </c>
    </row>
    <row r="68" spans="1:8" x14ac:dyDescent="0.2">
      <c r="A68">
        <v>1</v>
      </c>
      <c r="B68">
        <f t="shared" si="1"/>
        <v>54.538961038961041</v>
      </c>
      <c r="C68">
        <f t="shared" si="1"/>
        <v>27.629870129870131</v>
      </c>
      <c r="D68">
        <f t="shared" si="1"/>
        <v>17.2987012987013</v>
      </c>
      <c r="E68">
        <f t="shared" si="1"/>
        <v>26.90909090909091</v>
      </c>
      <c r="F68">
        <f t="shared" si="1"/>
        <v>21.142857142857142</v>
      </c>
      <c r="G68">
        <f t="shared" si="1"/>
        <v>37.480519480519483</v>
      </c>
      <c r="H68">
        <v>185</v>
      </c>
    </row>
    <row r="69" spans="1:8" x14ac:dyDescent="0.2">
      <c r="A69">
        <v>2</v>
      </c>
      <c r="B69">
        <f t="shared" si="1"/>
        <v>89.031168831168827</v>
      </c>
      <c r="C69">
        <f t="shared" si="1"/>
        <v>45.103896103896105</v>
      </c>
      <c r="D69">
        <f t="shared" si="1"/>
        <v>28.23896103896104</v>
      </c>
      <c r="E69">
        <f t="shared" si="1"/>
        <v>43.927272727272729</v>
      </c>
      <c r="F69">
        <f t="shared" si="1"/>
        <v>34.514285714285712</v>
      </c>
      <c r="G69">
        <f t="shared" si="1"/>
        <v>61.184415584415582</v>
      </c>
      <c r="H69">
        <v>302</v>
      </c>
    </row>
    <row r="70" spans="1:8" x14ac:dyDescent="0.2">
      <c r="A70">
        <v>3</v>
      </c>
      <c r="B70">
        <f t="shared" si="1"/>
        <v>41.862337662337666</v>
      </c>
      <c r="C70">
        <f t="shared" si="1"/>
        <v>21.207792207792206</v>
      </c>
      <c r="D70">
        <f t="shared" si="1"/>
        <v>13.277922077922078</v>
      </c>
      <c r="E70">
        <f t="shared" si="1"/>
        <v>20.654545454545456</v>
      </c>
      <c r="F70">
        <f t="shared" si="1"/>
        <v>16.228571428571428</v>
      </c>
      <c r="G70">
        <f t="shared" si="1"/>
        <v>28.76883116883117</v>
      </c>
      <c r="H70">
        <v>142</v>
      </c>
    </row>
    <row r="71" spans="1:8" x14ac:dyDescent="0.2">
      <c r="A71">
        <v>4</v>
      </c>
      <c r="B71">
        <f t="shared" si="1"/>
        <v>14.74025974025974</v>
      </c>
      <c r="C71">
        <f t="shared" si="1"/>
        <v>7.4675324675324672</v>
      </c>
      <c r="D71">
        <f t="shared" si="1"/>
        <v>4.6753246753246751</v>
      </c>
      <c r="E71">
        <f t="shared" si="1"/>
        <v>7.2727272727272725</v>
      </c>
      <c r="F71">
        <f t="shared" si="1"/>
        <v>5.7142857142857144</v>
      </c>
      <c r="G71">
        <f t="shared" si="1"/>
        <v>10.129870129870129</v>
      </c>
      <c r="H71">
        <v>50</v>
      </c>
    </row>
    <row r="72" spans="1:8" x14ac:dyDescent="0.2">
      <c r="A72" s="37" t="s">
        <v>20</v>
      </c>
      <c r="B72" s="37">
        <v>227</v>
      </c>
      <c r="C72" s="37">
        <v>115</v>
      </c>
      <c r="D72" s="37">
        <v>72</v>
      </c>
      <c r="E72" s="37">
        <v>112</v>
      </c>
      <c r="F72" s="37">
        <v>88</v>
      </c>
      <c r="G72" s="37">
        <v>156</v>
      </c>
      <c r="H72" s="37">
        <v>770</v>
      </c>
    </row>
    <row r="74" spans="1:8" x14ac:dyDescent="0.2">
      <c r="A74" s="19" t="s">
        <v>93</v>
      </c>
      <c r="B74">
        <f>CHITEST(B56:G60,B67:G71)</f>
        <v>1.3318874944441773E-2</v>
      </c>
    </row>
    <row r="78" spans="1:8" x14ac:dyDescent="0.2">
      <c r="A78" s="19" t="s">
        <v>56</v>
      </c>
    </row>
    <row r="80" spans="1:8" x14ac:dyDescent="0.2">
      <c r="A80" s="5" t="s">
        <v>95</v>
      </c>
      <c r="B80" s="5" t="s">
        <v>94</v>
      </c>
    </row>
    <row r="81" spans="1:8" x14ac:dyDescent="0.2">
      <c r="A81" s="5" t="s">
        <v>19</v>
      </c>
      <c r="B81">
        <v>0</v>
      </c>
      <c r="C81">
        <v>1</v>
      </c>
      <c r="D81">
        <v>2</v>
      </c>
      <c r="E81">
        <v>3</v>
      </c>
      <c r="F81">
        <v>4</v>
      </c>
      <c r="G81">
        <v>5</v>
      </c>
      <c r="H81" t="s">
        <v>20</v>
      </c>
    </row>
    <row r="82" spans="1:8" x14ac:dyDescent="0.2">
      <c r="A82" s="6">
        <v>0</v>
      </c>
      <c r="B82">
        <v>174</v>
      </c>
      <c r="C82">
        <v>22</v>
      </c>
      <c r="D82">
        <v>33</v>
      </c>
      <c r="E82">
        <v>47</v>
      </c>
      <c r="F82">
        <v>35</v>
      </c>
      <c r="G82">
        <v>75</v>
      </c>
      <c r="H82">
        <v>386</v>
      </c>
    </row>
    <row r="83" spans="1:8" x14ac:dyDescent="0.2">
      <c r="A83" s="6">
        <v>1</v>
      </c>
      <c r="B83">
        <v>53</v>
      </c>
      <c r="C83">
        <v>93</v>
      </c>
      <c r="D83">
        <v>39</v>
      </c>
      <c r="E83">
        <v>65</v>
      </c>
      <c r="F83">
        <v>53</v>
      </c>
      <c r="G83">
        <v>81</v>
      </c>
      <c r="H83">
        <v>384</v>
      </c>
    </row>
    <row r="84" spans="1:8" x14ac:dyDescent="0.2">
      <c r="A84" s="6" t="s">
        <v>20</v>
      </c>
      <c r="B84">
        <v>227</v>
      </c>
      <c r="C84">
        <v>115</v>
      </c>
      <c r="D84">
        <v>72</v>
      </c>
      <c r="E84">
        <v>112</v>
      </c>
      <c r="F84">
        <v>88</v>
      </c>
      <c r="G84">
        <v>156</v>
      </c>
      <c r="H84">
        <v>770</v>
      </c>
    </row>
    <row r="87" spans="1:8" x14ac:dyDescent="0.2">
      <c r="A87" s="38" t="s">
        <v>96</v>
      </c>
    </row>
    <row r="88" spans="1:8" x14ac:dyDescent="0.2">
      <c r="A88" s="37" t="s">
        <v>95</v>
      </c>
      <c r="B88" s="37" t="s">
        <v>94</v>
      </c>
      <c r="C88" s="37"/>
      <c r="D88" s="37"/>
      <c r="E88" s="37"/>
      <c r="F88" s="37"/>
      <c r="G88" s="37"/>
      <c r="H88" s="37"/>
    </row>
    <row r="89" spans="1:8" x14ac:dyDescent="0.2">
      <c r="A89" s="37" t="s">
        <v>19</v>
      </c>
      <c r="B89" s="37">
        <v>0</v>
      </c>
      <c r="C89" s="37">
        <v>1</v>
      </c>
      <c r="D89" s="37">
        <v>2</v>
      </c>
      <c r="E89" s="37">
        <v>3</v>
      </c>
      <c r="F89" s="37">
        <v>4</v>
      </c>
      <c r="G89" s="37">
        <v>5</v>
      </c>
      <c r="H89" s="37" t="s">
        <v>20</v>
      </c>
    </row>
    <row r="90" spans="1:8" x14ac:dyDescent="0.2">
      <c r="A90">
        <v>0</v>
      </c>
      <c r="B90">
        <f t="shared" ref="B90:G91" si="2">($H90*B$92)/$H$92</f>
        <v>113.79480519480519</v>
      </c>
      <c r="C90">
        <f t="shared" si="2"/>
        <v>57.649350649350652</v>
      </c>
      <c r="D90">
        <f t="shared" si="2"/>
        <v>36.093506493506496</v>
      </c>
      <c r="E90">
        <f t="shared" si="2"/>
        <v>56.145454545454548</v>
      </c>
      <c r="F90">
        <f t="shared" si="2"/>
        <v>44.114285714285714</v>
      </c>
      <c r="G90">
        <f t="shared" si="2"/>
        <v>78.202597402597405</v>
      </c>
      <c r="H90">
        <v>386</v>
      </c>
    </row>
    <row r="91" spans="1:8" x14ac:dyDescent="0.2">
      <c r="A91">
        <v>1</v>
      </c>
      <c r="B91">
        <f t="shared" si="2"/>
        <v>113.20519480519481</v>
      </c>
      <c r="C91">
        <f t="shared" si="2"/>
        <v>57.350649350649348</v>
      </c>
      <c r="D91">
        <f t="shared" si="2"/>
        <v>35.906493506493504</v>
      </c>
      <c r="E91">
        <f t="shared" si="2"/>
        <v>55.854545454545452</v>
      </c>
      <c r="F91">
        <f t="shared" si="2"/>
        <v>43.885714285714286</v>
      </c>
      <c r="G91">
        <f t="shared" si="2"/>
        <v>77.797402597402595</v>
      </c>
      <c r="H91">
        <v>384</v>
      </c>
    </row>
    <row r="92" spans="1:8" x14ac:dyDescent="0.2">
      <c r="A92" s="37" t="s">
        <v>20</v>
      </c>
      <c r="B92" s="37">
        <v>227</v>
      </c>
      <c r="C92" s="37">
        <v>115</v>
      </c>
      <c r="D92" s="37">
        <v>72</v>
      </c>
      <c r="E92" s="37">
        <v>112</v>
      </c>
      <c r="F92" s="37">
        <v>88</v>
      </c>
      <c r="G92" s="37">
        <v>156</v>
      </c>
      <c r="H92" s="37">
        <v>770</v>
      </c>
    </row>
    <row r="94" spans="1:8" x14ac:dyDescent="0.2">
      <c r="A94" s="19" t="s">
        <v>93</v>
      </c>
      <c r="B94">
        <f>CHITEST(B82:G83,B90:G91)</f>
        <v>2.6372021512927734E-23</v>
      </c>
    </row>
  </sheetData>
  <pageMargins left="0.7" right="0.7" top="0.75" bottom="0.75" header="0.3" footer="0.3"/>
  <pageSetup paperSize="9" orientation="portrait" horizontalDpi="4294967293" verticalDpi="0"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07257-303E-485A-A30E-8A53214E23F7}">
  <dimension ref="A1:I792"/>
  <sheetViews>
    <sheetView zoomScale="125" workbookViewId="0">
      <selection activeCell="K27" sqref="K27"/>
    </sheetView>
  </sheetViews>
  <sheetFormatPr baseColWidth="10" defaultColWidth="8.83203125" defaultRowHeight="16" x14ac:dyDescent="0.2"/>
  <cols>
    <col min="1" max="1" width="22.1640625" bestFit="1" customWidth="1"/>
    <col min="2" max="3" width="13.83203125" bestFit="1" customWidth="1"/>
    <col min="5" max="5" width="12.5" customWidth="1"/>
  </cols>
  <sheetData>
    <row r="1" spans="1:1" x14ac:dyDescent="0.2">
      <c r="A1" s="19" t="s">
        <v>99</v>
      </c>
    </row>
    <row r="18" spans="1:9" x14ac:dyDescent="0.2">
      <c r="A18" s="42" t="s">
        <v>100</v>
      </c>
      <c r="B18">
        <f>PEARSON(gameandgrade!I2:I771,gameandgrade!J2:J771)</f>
        <v>-0.15978770278731982</v>
      </c>
      <c r="C18" s="43" t="s">
        <v>104</v>
      </c>
      <c r="D18">
        <f>B18*SQRT((COUNT(A21:A790)-2)/(1-POWER(B18,2)))</f>
        <v>-4.4799582978701462</v>
      </c>
      <c r="E18" s="42" t="s">
        <v>105</v>
      </c>
      <c r="F18">
        <f>_xlfn.T.DIST.2T(0.05,COUNT(A23:A792)+COUNT(C23:C792)-2)</f>
        <v>0.96012888064248236</v>
      </c>
    </row>
    <row r="20" spans="1:9" x14ac:dyDescent="0.2">
      <c r="A20" s="42" t="s">
        <v>102</v>
      </c>
      <c r="B20">
        <f>1 - (6 * SUM(E22:E792)) / (COUNT(E22:E792) * (COUNT(E22:E792)^2 - 1))</f>
        <v>0.98880788548050591</v>
      </c>
      <c r="C20" s="43" t="s">
        <v>104</v>
      </c>
      <c r="D20">
        <f>B20*SQRT((COUNT(A23:A792)-2)/(1-POWER(B20,2)))</f>
        <v>183.67076797542865</v>
      </c>
      <c r="E20" s="42" t="s">
        <v>105</v>
      </c>
      <c r="F20">
        <f>_xlfn.T.DIST.2T(0.05,COUNT(A23:A792)+COUNT(C23:C792)-2)</f>
        <v>0.96012888064248236</v>
      </c>
    </row>
    <row r="22" spans="1:9" x14ac:dyDescent="0.2">
      <c r="A22" s="1" t="s">
        <v>2</v>
      </c>
      <c r="B22" s="1" t="s">
        <v>101</v>
      </c>
      <c r="C22" s="1" t="s">
        <v>4</v>
      </c>
      <c r="D22" s="1" t="s">
        <v>101</v>
      </c>
      <c r="E22" s="1" t="s">
        <v>103</v>
      </c>
      <c r="G22" s="18"/>
      <c r="H22" s="18"/>
      <c r="I22" s="18"/>
    </row>
    <row r="23" spans="1:9" x14ac:dyDescent="0.2">
      <c r="A23">
        <v>0</v>
      </c>
      <c r="B23">
        <f>_xlfn.RANK.AVG(A23,$A$23:$A$792,1)</f>
        <v>114</v>
      </c>
      <c r="C23">
        <v>0</v>
      </c>
      <c r="D23">
        <f>_xlfn.RANK.AVG(C23,$C$23:$C$792,1)</f>
        <v>114</v>
      </c>
      <c r="E23">
        <f>POWER(B23-D23,2)</f>
        <v>0</v>
      </c>
    </row>
    <row r="24" spans="1:9" x14ac:dyDescent="0.2">
      <c r="A24">
        <v>0</v>
      </c>
      <c r="B24">
        <f t="shared" ref="B24:B87" si="0">_xlfn.RANK.AVG(A24,$A$23:$A$792,1)</f>
        <v>114</v>
      </c>
      <c r="C24">
        <v>0</v>
      </c>
      <c r="D24">
        <f t="shared" ref="D24:D87" si="1">_xlfn.RANK.AVG(C24,$C$23:$C$792,1)</f>
        <v>114</v>
      </c>
      <c r="E24">
        <f t="shared" ref="E24:E87" si="2">POWER(B24-D24,2)</f>
        <v>0</v>
      </c>
    </row>
    <row r="25" spans="1:9" x14ac:dyDescent="0.2">
      <c r="A25">
        <v>0</v>
      </c>
      <c r="B25">
        <f t="shared" si="0"/>
        <v>114</v>
      </c>
      <c r="C25">
        <v>0</v>
      </c>
      <c r="D25">
        <f t="shared" si="1"/>
        <v>114</v>
      </c>
      <c r="E25">
        <f t="shared" si="2"/>
        <v>0</v>
      </c>
    </row>
    <row r="26" spans="1:9" x14ac:dyDescent="0.2">
      <c r="A26">
        <v>0</v>
      </c>
      <c r="B26">
        <f t="shared" si="0"/>
        <v>114</v>
      </c>
      <c r="C26">
        <v>0</v>
      </c>
      <c r="D26">
        <f t="shared" si="1"/>
        <v>114</v>
      </c>
      <c r="E26">
        <f t="shared" si="2"/>
        <v>0</v>
      </c>
    </row>
    <row r="27" spans="1:9" x14ac:dyDescent="0.2">
      <c r="A27">
        <v>0</v>
      </c>
      <c r="B27">
        <f t="shared" si="0"/>
        <v>114</v>
      </c>
      <c r="C27">
        <v>0</v>
      </c>
      <c r="D27">
        <f t="shared" si="1"/>
        <v>114</v>
      </c>
      <c r="E27">
        <f t="shared" si="2"/>
        <v>0</v>
      </c>
    </row>
    <row r="28" spans="1:9" x14ac:dyDescent="0.2">
      <c r="A28">
        <v>0</v>
      </c>
      <c r="B28">
        <f t="shared" si="0"/>
        <v>114</v>
      </c>
      <c r="C28">
        <v>0</v>
      </c>
      <c r="D28">
        <f t="shared" si="1"/>
        <v>114</v>
      </c>
      <c r="E28">
        <f t="shared" si="2"/>
        <v>0</v>
      </c>
    </row>
    <row r="29" spans="1:9" x14ac:dyDescent="0.2">
      <c r="A29">
        <v>0</v>
      </c>
      <c r="B29">
        <f t="shared" si="0"/>
        <v>114</v>
      </c>
      <c r="C29">
        <v>0</v>
      </c>
      <c r="D29">
        <f t="shared" si="1"/>
        <v>114</v>
      </c>
      <c r="E29">
        <f t="shared" si="2"/>
        <v>0</v>
      </c>
    </row>
    <row r="30" spans="1:9" x14ac:dyDescent="0.2">
      <c r="A30">
        <v>0</v>
      </c>
      <c r="B30">
        <f t="shared" si="0"/>
        <v>114</v>
      </c>
      <c r="C30">
        <v>0</v>
      </c>
      <c r="D30">
        <f t="shared" si="1"/>
        <v>114</v>
      </c>
      <c r="E30">
        <f t="shared" si="2"/>
        <v>0</v>
      </c>
    </row>
    <row r="31" spans="1:9" x14ac:dyDescent="0.2">
      <c r="A31">
        <v>0</v>
      </c>
      <c r="B31">
        <f t="shared" si="0"/>
        <v>114</v>
      </c>
      <c r="C31">
        <v>0</v>
      </c>
      <c r="D31">
        <f t="shared" si="1"/>
        <v>114</v>
      </c>
      <c r="E31">
        <f t="shared" si="2"/>
        <v>0</v>
      </c>
    </row>
    <row r="32" spans="1:9" x14ac:dyDescent="0.2">
      <c r="A32">
        <v>0</v>
      </c>
      <c r="B32">
        <f t="shared" si="0"/>
        <v>114</v>
      </c>
      <c r="C32">
        <v>0</v>
      </c>
      <c r="D32">
        <f t="shared" si="1"/>
        <v>114</v>
      </c>
      <c r="E32">
        <f t="shared" si="2"/>
        <v>0</v>
      </c>
    </row>
    <row r="33" spans="1:5" x14ac:dyDescent="0.2">
      <c r="A33">
        <v>0</v>
      </c>
      <c r="B33">
        <f t="shared" si="0"/>
        <v>114</v>
      </c>
      <c r="C33">
        <v>0</v>
      </c>
      <c r="D33">
        <f t="shared" si="1"/>
        <v>114</v>
      </c>
      <c r="E33">
        <f t="shared" si="2"/>
        <v>0</v>
      </c>
    </row>
    <row r="34" spans="1:5" x14ac:dyDescent="0.2">
      <c r="A34">
        <v>0</v>
      </c>
      <c r="B34">
        <f t="shared" si="0"/>
        <v>114</v>
      </c>
      <c r="C34">
        <v>0</v>
      </c>
      <c r="D34">
        <f t="shared" si="1"/>
        <v>114</v>
      </c>
      <c r="E34">
        <f t="shared" si="2"/>
        <v>0</v>
      </c>
    </row>
    <row r="35" spans="1:5" x14ac:dyDescent="0.2">
      <c r="A35">
        <v>0</v>
      </c>
      <c r="B35">
        <f t="shared" si="0"/>
        <v>114</v>
      </c>
      <c r="C35">
        <v>0</v>
      </c>
      <c r="D35">
        <f t="shared" si="1"/>
        <v>114</v>
      </c>
      <c r="E35">
        <f t="shared" si="2"/>
        <v>0</v>
      </c>
    </row>
    <row r="36" spans="1:5" x14ac:dyDescent="0.2">
      <c r="A36">
        <v>0</v>
      </c>
      <c r="B36">
        <f t="shared" si="0"/>
        <v>114</v>
      </c>
      <c r="C36">
        <v>0</v>
      </c>
      <c r="D36">
        <f t="shared" si="1"/>
        <v>114</v>
      </c>
      <c r="E36">
        <f t="shared" si="2"/>
        <v>0</v>
      </c>
    </row>
    <row r="37" spans="1:5" x14ac:dyDescent="0.2">
      <c r="A37">
        <v>0</v>
      </c>
      <c r="B37">
        <f t="shared" si="0"/>
        <v>114</v>
      </c>
      <c r="C37">
        <v>0</v>
      </c>
      <c r="D37">
        <f t="shared" si="1"/>
        <v>114</v>
      </c>
      <c r="E37">
        <f t="shared" si="2"/>
        <v>0</v>
      </c>
    </row>
    <row r="38" spans="1:5" x14ac:dyDescent="0.2">
      <c r="A38">
        <v>0</v>
      </c>
      <c r="B38">
        <f t="shared" si="0"/>
        <v>114</v>
      </c>
      <c r="C38">
        <v>0</v>
      </c>
      <c r="D38">
        <f t="shared" si="1"/>
        <v>114</v>
      </c>
      <c r="E38">
        <f t="shared" si="2"/>
        <v>0</v>
      </c>
    </row>
    <row r="39" spans="1:5" x14ac:dyDescent="0.2">
      <c r="A39">
        <v>0</v>
      </c>
      <c r="B39">
        <f t="shared" si="0"/>
        <v>114</v>
      </c>
      <c r="C39">
        <v>0</v>
      </c>
      <c r="D39">
        <f t="shared" si="1"/>
        <v>114</v>
      </c>
      <c r="E39">
        <f t="shared" si="2"/>
        <v>0</v>
      </c>
    </row>
    <row r="40" spans="1:5" x14ac:dyDescent="0.2">
      <c r="A40">
        <v>0</v>
      </c>
      <c r="B40">
        <f t="shared" si="0"/>
        <v>114</v>
      </c>
      <c r="C40">
        <v>0</v>
      </c>
      <c r="D40">
        <f t="shared" si="1"/>
        <v>114</v>
      </c>
      <c r="E40">
        <f t="shared" si="2"/>
        <v>0</v>
      </c>
    </row>
    <row r="41" spans="1:5" x14ac:dyDescent="0.2">
      <c r="A41">
        <v>0</v>
      </c>
      <c r="B41">
        <f t="shared" si="0"/>
        <v>114</v>
      </c>
      <c r="C41">
        <v>0</v>
      </c>
      <c r="D41">
        <f t="shared" si="1"/>
        <v>114</v>
      </c>
      <c r="E41">
        <f t="shared" si="2"/>
        <v>0</v>
      </c>
    </row>
    <row r="42" spans="1:5" x14ac:dyDescent="0.2">
      <c r="A42">
        <v>0</v>
      </c>
      <c r="B42">
        <f t="shared" si="0"/>
        <v>114</v>
      </c>
      <c r="C42">
        <v>0</v>
      </c>
      <c r="D42">
        <f t="shared" si="1"/>
        <v>114</v>
      </c>
      <c r="E42">
        <f t="shared" si="2"/>
        <v>0</v>
      </c>
    </row>
    <row r="43" spans="1:5" x14ac:dyDescent="0.2">
      <c r="A43">
        <v>0</v>
      </c>
      <c r="B43">
        <f t="shared" si="0"/>
        <v>114</v>
      </c>
      <c r="C43">
        <v>0</v>
      </c>
      <c r="D43">
        <f t="shared" si="1"/>
        <v>114</v>
      </c>
      <c r="E43">
        <f t="shared" si="2"/>
        <v>0</v>
      </c>
    </row>
    <row r="44" spans="1:5" x14ac:dyDescent="0.2">
      <c r="A44">
        <v>0</v>
      </c>
      <c r="B44">
        <f t="shared" si="0"/>
        <v>114</v>
      </c>
      <c r="C44">
        <v>0</v>
      </c>
      <c r="D44">
        <f t="shared" si="1"/>
        <v>114</v>
      </c>
      <c r="E44">
        <f t="shared" si="2"/>
        <v>0</v>
      </c>
    </row>
    <row r="45" spans="1:5" x14ac:dyDescent="0.2">
      <c r="A45">
        <v>0</v>
      </c>
      <c r="B45">
        <f t="shared" si="0"/>
        <v>114</v>
      </c>
      <c r="C45">
        <v>0</v>
      </c>
      <c r="D45">
        <f t="shared" si="1"/>
        <v>114</v>
      </c>
      <c r="E45">
        <f t="shared" si="2"/>
        <v>0</v>
      </c>
    </row>
    <row r="46" spans="1:5" x14ac:dyDescent="0.2">
      <c r="A46">
        <v>0</v>
      </c>
      <c r="B46">
        <f t="shared" si="0"/>
        <v>114</v>
      </c>
      <c r="C46">
        <v>0</v>
      </c>
      <c r="D46">
        <f t="shared" si="1"/>
        <v>114</v>
      </c>
      <c r="E46">
        <f t="shared" si="2"/>
        <v>0</v>
      </c>
    </row>
    <row r="47" spans="1:5" x14ac:dyDescent="0.2">
      <c r="A47">
        <v>0</v>
      </c>
      <c r="B47">
        <f t="shared" si="0"/>
        <v>114</v>
      </c>
      <c r="C47">
        <v>0</v>
      </c>
      <c r="D47">
        <f t="shared" si="1"/>
        <v>114</v>
      </c>
      <c r="E47">
        <f t="shared" si="2"/>
        <v>0</v>
      </c>
    </row>
    <row r="48" spans="1:5" x14ac:dyDescent="0.2">
      <c r="A48">
        <v>0</v>
      </c>
      <c r="B48">
        <f t="shared" si="0"/>
        <v>114</v>
      </c>
      <c r="C48">
        <v>0</v>
      </c>
      <c r="D48">
        <f t="shared" si="1"/>
        <v>114</v>
      </c>
      <c r="E48">
        <f t="shared" si="2"/>
        <v>0</v>
      </c>
    </row>
    <row r="49" spans="1:5" x14ac:dyDescent="0.2">
      <c r="A49">
        <v>0</v>
      </c>
      <c r="B49">
        <f t="shared" si="0"/>
        <v>114</v>
      </c>
      <c r="C49">
        <v>0</v>
      </c>
      <c r="D49">
        <f t="shared" si="1"/>
        <v>114</v>
      </c>
      <c r="E49">
        <f t="shared" si="2"/>
        <v>0</v>
      </c>
    </row>
    <row r="50" spans="1:5" x14ac:dyDescent="0.2">
      <c r="A50">
        <v>0</v>
      </c>
      <c r="B50">
        <f t="shared" si="0"/>
        <v>114</v>
      </c>
      <c r="C50">
        <v>0</v>
      </c>
      <c r="D50">
        <f t="shared" si="1"/>
        <v>114</v>
      </c>
      <c r="E50">
        <f t="shared" si="2"/>
        <v>0</v>
      </c>
    </row>
    <row r="51" spans="1:5" x14ac:dyDescent="0.2">
      <c r="A51">
        <v>0</v>
      </c>
      <c r="B51">
        <f t="shared" si="0"/>
        <v>114</v>
      </c>
      <c r="C51">
        <v>0</v>
      </c>
      <c r="D51">
        <f t="shared" si="1"/>
        <v>114</v>
      </c>
      <c r="E51">
        <f t="shared" si="2"/>
        <v>0</v>
      </c>
    </row>
    <row r="52" spans="1:5" x14ac:dyDescent="0.2">
      <c r="A52">
        <v>0</v>
      </c>
      <c r="B52">
        <f t="shared" si="0"/>
        <v>114</v>
      </c>
      <c r="C52">
        <v>0</v>
      </c>
      <c r="D52">
        <f t="shared" si="1"/>
        <v>114</v>
      </c>
      <c r="E52">
        <f t="shared" si="2"/>
        <v>0</v>
      </c>
    </row>
    <row r="53" spans="1:5" x14ac:dyDescent="0.2">
      <c r="A53">
        <v>0</v>
      </c>
      <c r="B53">
        <f t="shared" si="0"/>
        <v>114</v>
      </c>
      <c r="C53">
        <v>0</v>
      </c>
      <c r="D53">
        <f t="shared" si="1"/>
        <v>114</v>
      </c>
      <c r="E53">
        <f t="shared" si="2"/>
        <v>0</v>
      </c>
    </row>
    <row r="54" spans="1:5" x14ac:dyDescent="0.2">
      <c r="A54">
        <v>0</v>
      </c>
      <c r="B54">
        <f t="shared" si="0"/>
        <v>114</v>
      </c>
      <c r="C54">
        <v>0</v>
      </c>
      <c r="D54">
        <f t="shared" si="1"/>
        <v>114</v>
      </c>
      <c r="E54">
        <f t="shared" si="2"/>
        <v>0</v>
      </c>
    </row>
    <row r="55" spans="1:5" x14ac:dyDescent="0.2">
      <c r="A55">
        <v>0</v>
      </c>
      <c r="B55">
        <f t="shared" si="0"/>
        <v>114</v>
      </c>
      <c r="C55">
        <v>0</v>
      </c>
      <c r="D55">
        <f t="shared" si="1"/>
        <v>114</v>
      </c>
      <c r="E55">
        <f t="shared" si="2"/>
        <v>0</v>
      </c>
    </row>
    <row r="56" spans="1:5" x14ac:dyDescent="0.2">
      <c r="A56">
        <v>0</v>
      </c>
      <c r="B56">
        <f t="shared" si="0"/>
        <v>114</v>
      </c>
      <c r="C56">
        <v>0</v>
      </c>
      <c r="D56">
        <f t="shared" si="1"/>
        <v>114</v>
      </c>
      <c r="E56">
        <f t="shared" si="2"/>
        <v>0</v>
      </c>
    </row>
    <row r="57" spans="1:5" x14ac:dyDescent="0.2">
      <c r="A57">
        <v>0</v>
      </c>
      <c r="B57">
        <f t="shared" si="0"/>
        <v>114</v>
      </c>
      <c r="C57">
        <v>0</v>
      </c>
      <c r="D57">
        <f t="shared" si="1"/>
        <v>114</v>
      </c>
      <c r="E57">
        <f t="shared" si="2"/>
        <v>0</v>
      </c>
    </row>
    <row r="58" spans="1:5" x14ac:dyDescent="0.2">
      <c r="A58">
        <v>0</v>
      </c>
      <c r="B58">
        <f t="shared" si="0"/>
        <v>114</v>
      </c>
      <c r="C58">
        <v>0</v>
      </c>
      <c r="D58">
        <f t="shared" si="1"/>
        <v>114</v>
      </c>
      <c r="E58">
        <f t="shared" si="2"/>
        <v>0</v>
      </c>
    </row>
    <row r="59" spans="1:5" x14ac:dyDescent="0.2">
      <c r="A59">
        <v>0</v>
      </c>
      <c r="B59">
        <f t="shared" si="0"/>
        <v>114</v>
      </c>
      <c r="C59">
        <v>0</v>
      </c>
      <c r="D59">
        <f t="shared" si="1"/>
        <v>114</v>
      </c>
      <c r="E59">
        <f t="shared" si="2"/>
        <v>0</v>
      </c>
    </row>
    <row r="60" spans="1:5" x14ac:dyDescent="0.2">
      <c r="A60">
        <v>0</v>
      </c>
      <c r="B60">
        <f t="shared" si="0"/>
        <v>114</v>
      </c>
      <c r="C60">
        <v>0</v>
      </c>
      <c r="D60">
        <f t="shared" si="1"/>
        <v>114</v>
      </c>
      <c r="E60">
        <f t="shared" si="2"/>
        <v>0</v>
      </c>
    </row>
    <row r="61" spans="1:5" x14ac:dyDescent="0.2">
      <c r="A61">
        <v>0</v>
      </c>
      <c r="B61">
        <f t="shared" si="0"/>
        <v>114</v>
      </c>
      <c r="C61">
        <v>0</v>
      </c>
      <c r="D61">
        <f t="shared" si="1"/>
        <v>114</v>
      </c>
      <c r="E61">
        <f t="shared" si="2"/>
        <v>0</v>
      </c>
    </row>
    <row r="62" spans="1:5" x14ac:dyDescent="0.2">
      <c r="A62">
        <v>0</v>
      </c>
      <c r="B62">
        <f t="shared" si="0"/>
        <v>114</v>
      </c>
      <c r="C62">
        <v>0</v>
      </c>
      <c r="D62">
        <f t="shared" si="1"/>
        <v>114</v>
      </c>
      <c r="E62">
        <f t="shared" si="2"/>
        <v>0</v>
      </c>
    </row>
    <row r="63" spans="1:5" x14ac:dyDescent="0.2">
      <c r="A63">
        <v>0</v>
      </c>
      <c r="B63">
        <f t="shared" si="0"/>
        <v>114</v>
      </c>
      <c r="C63">
        <v>0</v>
      </c>
      <c r="D63">
        <f t="shared" si="1"/>
        <v>114</v>
      </c>
      <c r="E63">
        <f t="shared" si="2"/>
        <v>0</v>
      </c>
    </row>
    <row r="64" spans="1:5" x14ac:dyDescent="0.2">
      <c r="A64">
        <v>0</v>
      </c>
      <c r="B64">
        <f t="shared" si="0"/>
        <v>114</v>
      </c>
      <c r="C64">
        <v>0</v>
      </c>
      <c r="D64">
        <f t="shared" si="1"/>
        <v>114</v>
      </c>
      <c r="E64">
        <f t="shared" si="2"/>
        <v>0</v>
      </c>
    </row>
    <row r="65" spans="1:5" x14ac:dyDescent="0.2">
      <c r="A65">
        <v>0</v>
      </c>
      <c r="B65">
        <f t="shared" si="0"/>
        <v>114</v>
      </c>
      <c r="C65">
        <v>0</v>
      </c>
      <c r="D65">
        <f t="shared" si="1"/>
        <v>114</v>
      </c>
      <c r="E65">
        <f t="shared" si="2"/>
        <v>0</v>
      </c>
    </row>
    <row r="66" spans="1:5" x14ac:dyDescent="0.2">
      <c r="A66">
        <v>0</v>
      </c>
      <c r="B66">
        <f t="shared" si="0"/>
        <v>114</v>
      </c>
      <c r="C66">
        <v>0</v>
      </c>
      <c r="D66">
        <f t="shared" si="1"/>
        <v>114</v>
      </c>
      <c r="E66">
        <f t="shared" si="2"/>
        <v>0</v>
      </c>
    </row>
    <row r="67" spans="1:5" x14ac:dyDescent="0.2">
      <c r="A67">
        <v>0</v>
      </c>
      <c r="B67">
        <f t="shared" si="0"/>
        <v>114</v>
      </c>
      <c r="C67">
        <v>0</v>
      </c>
      <c r="D67">
        <f t="shared" si="1"/>
        <v>114</v>
      </c>
      <c r="E67">
        <f t="shared" si="2"/>
        <v>0</v>
      </c>
    </row>
    <row r="68" spans="1:5" x14ac:dyDescent="0.2">
      <c r="A68">
        <v>0</v>
      </c>
      <c r="B68">
        <f t="shared" si="0"/>
        <v>114</v>
      </c>
      <c r="C68">
        <v>0</v>
      </c>
      <c r="D68">
        <f t="shared" si="1"/>
        <v>114</v>
      </c>
      <c r="E68">
        <f t="shared" si="2"/>
        <v>0</v>
      </c>
    </row>
    <row r="69" spans="1:5" x14ac:dyDescent="0.2">
      <c r="A69">
        <v>0</v>
      </c>
      <c r="B69">
        <f t="shared" si="0"/>
        <v>114</v>
      </c>
      <c r="C69">
        <v>0</v>
      </c>
      <c r="D69">
        <f t="shared" si="1"/>
        <v>114</v>
      </c>
      <c r="E69">
        <f t="shared" si="2"/>
        <v>0</v>
      </c>
    </row>
    <row r="70" spans="1:5" x14ac:dyDescent="0.2">
      <c r="A70">
        <v>0</v>
      </c>
      <c r="B70">
        <f t="shared" si="0"/>
        <v>114</v>
      </c>
      <c r="C70">
        <v>0</v>
      </c>
      <c r="D70">
        <f t="shared" si="1"/>
        <v>114</v>
      </c>
      <c r="E70">
        <f t="shared" si="2"/>
        <v>0</v>
      </c>
    </row>
    <row r="71" spans="1:5" x14ac:dyDescent="0.2">
      <c r="A71">
        <v>0</v>
      </c>
      <c r="B71">
        <f t="shared" si="0"/>
        <v>114</v>
      </c>
      <c r="C71">
        <v>0</v>
      </c>
      <c r="D71">
        <f t="shared" si="1"/>
        <v>114</v>
      </c>
      <c r="E71">
        <f t="shared" si="2"/>
        <v>0</v>
      </c>
    </row>
    <row r="72" spans="1:5" x14ac:dyDescent="0.2">
      <c r="A72">
        <v>0</v>
      </c>
      <c r="B72">
        <f t="shared" si="0"/>
        <v>114</v>
      </c>
      <c r="C72">
        <v>0</v>
      </c>
      <c r="D72">
        <f t="shared" si="1"/>
        <v>114</v>
      </c>
      <c r="E72">
        <f t="shared" si="2"/>
        <v>0</v>
      </c>
    </row>
    <row r="73" spans="1:5" x14ac:dyDescent="0.2">
      <c r="A73">
        <v>0</v>
      </c>
      <c r="B73">
        <f t="shared" si="0"/>
        <v>114</v>
      </c>
      <c r="C73">
        <v>0</v>
      </c>
      <c r="D73">
        <f t="shared" si="1"/>
        <v>114</v>
      </c>
      <c r="E73">
        <f t="shared" si="2"/>
        <v>0</v>
      </c>
    </row>
    <row r="74" spans="1:5" x14ac:dyDescent="0.2">
      <c r="A74">
        <v>0</v>
      </c>
      <c r="B74">
        <f t="shared" si="0"/>
        <v>114</v>
      </c>
      <c r="C74">
        <v>0</v>
      </c>
      <c r="D74">
        <f t="shared" si="1"/>
        <v>114</v>
      </c>
      <c r="E74">
        <f t="shared" si="2"/>
        <v>0</v>
      </c>
    </row>
    <row r="75" spans="1:5" x14ac:dyDescent="0.2">
      <c r="A75">
        <v>0</v>
      </c>
      <c r="B75">
        <f t="shared" si="0"/>
        <v>114</v>
      </c>
      <c r="C75">
        <v>0</v>
      </c>
      <c r="D75">
        <f t="shared" si="1"/>
        <v>114</v>
      </c>
      <c r="E75">
        <f t="shared" si="2"/>
        <v>0</v>
      </c>
    </row>
    <row r="76" spans="1:5" x14ac:dyDescent="0.2">
      <c r="A76">
        <v>0</v>
      </c>
      <c r="B76">
        <f t="shared" si="0"/>
        <v>114</v>
      </c>
      <c r="C76">
        <v>0</v>
      </c>
      <c r="D76">
        <f t="shared" si="1"/>
        <v>114</v>
      </c>
      <c r="E76">
        <f t="shared" si="2"/>
        <v>0</v>
      </c>
    </row>
    <row r="77" spans="1:5" x14ac:dyDescent="0.2">
      <c r="A77">
        <v>0</v>
      </c>
      <c r="B77">
        <f t="shared" si="0"/>
        <v>114</v>
      </c>
      <c r="C77">
        <v>0</v>
      </c>
      <c r="D77">
        <f t="shared" si="1"/>
        <v>114</v>
      </c>
      <c r="E77">
        <f t="shared" si="2"/>
        <v>0</v>
      </c>
    </row>
    <row r="78" spans="1:5" x14ac:dyDescent="0.2">
      <c r="A78">
        <v>0</v>
      </c>
      <c r="B78">
        <f t="shared" si="0"/>
        <v>114</v>
      </c>
      <c r="C78">
        <v>0</v>
      </c>
      <c r="D78">
        <f t="shared" si="1"/>
        <v>114</v>
      </c>
      <c r="E78">
        <f t="shared" si="2"/>
        <v>0</v>
      </c>
    </row>
    <row r="79" spans="1:5" x14ac:dyDescent="0.2">
      <c r="A79">
        <v>0</v>
      </c>
      <c r="B79">
        <f t="shared" si="0"/>
        <v>114</v>
      </c>
      <c r="C79">
        <v>0</v>
      </c>
      <c r="D79">
        <f t="shared" si="1"/>
        <v>114</v>
      </c>
      <c r="E79">
        <f t="shared" si="2"/>
        <v>0</v>
      </c>
    </row>
    <row r="80" spans="1:5" x14ac:dyDescent="0.2">
      <c r="A80">
        <v>0</v>
      </c>
      <c r="B80">
        <f t="shared" si="0"/>
        <v>114</v>
      </c>
      <c r="C80">
        <v>0</v>
      </c>
      <c r="D80">
        <f t="shared" si="1"/>
        <v>114</v>
      </c>
      <c r="E80">
        <f t="shared" si="2"/>
        <v>0</v>
      </c>
    </row>
    <row r="81" spans="1:5" x14ac:dyDescent="0.2">
      <c r="A81">
        <v>0</v>
      </c>
      <c r="B81">
        <f t="shared" si="0"/>
        <v>114</v>
      </c>
      <c r="C81">
        <v>0</v>
      </c>
      <c r="D81">
        <f t="shared" si="1"/>
        <v>114</v>
      </c>
      <c r="E81">
        <f t="shared" si="2"/>
        <v>0</v>
      </c>
    </row>
    <row r="82" spans="1:5" x14ac:dyDescent="0.2">
      <c r="A82">
        <v>0</v>
      </c>
      <c r="B82">
        <f t="shared" si="0"/>
        <v>114</v>
      </c>
      <c r="C82">
        <v>0</v>
      </c>
      <c r="D82">
        <f t="shared" si="1"/>
        <v>114</v>
      </c>
      <c r="E82">
        <f t="shared" si="2"/>
        <v>0</v>
      </c>
    </row>
    <row r="83" spans="1:5" x14ac:dyDescent="0.2">
      <c r="A83">
        <v>0</v>
      </c>
      <c r="B83">
        <f t="shared" si="0"/>
        <v>114</v>
      </c>
      <c r="C83">
        <v>0</v>
      </c>
      <c r="D83">
        <f t="shared" si="1"/>
        <v>114</v>
      </c>
      <c r="E83">
        <f t="shared" si="2"/>
        <v>0</v>
      </c>
    </row>
    <row r="84" spans="1:5" x14ac:dyDescent="0.2">
      <c r="A84">
        <v>0</v>
      </c>
      <c r="B84">
        <f t="shared" si="0"/>
        <v>114</v>
      </c>
      <c r="C84">
        <v>0</v>
      </c>
      <c r="D84">
        <f t="shared" si="1"/>
        <v>114</v>
      </c>
      <c r="E84">
        <f t="shared" si="2"/>
        <v>0</v>
      </c>
    </row>
    <row r="85" spans="1:5" x14ac:dyDescent="0.2">
      <c r="A85">
        <v>0</v>
      </c>
      <c r="B85">
        <f t="shared" si="0"/>
        <v>114</v>
      </c>
      <c r="C85">
        <v>0</v>
      </c>
      <c r="D85">
        <f t="shared" si="1"/>
        <v>114</v>
      </c>
      <c r="E85">
        <f t="shared" si="2"/>
        <v>0</v>
      </c>
    </row>
    <row r="86" spans="1:5" x14ac:dyDescent="0.2">
      <c r="A86">
        <v>0</v>
      </c>
      <c r="B86">
        <f t="shared" si="0"/>
        <v>114</v>
      </c>
      <c r="C86">
        <v>0</v>
      </c>
      <c r="D86">
        <f t="shared" si="1"/>
        <v>114</v>
      </c>
      <c r="E86">
        <f t="shared" si="2"/>
        <v>0</v>
      </c>
    </row>
    <row r="87" spans="1:5" x14ac:dyDescent="0.2">
      <c r="A87">
        <v>0</v>
      </c>
      <c r="B87">
        <f t="shared" si="0"/>
        <v>114</v>
      </c>
      <c r="C87">
        <v>0</v>
      </c>
      <c r="D87">
        <f t="shared" si="1"/>
        <v>114</v>
      </c>
      <c r="E87">
        <f t="shared" si="2"/>
        <v>0</v>
      </c>
    </row>
    <row r="88" spans="1:5" x14ac:dyDescent="0.2">
      <c r="A88">
        <v>0</v>
      </c>
      <c r="B88">
        <f t="shared" ref="B88:B151" si="3">_xlfn.RANK.AVG(A88,$A$23:$A$792,1)</f>
        <v>114</v>
      </c>
      <c r="C88">
        <v>0</v>
      </c>
      <c r="D88">
        <f t="shared" ref="D88:D151" si="4">_xlfn.RANK.AVG(C88,$C$23:$C$792,1)</f>
        <v>114</v>
      </c>
      <c r="E88">
        <f t="shared" ref="E88:E151" si="5">POWER(B88-D88,2)</f>
        <v>0</v>
      </c>
    </row>
    <row r="89" spans="1:5" x14ac:dyDescent="0.2">
      <c r="A89">
        <v>0</v>
      </c>
      <c r="B89">
        <f t="shared" si="3"/>
        <v>114</v>
      </c>
      <c r="C89">
        <v>0</v>
      </c>
      <c r="D89">
        <f t="shared" si="4"/>
        <v>114</v>
      </c>
      <c r="E89">
        <f t="shared" si="5"/>
        <v>0</v>
      </c>
    </row>
    <row r="90" spans="1:5" x14ac:dyDescent="0.2">
      <c r="A90">
        <v>0</v>
      </c>
      <c r="B90">
        <f t="shared" si="3"/>
        <v>114</v>
      </c>
      <c r="C90">
        <v>0</v>
      </c>
      <c r="D90">
        <f t="shared" si="4"/>
        <v>114</v>
      </c>
      <c r="E90">
        <f t="shared" si="5"/>
        <v>0</v>
      </c>
    </row>
    <row r="91" spans="1:5" x14ac:dyDescent="0.2">
      <c r="A91">
        <v>0</v>
      </c>
      <c r="B91">
        <f t="shared" si="3"/>
        <v>114</v>
      </c>
      <c r="C91">
        <v>0</v>
      </c>
      <c r="D91">
        <f t="shared" si="4"/>
        <v>114</v>
      </c>
      <c r="E91">
        <f t="shared" si="5"/>
        <v>0</v>
      </c>
    </row>
    <row r="92" spans="1:5" x14ac:dyDescent="0.2">
      <c r="A92">
        <v>0</v>
      </c>
      <c r="B92">
        <f t="shared" si="3"/>
        <v>114</v>
      </c>
      <c r="C92">
        <v>0</v>
      </c>
      <c r="D92">
        <f t="shared" si="4"/>
        <v>114</v>
      </c>
      <c r="E92">
        <f t="shared" si="5"/>
        <v>0</v>
      </c>
    </row>
    <row r="93" spans="1:5" x14ac:dyDescent="0.2">
      <c r="A93">
        <v>0</v>
      </c>
      <c r="B93">
        <f t="shared" si="3"/>
        <v>114</v>
      </c>
      <c r="C93">
        <v>0</v>
      </c>
      <c r="D93">
        <f t="shared" si="4"/>
        <v>114</v>
      </c>
      <c r="E93">
        <f t="shared" si="5"/>
        <v>0</v>
      </c>
    </row>
    <row r="94" spans="1:5" x14ac:dyDescent="0.2">
      <c r="A94">
        <v>0</v>
      </c>
      <c r="B94">
        <f t="shared" si="3"/>
        <v>114</v>
      </c>
      <c r="C94">
        <v>0</v>
      </c>
      <c r="D94">
        <f t="shared" si="4"/>
        <v>114</v>
      </c>
      <c r="E94">
        <f t="shared" si="5"/>
        <v>0</v>
      </c>
    </row>
    <row r="95" spans="1:5" x14ac:dyDescent="0.2">
      <c r="A95">
        <v>0</v>
      </c>
      <c r="B95">
        <f t="shared" si="3"/>
        <v>114</v>
      </c>
      <c r="C95">
        <v>0</v>
      </c>
      <c r="D95">
        <f t="shared" si="4"/>
        <v>114</v>
      </c>
      <c r="E95">
        <f t="shared" si="5"/>
        <v>0</v>
      </c>
    </row>
    <row r="96" spans="1:5" x14ac:dyDescent="0.2">
      <c r="A96">
        <v>0</v>
      </c>
      <c r="B96">
        <f t="shared" si="3"/>
        <v>114</v>
      </c>
      <c r="C96">
        <v>0</v>
      </c>
      <c r="D96">
        <f t="shared" si="4"/>
        <v>114</v>
      </c>
      <c r="E96">
        <f t="shared" si="5"/>
        <v>0</v>
      </c>
    </row>
    <row r="97" spans="1:5" x14ac:dyDescent="0.2">
      <c r="A97">
        <v>0</v>
      </c>
      <c r="B97">
        <f t="shared" si="3"/>
        <v>114</v>
      </c>
      <c r="C97">
        <v>0</v>
      </c>
      <c r="D97">
        <f t="shared" si="4"/>
        <v>114</v>
      </c>
      <c r="E97">
        <f t="shared" si="5"/>
        <v>0</v>
      </c>
    </row>
    <row r="98" spans="1:5" x14ac:dyDescent="0.2">
      <c r="A98">
        <v>0</v>
      </c>
      <c r="B98">
        <f t="shared" si="3"/>
        <v>114</v>
      </c>
      <c r="C98">
        <v>0</v>
      </c>
      <c r="D98">
        <f t="shared" si="4"/>
        <v>114</v>
      </c>
      <c r="E98">
        <f t="shared" si="5"/>
        <v>0</v>
      </c>
    </row>
    <row r="99" spans="1:5" x14ac:dyDescent="0.2">
      <c r="A99">
        <v>0</v>
      </c>
      <c r="B99">
        <f t="shared" si="3"/>
        <v>114</v>
      </c>
      <c r="C99">
        <v>0</v>
      </c>
      <c r="D99">
        <f t="shared" si="4"/>
        <v>114</v>
      </c>
      <c r="E99">
        <f t="shared" si="5"/>
        <v>0</v>
      </c>
    </row>
    <row r="100" spans="1:5" x14ac:dyDescent="0.2">
      <c r="A100">
        <v>0</v>
      </c>
      <c r="B100">
        <f t="shared" si="3"/>
        <v>114</v>
      </c>
      <c r="C100">
        <v>0</v>
      </c>
      <c r="D100">
        <f t="shared" si="4"/>
        <v>114</v>
      </c>
      <c r="E100">
        <f t="shared" si="5"/>
        <v>0</v>
      </c>
    </row>
    <row r="101" spans="1:5" x14ac:dyDescent="0.2">
      <c r="A101">
        <v>0</v>
      </c>
      <c r="B101">
        <f t="shared" si="3"/>
        <v>114</v>
      </c>
      <c r="C101">
        <v>0</v>
      </c>
      <c r="D101">
        <f t="shared" si="4"/>
        <v>114</v>
      </c>
      <c r="E101">
        <f t="shared" si="5"/>
        <v>0</v>
      </c>
    </row>
    <row r="102" spans="1:5" x14ac:dyDescent="0.2">
      <c r="A102">
        <v>0</v>
      </c>
      <c r="B102">
        <f t="shared" si="3"/>
        <v>114</v>
      </c>
      <c r="C102">
        <v>0</v>
      </c>
      <c r="D102">
        <f t="shared" si="4"/>
        <v>114</v>
      </c>
      <c r="E102">
        <f t="shared" si="5"/>
        <v>0</v>
      </c>
    </row>
    <row r="103" spans="1:5" x14ac:dyDescent="0.2">
      <c r="A103">
        <v>0</v>
      </c>
      <c r="B103">
        <f t="shared" si="3"/>
        <v>114</v>
      </c>
      <c r="C103">
        <v>0</v>
      </c>
      <c r="D103">
        <f t="shared" si="4"/>
        <v>114</v>
      </c>
      <c r="E103">
        <f t="shared" si="5"/>
        <v>0</v>
      </c>
    </row>
    <row r="104" spans="1:5" x14ac:dyDescent="0.2">
      <c r="A104">
        <v>0</v>
      </c>
      <c r="B104">
        <f t="shared" si="3"/>
        <v>114</v>
      </c>
      <c r="C104">
        <v>0</v>
      </c>
      <c r="D104">
        <f t="shared" si="4"/>
        <v>114</v>
      </c>
      <c r="E104">
        <f t="shared" si="5"/>
        <v>0</v>
      </c>
    </row>
    <row r="105" spans="1:5" x14ac:dyDescent="0.2">
      <c r="A105">
        <v>0</v>
      </c>
      <c r="B105">
        <f t="shared" si="3"/>
        <v>114</v>
      </c>
      <c r="C105">
        <v>0</v>
      </c>
      <c r="D105">
        <f t="shared" si="4"/>
        <v>114</v>
      </c>
      <c r="E105">
        <f t="shared" si="5"/>
        <v>0</v>
      </c>
    </row>
    <row r="106" spans="1:5" x14ac:dyDescent="0.2">
      <c r="A106">
        <v>0</v>
      </c>
      <c r="B106">
        <f t="shared" si="3"/>
        <v>114</v>
      </c>
      <c r="C106">
        <v>0</v>
      </c>
      <c r="D106">
        <f t="shared" si="4"/>
        <v>114</v>
      </c>
      <c r="E106">
        <f t="shared" si="5"/>
        <v>0</v>
      </c>
    </row>
    <row r="107" spans="1:5" x14ac:dyDescent="0.2">
      <c r="A107">
        <v>0</v>
      </c>
      <c r="B107">
        <f t="shared" si="3"/>
        <v>114</v>
      </c>
      <c r="C107">
        <v>0</v>
      </c>
      <c r="D107">
        <f t="shared" si="4"/>
        <v>114</v>
      </c>
      <c r="E107">
        <f t="shared" si="5"/>
        <v>0</v>
      </c>
    </row>
    <row r="108" spans="1:5" x14ac:dyDescent="0.2">
      <c r="A108">
        <v>0</v>
      </c>
      <c r="B108">
        <f t="shared" si="3"/>
        <v>114</v>
      </c>
      <c r="C108">
        <v>0</v>
      </c>
      <c r="D108">
        <f t="shared" si="4"/>
        <v>114</v>
      </c>
      <c r="E108">
        <f t="shared" si="5"/>
        <v>0</v>
      </c>
    </row>
    <row r="109" spans="1:5" x14ac:dyDescent="0.2">
      <c r="A109">
        <v>0</v>
      </c>
      <c r="B109">
        <f t="shared" si="3"/>
        <v>114</v>
      </c>
      <c r="C109">
        <v>0</v>
      </c>
      <c r="D109">
        <f t="shared" si="4"/>
        <v>114</v>
      </c>
      <c r="E109">
        <f t="shared" si="5"/>
        <v>0</v>
      </c>
    </row>
    <row r="110" spans="1:5" x14ac:dyDescent="0.2">
      <c r="A110">
        <v>0</v>
      </c>
      <c r="B110">
        <f t="shared" si="3"/>
        <v>114</v>
      </c>
      <c r="C110">
        <v>0</v>
      </c>
      <c r="D110">
        <f t="shared" si="4"/>
        <v>114</v>
      </c>
      <c r="E110">
        <f t="shared" si="5"/>
        <v>0</v>
      </c>
    </row>
    <row r="111" spans="1:5" x14ac:dyDescent="0.2">
      <c r="A111">
        <v>0</v>
      </c>
      <c r="B111">
        <f t="shared" si="3"/>
        <v>114</v>
      </c>
      <c r="C111">
        <v>0</v>
      </c>
      <c r="D111">
        <f t="shared" si="4"/>
        <v>114</v>
      </c>
      <c r="E111">
        <f t="shared" si="5"/>
        <v>0</v>
      </c>
    </row>
    <row r="112" spans="1:5" x14ac:dyDescent="0.2">
      <c r="A112">
        <v>0</v>
      </c>
      <c r="B112">
        <f t="shared" si="3"/>
        <v>114</v>
      </c>
      <c r="C112">
        <v>0</v>
      </c>
      <c r="D112">
        <f t="shared" si="4"/>
        <v>114</v>
      </c>
      <c r="E112">
        <f t="shared" si="5"/>
        <v>0</v>
      </c>
    </row>
    <row r="113" spans="1:5" x14ac:dyDescent="0.2">
      <c r="A113">
        <v>0</v>
      </c>
      <c r="B113">
        <f t="shared" si="3"/>
        <v>114</v>
      </c>
      <c r="C113">
        <v>0</v>
      </c>
      <c r="D113">
        <f t="shared" si="4"/>
        <v>114</v>
      </c>
      <c r="E113">
        <f t="shared" si="5"/>
        <v>0</v>
      </c>
    </row>
    <row r="114" spans="1:5" x14ac:dyDescent="0.2">
      <c r="A114">
        <v>0</v>
      </c>
      <c r="B114">
        <f t="shared" si="3"/>
        <v>114</v>
      </c>
      <c r="C114">
        <v>0</v>
      </c>
      <c r="D114">
        <f t="shared" si="4"/>
        <v>114</v>
      </c>
      <c r="E114">
        <f t="shared" si="5"/>
        <v>0</v>
      </c>
    </row>
    <row r="115" spans="1:5" x14ac:dyDescent="0.2">
      <c r="A115">
        <v>0</v>
      </c>
      <c r="B115">
        <f t="shared" si="3"/>
        <v>114</v>
      </c>
      <c r="C115">
        <v>0</v>
      </c>
      <c r="D115">
        <f t="shared" si="4"/>
        <v>114</v>
      </c>
      <c r="E115">
        <f t="shared" si="5"/>
        <v>0</v>
      </c>
    </row>
    <row r="116" spans="1:5" x14ac:dyDescent="0.2">
      <c r="A116">
        <v>0</v>
      </c>
      <c r="B116">
        <f t="shared" si="3"/>
        <v>114</v>
      </c>
      <c r="C116">
        <v>0</v>
      </c>
      <c r="D116">
        <f t="shared" si="4"/>
        <v>114</v>
      </c>
      <c r="E116">
        <f t="shared" si="5"/>
        <v>0</v>
      </c>
    </row>
    <row r="117" spans="1:5" x14ac:dyDescent="0.2">
      <c r="A117">
        <v>0</v>
      </c>
      <c r="B117">
        <f t="shared" si="3"/>
        <v>114</v>
      </c>
      <c r="C117">
        <v>0</v>
      </c>
      <c r="D117">
        <f t="shared" si="4"/>
        <v>114</v>
      </c>
      <c r="E117">
        <f t="shared" si="5"/>
        <v>0</v>
      </c>
    </row>
    <row r="118" spans="1:5" x14ac:dyDescent="0.2">
      <c r="A118">
        <v>0</v>
      </c>
      <c r="B118">
        <f t="shared" si="3"/>
        <v>114</v>
      </c>
      <c r="C118">
        <v>0</v>
      </c>
      <c r="D118">
        <f t="shared" si="4"/>
        <v>114</v>
      </c>
      <c r="E118">
        <f t="shared" si="5"/>
        <v>0</v>
      </c>
    </row>
    <row r="119" spans="1:5" x14ac:dyDescent="0.2">
      <c r="A119">
        <v>0</v>
      </c>
      <c r="B119">
        <f t="shared" si="3"/>
        <v>114</v>
      </c>
      <c r="C119">
        <v>0</v>
      </c>
      <c r="D119">
        <f t="shared" si="4"/>
        <v>114</v>
      </c>
      <c r="E119">
        <f t="shared" si="5"/>
        <v>0</v>
      </c>
    </row>
    <row r="120" spans="1:5" x14ac:dyDescent="0.2">
      <c r="A120">
        <v>0</v>
      </c>
      <c r="B120">
        <f t="shared" si="3"/>
        <v>114</v>
      </c>
      <c r="C120">
        <v>0</v>
      </c>
      <c r="D120">
        <f t="shared" si="4"/>
        <v>114</v>
      </c>
      <c r="E120">
        <f t="shared" si="5"/>
        <v>0</v>
      </c>
    </row>
    <row r="121" spans="1:5" x14ac:dyDescent="0.2">
      <c r="A121">
        <v>0</v>
      </c>
      <c r="B121">
        <f t="shared" si="3"/>
        <v>114</v>
      </c>
      <c r="C121">
        <v>0</v>
      </c>
      <c r="D121">
        <f t="shared" si="4"/>
        <v>114</v>
      </c>
      <c r="E121">
        <f t="shared" si="5"/>
        <v>0</v>
      </c>
    </row>
    <row r="122" spans="1:5" x14ac:dyDescent="0.2">
      <c r="A122">
        <v>0</v>
      </c>
      <c r="B122">
        <f t="shared" si="3"/>
        <v>114</v>
      </c>
      <c r="C122">
        <v>0</v>
      </c>
      <c r="D122">
        <f t="shared" si="4"/>
        <v>114</v>
      </c>
      <c r="E122">
        <f t="shared" si="5"/>
        <v>0</v>
      </c>
    </row>
    <row r="123" spans="1:5" x14ac:dyDescent="0.2">
      <c r="A123">
        <v>0</v>
      </c>
      <c r="B123">
        <f t="shared" si="3"/>
        <v>114</v>
      </c>
      <c r="C123">
        <v>0</v>
      </c>
      <c r="D123">
        <f t="shared" si="4"/>
        <v>114</v>
      </c>
      <c r="E123">
        <f t="shared" si="5"/>
        <v>0</v>
      </c>
    </row>
    <row r="124" spans="1:5" x14ac:dyDescent="0.2">
      <c r="A124">
        <v>0</v>
      </c>
      <c r="B124">
        <f t="shared" si="3"/>
        <v>114</v>
      </c>
      <c r="C124">
        <v>0</v>
      </c>
      <c r="D124">
        <f t="shared" si="4"/>
        <v>114</v>
      </c>
      <c r="E124">
        <f t="shared" si="5"/>
        <v>0</v>
      </c>
    </row>
    <row r="125" spans="1:5" x14ac:dyDescent="0.2">
      <c r="A125">
        <v>0</v>
      </c>
      <c r="B125">
        <f t="shared" si="3"/>
        <v>114</v>
      </c>
      <c r="C125">
        <v>0</v>
      </c>
      <c r="D125">
        <f t="shared" si="4"/>
        <v>114</v>
      </c>
      <c r="E125">
        <f t="shared" si="5"/>
        <v>0</v>
      </c>
    </row>
    <row r="126" spans="1:5" x14ac:dyDescent="0.2">
      <c r="A126">
        <v>0</v>
      </c>
      <c r="B126">
        <f t="shared" si="3"/>
        <v>114</v>
      </c>
      <c r="C126">
        <v>0</v>
      </c>
      <c r="D126">
        <f t="shared" si="4"/>
        <v>114</v>
      </c>
      <c r="E126">
        <f t="shared" si="5"/>
        <v>0</v>
      </c>
    </row>
    <row r="127" spans="1:5" x14ac:dyDescent="0.2">
      <c r="A127">
        <v>0</v>
      </c>
      <c r="B127">
        <f t="shared" si="3"/>
        <v>114</v>
      </c>
      <c r="C127">
        <v>0</v>
      </c>
      <c r="D127">
        <f t="shared" si="4"/>
        <v>114</v>
      </c>
      <c r="E127">
        <f t="shared" si="5"/>
        <v>0</v>
      </c>
    </row>
    <row r="128" spans="1:5" x14ac:dyDescent="0.2">
      <c r="A128">
        <v>0</v>
      </c>
      <c r="B128">
        <f t="shared" si="3"/>
        <v>114</v>
      </c>
      <c r="C128">
        <v>0</v>
      </c>
      <c r="D128">
        <f t="shared" si="4"/>
        <v>114</v>
      </c>
      <c r="E128">
        <f t="shared" si="5"/>
        <v>0</v>
      </c>
    </row>
    <row r="129" spans="1:5" x14ac:dyDescent="0.2">
      <c r="A129">
        <v>0</v>
      </c>
      <c r="B129">
        <f t="shared" si="3"/>
        <v>114</v>
      </c>
      <c r="C129">
        <v>0</v>
      </c>
      <c r="D129">
        <f t="shared" si="4"/>
        <v>114</v>
      </c>
      <c r="E129">
        <f t="shared" si="5"/>
        <v>0</v>
      </c>
    </row>
    <row r="130" spans="1:5" x14ac:dyDescent="0.2">
      <c r="A130">
        <v>0</v>
      </c>
      <c r="B130">
        <f t="shared" si="3"/>
        <v>114</v>
      </c>
      <c r="C130">
        <v>0</v>
      </c>
      <c r="D130">
        <f t="shared" si="4"/>
        <v>114</v>
      </c>
      <c r="E130">
        <f t="shared" si="5"/>
        <v>0</v>
      </c>
    </row>
    <row r="131" spans="1:5" x14ac:dyDescent="0.2">
      <c r="A131">
        <v>0</v>
      </c>
      <c r="B131">
        <f t="shared" si="3"/>
        <v>114</v>
      </c>
      <c r="C131">
        <v>0</v>
      </c>
      <c r="D131">
        <f t="shared" si="4"/>
        <v>114</v>
      </c>
      <c r="E131">
        <f t="shared" si="5"/>
        <v>0</v>
      </c>
    </row>
    <row r="132" spans="1:5" x14ac:dyDescent="0.2">
      <c r="A132">
        <v>0</v>
      </c>
      <c r="B132">
        <f t="shared" si="3"/>
        <v>114</v>
      </c>
      <c r="C132">
        <v>0</v>
      </c>
      <c r="D132">
        <f t="shared" si="4"/>
        <v>114</v>
      </c>
      <c r="E132">
        <f t="shared" si="5"/>
        <v>0</v>
      </c>
    </row>
    <row r="133" spans="1:5" x14ac:dyDescent="0.2">
      <c r="A133">
        <v>0</v>
      </c>
      <c r="B133">
        <f t="shared" si="3"/>
        <v>114</v>
      </c>
      <c r="C133">
        <v>0</v>
      </c>
      <c r="D133">
        <f t="shared" si="4"/>
        <v>114</v>
      </c>
      <c r="E133">
        <f t="shared" si="5"/>
        <v>0</v>
      </c>
    </row>
    <row r="134" spans="1:5" x14ac:dyDescent="0.2">
      <c r="A134">
        <v>0</v>
      </c>
      <c r="B134">
        <f t="shared" si="3"/>
        <v>114</v>
      </c>
      <c r="C134">
        <v>0</v>
      </c>
      <c r="D134">
        <f t="shared" si="4"/>
        <v>114</v>
      </c>
      <c r="E134">
        <f t="shared" si="5"/>
        <v>0</v>
      </c>
    </row>
    <row r="135" spans="1:5" x14ac:dyDescent="0.2">
      <c r="A135">
        <v>0</v>
      </c>
      <c r="B135">
        <f t="shared" si="3"/>
        <v>114</v>
      </c>
      <c r="C135">
        <v>0</v>
      </c>
      <c r="D135">
        <f t="shared" si="4"/>
        <v>114</v>
      </c>
      <c r="E135">
        <f t="shared" si="5"/>
        <v>0</v>
      </c>
    </row>
    <row r="136" spans="1:5" x14ac:dyDescent="0.2">
      <c r="A136">
        <v>0</v>
      </c>
      <c r="B136">
        <f t="shared" si="3"/>
        <v>114</v>
      </c>
      <c r="C136">
        <v>0</v>
      </c>
      <c r="D136">
        <f t="shared" si="4"/>
        <v>114</v>
      </c>
      <c r="E136">
        <f t="shared" si="5"/>
        <v>0</v>
      </c>
    </row>
    <row r="137" spans="1:5" x14ac:dyDescent="0.2">
      <c r="A137">
        <v>0</v>
      </c>
      <c r="B137">
        <f t="shared" si="3"/>
        <v>114</v>
      </c>
      <c r="C137">
        <v>0</v>
      </c>
      <c r="D137">
        <f t="shared" si="4"/>
        <v>114</v>
      </c>
      <c r="E137">
        <f t="shared" si="5"/>
        <v>0</v>
      </c>
    </row>
    <row r="138" spans="1:5" x14ac:dyDescent="0.2">
      <c r="A138">
        <v>0</v>
      </c>
      <c r="B138">
        <f t="shared" si="3"/>
        <v>114</v>
      </c>
      <c r="C138">
        <v>0</v>
      </c>
      <c r="D138">
        <f t="shared" si="4"/>
        <v>114</v>
      </c>
      <c r="E138">
        <f t="shared" si="5"/>
        <v>0</v>
      </c>
    </row>
    <row r="139" spans="1:5" x14ac:dyDescent="0.2">
      <c r="A139">
        <v>0</v>
      </c>
      <c r="B139">
        <f t="shared" si="3"/>
        <v>114</v>
      </c>
      <c r="C139">
        <v>0</v>
      </c>
      <c r="D139">
        <f t="shared" si="4"/>
        <v>114</v>
      </c>
      <c r="E139">
        <f t="shared" si="5"/>
        <v>0</v>
      </c>
    </row>
    <row r="140" spans="1:5" x14ac:dyDescent="0.2">
      <c r="A140">
        <v>0</v>
      </c>
      <c r="B140">
        <f t="shared" si="3"/>
        <v>114</v>
      </c>
      <c r="C140">
        <v>0</v>
      </c>
      <c r="D140">
        <f t="shared" si="4"/>
        <v>114</v>
      </c>
      <c r="E140">
        <f t="shared" si="5"/>
        <v>0</v>
      </c>
    </row>
    <row r="141" spans="1:5" x14ac:dyDescent="0.2">
      <c r="A141">
        <v>0</v>
      </c>
      <c r="B141">
        <f t="shared" si="3"/>
        <v>114</v>
      </c>
      <c r="C141">
        <v>0</v>
      </c>
      <c r="D141">
        <f t="shared" si="4"/>
        <v>114</v>
      </c>
      <c r="E141">
        <f t="shared" si="5"/>
        <v>0</v>
      </c>
    </row>
    <row r="142" spans="1:5" x14ac:dyDescent="0.2">
      <c r="A142">
        <v>0</v>
      </c>
      <c r="B142">
        <f t="shared" si="3"/>
        <v>114</v>
      </c>
      <c r="C142">
        <v>0</v>
      </c>
      <c r="D142">
        <f t="shared" si="4"/>
        <v>114</v>
      </c>
      <c r="E142">
        <f t="shared" si="5"/>
        <v>0</v>
      </c>
    </row>
    <row r="143" spans="1:5" x14ac:dyDescent="0.2">
      <c r="A143">
        <v>0</v>
      </c>
      <c r="B143">
        <f t="shared" si="3"/>
        <v>114</v>
      </c>
      <c r="C143">
        <v>0</v>
      </c>
      <c r="D143">
        <f t="shared" si="4"/>
        <v>114</v>
      </c>
      <c r="E143">
        <f t="shared" si="5"/>
        <v>0</v>
      </c>
    </row>
    <row r="144" spans="1:5" x14ac:dyDescent="0.2">
      <c r="A144">
        <v>0</v>
      </c>
      <c r="B144">
        <f t="shared" si="3"/>
        <v>114</v>
      </c>
      <c r="C144">
        <v>0</v>
      </c>
      <c r="D144">
        <f t="shared" si="4"/>
        <v>114</v>
      </c>
      <c r="E144">
        <f t="shared" si="5"/>
        <v>0</v>
      </c>
    </row>
    <row r="145" spans="1:5" x14ac:dyDescent="0.2">
      <c r="A145">
        <v>0</v>
      </c>
      <c r="B145">
        <f t="shared" si="3"/>
        <v>114</v>
      </c>
      <c r="C145">
        <v>0</v>
      </c>
      <c r="D145">
        <f t="shared" si="4"/>
        <v>114</v>
      </c>
      <c r="E145">
        <f t="shared" si="5"/>
        <v>0</v>
      </c>
    </row>
    <row r="146" spans="1:5" x14ac:dyDescent="0.2">
      <c r="A146">
        <v>0</v>
      </c>
      <c r="B146">
        <f t="shared" si="3"/>
        <v>114</v>
      </c>
      <c r="C146">
        <v>0</v>
      </c>
      <c r="D146">
        <f t="shared" si="4"/>
        <v>114</v>
      </c>
      <c r="E146">
        <f t="shared" si="5"/>
        <v>0</v>
      </c>
    </row>
    <row r="147" spans="1:5" x14ac:dyDescent="0.2">
      <c r="A147">
        <v>0</v>
      </c>
      <c r="B147">
        <f t="shared" si="3"/>
        <v>114</v>
      </c>
      <c r="C147">
        <v>0</v>
      </c>
      <c r="D147">
        <f t="shared" si="4"/>
        <v>114</v>
      </c>
      <c r="E147">
        <f t="shared" si="5"/>
        <v>0</v>
      </c>
    </row>
    <row r="148" spans="1:5" x14ac:dyDescent="0.2">
      <c r="A148">
        <v>0</v>
      </c>
      <c r="B148">
        <f t="shared" si="3"/>
        <v>114</v>
      </c>
      <c r="C148">
        <v>0</v>
      </c>
      <c r="D148">
        <f t="shared" si="4"/>
        <v>114</v>
      </c>
      <c r="E148">
        <f t="shared" si="5"/>
        <v>0</v>
      </c>
    </row>
    <row r="149" spans="1:5" x14ac:dyDescent="0.2">
      <c r="A149">
        <v>0</v>
      </c>
      <c r="B149">
        <f t="shared" si="3"/>
        <v>114</v>
      </c>
      <c r="C149">
        <v>0</v>
      </c>
      <c r="D149">
        <f t="shared" si="4"/>
        <v>114</v>
      </c>
      <c r="E149">
        <f t="shared" si="5"/>
        <v>0</v>
      </c>
    </row>
    <row r="150" spans="1:5" x14ac:dyDescent="0.2">
      <c r="A150">
        <v>0</v>
      </c>
      <c r="B150">
        <f t="shared" si="3"/>
        <v>114</v>
      </c>
      <c r="C150">
        <v>0</v>
      </c>
      <c r="D150">
        <f t="shared" si="4"/>
        <v>114</v>
      </c>
      <c r="E150">
        <f t="shared" si="5"/>
        <v>0</v>
      </c>
    </row>
    <row r="151" spans="1:5" x14ac:dyDescent="0.2">
      <c r="A151">
        <v>0</v>
      </c>
      <c r="B151">
        <f t="shared" si="3"/>
        <v>114</v>
      </c>
      <c r="C151">
        <v>0</v>
      </c>
      <c r="D151">
        <f t="shared" si="4"/>
        <v>114</v>
      </c>
      <c r="E151">
        <f t="shared" si="5"/>
        <v>0</v>
      </c>
    </row>
    <row r="152" spans="1:5" x14ac:dyDescent="0.2">
      <c r="A152">
        <v>0</v>
      </c>
      <c r="B152">
        <f t="shared" ref="B152:B215" si="6">_xlfn.RANK.AVG(A152,$A$23:$A$792,1)</f>
        <v>114</v>
      </c>
      <c r="C152">
        <v>0</v>
      </c>
      <c r="D152">
        <f t="shared" ref="D152:D215" si="7">_xlfn.RANK.AVG(C152,$C$23:$C$792,1)</f>
        <v>114</v>
      </c>
      <c r="E152">
        <f t="shared" ref="E152:E215" si="8">POWER(B152-D152,2)</f>
        <v>0</v>
      </c>
    </row>
    <row r="153" spans="1:5" x14ac:dyDescent="0.2">
      <c r="A153">
        <v>0</v>
      </c>
      <c r="B153">
        <f t="shared" si="6"/>
        <v>114</v>
      </c>
      <c r="C153">
        <v>0</v>
      </c>
      <c r="D153">
        <f t="shared" si="7"/>
        <v>114</v>
      </c>
      <c r="E153">
        <f t="shared" si="8"/>
        <v>0</v>
      </c>
    </row>
    <row r="154" spans="1:5" x14ac:dyDescent="0.2">
      <c r="A154">
        <v>0</v>
      </c>
      <c r="B154">
        <f t="shared" si="6"/>
        <v>114</v>
      </c>
      <c r="C154">
        <v>0</v>
      </c>
      <c r="D154">
        <f t="shared" si="7"/>
        <v>114</v>
      </c>
      <c r="E154">
        <f t="shared" si="8"/>
        <v>0</v>
      </c>
    </row>
    <row r="155" spans="1:5" x14ac:dyDescent="0.2">
      <c r="A155">
        <v>0</v>
      </c>
      <c r="B155">
        <f t="shared" si="6"/>
        <v>114</v>
      </c>
      <c r="C155">
        <v>0</v>
      </c>
      <c r="D155">
        <f t="shared" si="7"/>
        <v>114</v>
      </c>
      <c r="E155">
        <f t="shared" si="8"/>
        <v>0</v>
      </c>
    </row>
    <row r="156" spans="1:5" x14ac:dyDescent="0.2">
      <c r="A156">
        <v>0</v>
      </c>
      <c r="B156">
        <f t="shared" si="6"/>
        <v>114</v>
      </c>
      <c r="C156">
        <v>0</v>
      </c>
      <c r="D156">
        <f t="shared" si="7"/>
        <v>114</v>
      </c>
      <c r="E156">
        <f t="shared" si="8"/>
        <v>0</v>
      </c>
    </row>
    <row r="157" spans="1:5" x14ac:dyDescent="0.2">
      <c r="A157">
        <v>0</v>
      </c>
      <c r="B157">
        <f t="shared" si="6"/>
        <v>114</v>
      </c>
      <c r="C157">
        <v>0</v>
      </c>
      <c r="D157">
        <f t="shared" si="7"/>
        <v>114</v>
      </c>
      <c r="E157">
        <f t="shared" si="8"/>
        <v>0</v>
      </c>
    </row>
    <row r="158" spans="1:5" x14ac:dyDescent="0.2">
      <c r="A158">
        <v>0</v>
      </c>
      <c r="B158">
        <f t="shared" si="6"/>
        <v>114</v>
      </c>
      <c r="C158">
        <v>0</v>
      </c>
      <c r="D158">
        <f t="shared" si="7"/>
        <v>114</v>
      </c>
      <c r="E158">
        <f t="shared" si="8"/>
        <v>0</v>
      </c>
    </row>
    <row r="159" spans="1:5" x14ac:dyDescent="0.2">
      <c r="A159">
        <v>0</v>
      </c>
      <c r="B159">
        <f t="shared" si="6"/>
        <v>114</v>
      </c>
      <c r="C159">
        <v>0</v>
      </c>
      <c r="D159">
        <f t="shared" si="7"/>
        <v>114</v>
      </c>
      <c r="E159">
        <f t="shared" si="8"/>
        <v>0</v>
      </c>
    </row>
    <row r="160" spans="1:5" x14ac:dyDescent="0.2">
      <c r="A160">
        <v>0</v>
      </c>
      <c r="B160">
        <f t="shared" si="6"/>
        <v>114</v>
      </c>
      <c r="C160">
        <v>0</v>
      </c>
      <c r="D160">
        <f t="shared" si="7"/>
        <v>114</v>
      </c>
      <c r="E160">
        <f t="shared" si="8"/>
        <v>0</v>
      </c>
    </row>
    <row r="161" spans="1:5" x14ac:dyDescent="0.2">
      <c r="A161">
        <v>0</v>
      </c>
      <c r="B161">
        <f t="shared" si="6"/>
        <v>114</v>
      </c>
      <c r="C161">
        <v>0</v>
      </c>
      <c r="D161">
        <f t="shared" si="7"/>
        <v>114</v>
      </c>
      <c r="E161">
        <f t="shared" si="8"/>
        <v>0</v>
      </c>
    </row>
    <row r="162" spans="1:5" x14ac:dyDescent="0.2">
      <c r="A162">
        <v>0</v>
      </c>
      <c r="B162">
        <f t="shared" si="6"/>
        <v>114</v>
      </c>
      <c r="C162">
        <v>0</v>
      </c>
      <c r="D162">
        <f t="shared" si="7"/>
        <v>114</v>
      </c>
      <c r="E162">
        <f t="shared" si="8"/>
        <v>0</v>
      </c>
    </row>
    <row r="163" spans="1:5" x14ac:dyDescent="0.2">
      <c r="A163">
        <v>0</v>
      </c>
      <c r="B163">
        <f t="shared" si="6"/>
        <v>114</v>
      </c>
      <c r="C163">
        <v>0</v>
      </c>
      <c r="D163">
        <f t="shared" si="7"/>
        <v>114</v>
      </c>
      <c r="E163">
        <f t="shared" si="8"/>
        <v>0</v>
      </c>
    </row>
    <row r="164" spans="1:5" x14ac:dyDescent="0.2">
      <c r="A164">
        <v>0</v>
      </c>
      <c r="B164">
        <f t="shared" si="6"/>
        <v>114</v>
      </c>
      <c r="C164">
        <v>0</v>
      </c>
      <c r="D164">
        <f t="shared" si="7"/>
        <v>114</v>
      </c>
      <c r="E164">
        <f t="shared" si="8"/>
        <v>0</v>
      </c>
    </row>
    <row r="165" spans="1:5" x14ac:dyDescent="0.2">
      <c r="A165">
        <v>0</v>
      </c>
      <c r="B165">
        <f t="shared" si="6"/>
        <v>114</v>
      </c>
      <c r="C165">
        <v>0</v>
      </c>
      <c r="D165">
        <f t="shared" si="7"/>
        <v>114</v>
      </c>
      <c r="E165">
        <f t="shared" si="8"/>
        <v>0</v>
      </c>
    </row>
    <row r="166" spans="1:5" x14ac:dyDescent="0.2">
      <c r="A166">
        <v>0</v>
      </c>
      <c r="B166">
        <f t="shared" si="6"/>
        <v>114</v>
      </c>
      <c r="C166">
        <v>0</v>
      </c>
      <c r="D166">
        <f t="shared" si="7"/>
        <v>114</v>
      </c>
      <c r="E166">
        <f t="shared" si="8"/>
        <v>0</v>
      </c>
    </row>
    <row r="167" spans="1:5" x14ac:dyDescent="0.2">
      <c r="A167">
        <v>0</v>
      </c>
      <c r="B167">
        <f t="shared" si="6"/>
        <v>114</v>
      </c>
      <c r="C167">
        <v>0</v>
      </c>
      <c r="D167">
        <f t="shared" si="7"/>
        <v>114</v>
      </c>
      <c r="E167">
        <f t="shared" si="8"/>
        <v>0</v>
      </c>
    </row>
    <row r="168" spans="1:5" x14ac:dyDescent="0.2">
      <c r="A168">
        <v>0</v>
      </c>
      <c r="B168">
        <f t="shared" si="6"/>
        <v>114</v>
      </c>
      <c r="C168">
        <v>0</v>
      </c>
      <c r="D168">
        <f t="shared" si="7"/>
        <v>114</v>
      </c>
      <c r="E168">
        <f t="shared" si="8"/>
        <v>0</v>
      </c>
    </row>
    <row r="169" spans="1:5" x14ac:dyDescent="0.2">
      <c r="A169">
        <v>0</v>
      </c>
      <c r="B169">
        <f t="shared" si="6"/>
        <v>114</v>
      </c>
      <c r="C169">
        <v>0</v>
      </c>
      <c r="D169">
        <f t="shared" si="7"/>
        <v>114</v>
      </c>
      <c r="E169">
        <f t="shared" si="8"/>
        <v>0</v>
      </c>
    </row>
    <row r="170" spans="1:5" x14ac:dyDescent="0.2">
      <c r="A170">
        <v>0</v>
      </c>
      <c r="B170">
        <f t="shared" si="6"/>
        <v>114</v>
      </c>
      <c r="C170">
        <v>0</v>
      </c>
      <c r="D170">
        <f t="shared" si="7"/>
        <v>114</v>
      </c>
      <c r="E170">
        <f t="shared" si="8"/>
        <v>0</v>
      </c>
    </row>
    <row r="171" spans="1:5" x14ac:dyDescent="0.2">
      <c r="A171">
        <v>0</v>
      </c>
      <c r="B171">
        <f t="shared" si="6"/>
        <v>114</v>
      </c>
      <c r="C171">
        <v>0</v>
      </c>
      <c r="D171">
        <f t="shared" si="7"/>
        <v>114</v>
      </c>
      <c r="E171">
        <f t="shared" si="8"/>
        <v>0</v>
      </c>
    </row>
    <row r="172" spans="1:5" x14ac:dyDescent="0.2">
      <c r="A172">
        <v>0</v>
      </c>
      <c r="B172">
        <f t="shared" si="6"/>
        <v>114</v>
      </c>
      <c r="C172">
        <v>0</v>
      </c>
      <c r="D172">
        <f t="shared" si="7"/>
        <v>114</v>
      </c>
      <c r="E172">
        <f t="shared" si="8"/>
        <v>0</v>
      </c>
    </row>
    <row r="173" spans="1:5" x14ac:dyDescent="0.2">
      <c r="A173">
        <v>0</v>
      </c>
      <c r="B173">
        <f t="shared" si="6"/>
        <v>114</v>
      </c>
      <c r="C173">
        <v>0</v>
      </c>
      <c r="D173">
        <f t="shared" si="7"/>
        <v>114</v>
      </c>
      <c r="E173">
        <f t="shared" si="8"/>
        <v>0</v>
      </c>
    </row>
    <row r="174" spans="1:5" x14ac:dyDescent="0.2">
      <c r="A174">
        <v>0</v>
      </c>
      <c r="B174">
        <f t="shared" si="6"/>
        <v>114</v>
      </c>
      <c r="C174">
        <v>0</v>
      </c>
      <c r="D174">
        <f t="shared" si="7"/>
        <v>114</v>
      </c>
      <c r="E174">
        <f t="shared" si="8"/>
        <v>0</v>
      </c>
    </row>
    <row r="175" spans="1:5" x14ac:dyDescent="0.2">
      <c r="A175">
        <v>0</v>
      </c>
      <c r="B175">
        <f t="shared" si="6"/>
        <v>114</v>
      </c>
      <c r="C175">
        <v>0</v>
      </c>
      <c r="D175">
        <f t="shared" si="7"/>
        <v>114</v>
      </c>
      <c r="E175">
        <f t="shared" si="8"/>
        <v>0</v>
      </c>
    </row>
    <row r="176" spans="1:5" x14ac:dyDescent="0.2">
      <c r="A176">
        <v>0</v>
      </c>
      <c r="B176">
        <f t="shared" si="6"/>
        <v>114</v>
      </c>
      <c r="C176">
        <v>0</v>
      </c>
      <c r="D176">
        <f t="shared" si="7"/>
        <v>114</v>
      </c>
      <c r="E176">
        <f t="shared" si="8"/>
        <v>0</v>
      </c>
    </row>
    <row r="177" spans="1:5" x14ac:dyDescent="0.2">
      <c r="A177">
        <v>0</v>
      </c>
      <c r="B177">
        <f t="shared" si="6"/>
        <v>114</v>
      </c>
      <c r="C177">
        <v>0</v>
      </c>
      <c r="D177">
        <f t="shared" si="7"/>
        <v>114</v>
      </c>
      <c r="E177">
        <f t="shared" si="8"/>
        <v>0</v>
      </c>
    </row>
    <row r="178" spans="1:5" x14ac:dyDescent="0.2">
      <c r="A178">
        <v>0</v>
      </c>
      <c r="B178">
        <f t="shared" si="6"/>
        <v>114</v>
      </c>
      <c r="C178">
        <v>0</v>
      </c>
      <c r="D178">
        <f t="shared" si="7"/>
        <v>114</v>
      </c>
      <c r="E178">
        <f t="shared" si="8"/>
        <v>0</v>
      </c>
    </row>
    <row r="179" spans="1:5" x14ac:dyDescent="0.2">
      <c r="A179">
        <v>0</v>
      </c>
      <c r="B179">
        <f t="shared" si="6"/>
        <v>114</v>
      </c>
      <c r="C179">
        <v>0</v>
      </c>
      <c r="D179">
        <f t="shared" si="7"/>
        <v>114</v>
      </c>
      <c r="E179">
        <f t="shared" si="8"/>
        <v>0</v>
      </c>
    </row>
    <row r="180" spans="1:5" x14ac:dyDescent="0.2">
      <c r="A180">
        <v>0</v>
      </c>
      <c r="B180">
        <f t="shared" si="6"/>
        <v>114</v>
      </c>
      <c r="C180">
        <v>0</v>
      </c>
      <c r="D180">
        <f t="shared" si="7"/>
        <v>114</v>
      </c>
      <c r="E180">
        <f t="shared" si="8"/>
        <v>0</v>
      </c>
    </row>
    <row r="181" spans="1:5" x14ac:dyDescent="0.2">
      <c r="A181">
        <v>0</v>
      </c>
      <c r="B181">
        <f t="shared" si="6"/>
        <v>114</v>
      </c>
      <c r="C181">
        <v>0</v>
      </c>
      <c r="D181">
        <f t="shared" si="7"/>
        <v>114</v>
      </c>
      <c r="E181">
        <f t="shared" si="8"/>
        <v>0</v>
      </c>
    </row>
    <row r="182" spans="1:5" x14ac:dyDescent="0.2">
      <c r="A182">
        <v>0</v>
      </c>
      <c r="B182">
        <f t="shared" si="6"/>
        <v>114</v>
      </c>
      <c r="C182">
        <v>0</v>
      </c>
      <c r="D182">
        <f t="shared" si="7"/>
        <v>114</v>
      </c>
      <c r="E182">
        <f t="shared" si="8"/>
        <v>0</v>
      </c>
    </row>
    <row r="183" spans="1:5" x14ac:dyDescent="0.2">
      <c r="A183">
        <v>0</v>
      </c>
      <c r="B183">
        <f t="shared" si="6"/>
        <v>114</v>
      </c>
      <c r="C183">
        <v>0</v>
      </c>
      <c r="D183">
        <f t="shared" si="7"/>
        <v>114</v>
      </c>
      <c r="E183">
        <f t="shared" si="8"/>
        <v>0</v>
      </c>
    </row>
    <row r="184" spans="1:5" x14ac:dyDescent="0.2">
      <c r="A184">
        <v>0</v>
      </c>
      <c r="B184">
        <f t="shared" si="6"/>
        <v>114</v>
      </c>
      <c r="C184">
        <v>0</v>
      </c>
      <c r="D184">
        <f t="shared" si="7"/>
        <v>114</v>
      </c>
      <c r="E184">
        <f t="shared" si="8"/>
        <v>0</v>
      </c>
    </row>
    <row r="185" spans="1:5" x14ac:dyDescent="0.2">
      <c r="A185">
        <v>0</v>
      </c>
      <c r="B185">
        <f t="shared" si="6"/>
        <v>114</v>
      </c>
      <c r="C185">
        <v>0</v>
      </c>
      <c r="D185">
        <f t="shared" si="7"/>
        <v>114</v>
      </c>
      <c r="E185">
        <f t="shared" si="8"/>
        <v>0</v>
      </c>
    </row>
    <row r="186" spans="1:5" x14ac:dyDescent="0.2">
      <c r="A186">
        <v>0</v>
      </c>
      <c r="B186">
        <f t="shared" si="6"/>
        <v>114</v>
      </c>
      <c r="C186">
        <v>0</v>
      </c>
      <c r="D186">
        <f t="shared" si="7"/>
        <v>114</v>
      </c>
      <c r="E186">
        <f t="shared" si="8"/>
        <v>0</v>
      </c>
    </row>
    <row r="187" spans="1:5" x14ac:dyDescent="0.2">
      <c r="A187">
        <v>0</v>
      </c>
      <c r="B187">
        <f t="shared" si="6"/>
        <v>114</v>
      </c>
      <c r="C187">
        <v>0</v>
      </c>
      <c r="D187">
        <f t="shared" si="7"/>
        <v>114</v>
      </c>
      <c r="E187">
        <f t="shared" si="8"/>
        <v>0</v>
      </c>
    </row>
    <row r="188" spans="1:5" x14ac:dyDescent="0.2">
      <c r="A188">
        <v>0</v>
      </c>
      <c r="B188">
        <f t="shared" si="6"/>
        <v>114</v>
      </c>
      <c r="C188">
        <v>0</v>
      </c>
      <c r="D188">
        <f t="shared" si="7"/>
        <v>114</v>
      </c>
      <c r="E188">
        <f t="shared" si="8"/>
        <v>0</v>
      </c>
    </row>
    <row r="189" spans="1:5" x14ac:dyDescent="0.2">
      <c r="A189">
        <v>0</v>
      </c>
      <c r="B189">
        <f t="shared" si="6"/>
        <v>114</v>
      </c>
      <c r="C189">
        <v>0</v>
      </c>
      <c r="D189">
        <f t="shared" si="7"/>
        <v>114</v>
      </c>
      <c r="E189">
        <f t="shared" si="8"/>
        <v>0</v>
      </c>
    </row>
    <row r="190" spans="1:5" x14ac:dyDescent="0.2">
      <c r="A190">
        <v>0</v>
      </c>
      <c r="B190">
        <f t="shared" si="6"/>
        <v>114</v>
      </c>
      <c r="C190">
        <v>0</v>
      </c>
      <c r="D190">
        <f t="shared" si="7"/>
        <v>114</v>
      </c>
      <c r="E190">
        <f t="shared" si="8"/>
        <v>0</v>
      </c>
    </row>
    <row r="191" spans="1:5" x14ac:dyDescent="0.2">
      <c r="A191">
        <v>0</v>
      </c>
      <c r="B191">
        <f t="shared" si="6"/>
        <v>114</v>
      </c>
      <c r="C191">
        <v>0</v>
      </c>
      <c r="D191">
        <f t="shared" si="7"/>
        <v>114</v>
      </c>
      <c r="E191">
        <f t="shared" si="8"/>
        <v>0</v>
      </c>
    </row>
    <row r="192" spans="1:5" x14ac:dyDescent="0.2">
      <c r="A192">
        <v>0</v>
      </c>
      <c r="B192">
        <f t="shared" si="6"/>
        <v>114</v>
      </c>
      <c r="C192">
        <v>0</v>
      </c>
      <c r="D192">
        <f t="shared" si="7"/>
        <v>114</v>
      </c>
      <c r="E192">
        <f t="shared" si="8"/>
        <v>0</v>
      </c>
    </row>
    <row r="193" spans="1:5" x14ac:dyDescent="0.2">
      <c r="A193">
        <v>0</v>
      </c>
      <c r="B193">
        <f t="shared" si="6"/>
        <v>114</v>
      </c>
      <c r="C193">
        <v>0</v>
      </c>
      <c r="D193">
        <f t="shared" si="7"/>
        <v>114</v>
      </c>
      <c r="E193">
        <f t="shared" si="8"/>
        <v>0</v>
      </c>
    </row>
    <row r="194" spans="1:5" x14ac:dyDescent="0.2">
      <c r="A194">
        <v>0</v>
      </c>
      <c r="B194">
        <f t="shared" si="6"/>
        <v>114</v>
      </c>
      <c r="C194">
        <v>0</v>
      </c>
      <c r="D194">
        <f t="shared" si="7"/>
        <v>114</v>
      </c>
      <c r="E194">
        <f t="shared" si="8"/>
        <v>0</v>
      </c>
    </row>
    <row r="195" spans="1:5" x14ac:dyDescent="0.2">
      <c r="A195">
        <v>0</v>
      </c>
      <c r="B195">
        <f t="shared" si="6"/>
        <v>114</v>
      </c>
      <c r="C195">
        <v>0</v>
      </c>
      <c r="D195">
        <f t="shared" si="7"/>
        <v>114</v>
      </c>
      <c r="E195">
        <f t="shared" si="8"/>
        <v>0</v>
      </c>
    </row>
    <row r="196" spans="1:5" x14ac:dyDescent="0.2">
      <c r="A196">
        <v>0</v>
      </c>
      <c r="B196">
        <f t="shared" si="6"/>
        <v>114</v>
      </c>
      <c r="C196">
        <v>0</v>
      </c>
      <c r="D196">
        <f t="shared" si="7"/>
        <v>114</v>
      </c>
      <c r="E196">
        <f t="shared" si="8"/>
        <v>0</v>
      </c>
    </row>
    <row r="197" spans="1:5" x14ac:dyDescent="0.2">
      <c r="A197">
        <v>0</v>
      </c>
      <c r="B197">
        <f t="shared" si="6"/>
        <v>114</v>
      </c>
      <c r="C197">
        <v>0</v>
      </c>
      <c r="D197">
        <f t="shared" si="7"/>
        <v>114</v>
      </c>
      <c r="E197">
        <f t="shared" si="8"/>
        <v>0</v>
      </c>
    </row>
    <row r="198" spans="1:5" x14ac:dyDescent="0.2">
      <c r="A198">
        <v>0</v>
      </c>
      <c r="B198">
        <f t="shared" si="6"/>
        <v>114</v>
      </c>
      <c r="C198">
        <v>0</v>
      </c>
      <c r="D198">
        <f t="shared" si="7"/>
        <v>114</v>
      </c>
      <c r="E198">
        <f t="shared" si="8"/>
        <v>0</v>
      </c>
    </row>
    <row r="199" spans="1:5" x14ac:dyDescent="0.2">
      <c r="A199">
        <v>0</v>
      </c>
      <c r="B199">
        <f t="shared" si="6"/>
        <v>114</v>
      </c>
      <c r="C199">
        <v>0</v>
      </c>
      <c r="D199">
        <f t="shared" si="7"/>
        <v>114</v>
      </c>
      <c r="E199">
        <f t="shared" si="8"/>
        <v>0</v>
      </c>
    </row>
    <row r="200" spans="1:5" x14ac:dyDescent="0.2">
      <c r="A200">
        <v>0</v>
      </c>
      <c r="B200">
        <f t="shared" si="6"/>
        <v>114</v>
      </c>
      <c r="C200">
        <v>0</v>
      </c>
      <c r="D200">
        <f t="shared" si="7"/>
        <v>114</v>
      </c>
      <c r="E200">
        <f t="shared" si="8"/>
        <v>0</v>
      </c>
    </row>
    <row r="201" spans="1:5" x14ac:dyDescent="0.2">
      <c r="A201">
        <v>0</v>
      </c>
      <c r="B201">
        <f t="shared" si="6"/>
        <v>114</v>
      </c>
      <c r="C201">
        <v>0</v>
      </c>
      <c r="D201">
        <f t="shared" si="7"/>
        <v>114</v>
      </c>
      <c r="E201">
        <f t="shared" si="8"/>
        <v>0</v>
      </c>
    </row>
    <row r="202" spans="1:5" x14ac:dyDescent="0.2">
      <c r="A202">
        <v>0</v>
      </c>
      <c r="B202">
        <f t="shared" si="6"/>
        <v>114</v>
      </c>
      <c r="C202">
        <v>0</v>
      </c>
      <c r="D202">
        <f t="shared" si="7"/>
        <v>114</v>
      </c>
      <c r="E202">
        <f t="shared" si="8"/>
        <v>0</v>
      </c>
    </row>
    <row r="203" spans="1:5" x14ac:dyDescent="0.2">
      <c r="A203">
        <v>0</v>
      </c>
      <c r="B203">
        <f t="shared" si="6"/>
        <v>114</v>
      </c>
      <c r="C203">
        <v>0</v>
      </c>
      <c r="D203">
        <f t="shared" si="7"/>
        <v>114</v>
      </c>
      <c r="E203">
        <f t="shared" si="8"/>
        <v>0</v>
      </c>
    </row>
    <row r="204" spans="1:5" x14ac:dyDescent="0.2">
      <c r="A204">
        <v>0</v>
      </c>
      <c r="B204">
        <f t="shared" si="6"/>
        <v>114</v>
      </c>
      <c r="C204">
        <v>0</v>
      </c>
      <c r="D204">
        <f t="shared" si="7"/>
        <v>114</v>
      </c>
      <c r="E204">
        <f t="shared" si="8"/>
        <v>0</v>
      </c>
    </row>
    <row r="205" spans="1:5" x14ac:dyDescent="0.2">
      <c r="A205">
        <v>0</v>
      </c>
      <c r="B205">
        <f t="shared" si="6"/>
        <v>114</v>
      </c>
      <c r="C205">
        <v>0</v>
      </c>
      <c r="D205">
        <f t="shared" si="7"/>
        <v>114</v>
      </c>
      <c r="E205">
        <f t="shared" si="8"/>
        <v>0</v>
      </c>
    </row>
    <row r="206" spans="1:5" x14ac:dyDescent="0.2">
      <c r="A206">
        <v>0</v>
      </c>
      <c r="B206">
        <f t="shared" si="6"/>
        <v>114</v>
      </c>
      <c r="C206">
        <v>0</v>
      </c>
      <c r="D206">
        <f t="shared" si="7"/>
        <v>114</v>
      </c>
      <c r="E206">
        <f t="shared" si="8"/>
        <v>0</v>
      </c>
    </row>
    <row r="207" spans="1:5" x14ac:dyDescent="0.2">
      <c r="A207">
        <v>0</v>
      </c>
      <c r="B207">
        <f t="shared" si="6"/>
        <v>114</v>
      </c>
      <c r="C207">
        <v>0</v>
      </c>
      <c r="D207">
        <f t="shared" si="7"/>
        <v>114</v>
      </c>
      <c r="E207">
        <f t="shared" si="8"/>
        <v>0</v>
      </c>
    </row>
    <row r="208" spans="1:5" x14ac:dyDescent="0.2">
      <c r="A208">
        <v>0</v>
      </c>
      <c r="B208">
        <f t="shared" si="6"/>
        <v>114</v>
      </c>
      <c r="C208">
        <v>0</v>
      </c>
      <c r="D208">
        <f t="shared" si="7"/>
        <v>114</v>
      </c>
      <c r="E208">
        <f t="shared" si="8"/>
        <v>0</v>
      </c>
    </row>
    <row r="209" spans="1:5" x14ac:dyDescent="0.2">
      <c r="A209">
        <v>0</v>
      </c>
      <c r="B209">
        <f t="shared" si="6"/>
        <v>114</v>
      </c>
      <c r="C209">
        <v>0</v>
      </c>
      <c r="D209">
        <f t="shared" si="7"/>
        <v>114</v>
      </c>
      <c r="E209">
        <f t="shared" si="8"/>
        <v>0</v>
      </c>
    </row>
    <row r="210" spans="1:5" x14ac:dyDescent="0.2">
      <c r="A210">
        <v>0</v>
      </c>
      <c r="B210">
        <f t="shared" si="6"/>
        <v>114</v>
      </c>
      <c r="C210">
        <v>0</v>
      </c>
      <c r="D210">
        <f t="shared" si="7"/>
        <v>114</v>
      </c>
      <c r="E210">
        <f t="shared" si="8"/>
        <v>0</v>
      </c>
    </row>
    <row r="211" spans="1:5" x14ac:dyDescent="0.2">
      <c r="A211">
        <v>0</v>
      </c>
      <c r="B211">
        <f t="shared" si="6"/>
        <v>114</v>
      </c>
      <c r="C211">
        <v>0</v>
      </c>
      <c r="D211">
        <f t="shared" si="7"/>
        <v>114</v>
      </c>
      <c r="E211">
        <f t="shared" si="8"/>
        <v>0</v>
      </c>
    </row>
    <row r="212" spans="1:5" x14ac:dyDescent="0.2">
      <c r="A212">
        <v>0</v>
      </c>
      <c r="B212">
        <f t="shared" si="6"/>
        <v>114</v>
      </c>
      <c r="C212">
        <v>0</v>
      </c>
      <c r="D212">
        <f t="shared" si="7"/>
        <v>114</v>
      </c>
      <c r="E212">
        <f t="shared" si="8"/>
        <v>0</v>
      </c>
    </row>
    <row r="213" spans="1:5" x14ac:dyDescent="0.2">
      <c r="A213">
        <v>0</v>
      </c>
      <c r="B213">
        <f t="shared" si="6"/>
        <v>114</v>
      </c>
      <c r="C213">
        <v>0</v>
      </c>
      <c r="D213">
        <f t="shared" si="7"/>
        <v>114</v>
      </c>
      <c r="E213">
        <f t="shared" si="8"/>
        <v>0</v>
      </c>
    </row>
    <row r="214" spans="1:5" x14ac:dyDescent="0.2">
      <c r="A214">
        <v>0</v>
      </c>
      <c r="B214">
        <f t="shared" si="6"/>
        <v>114</v>
      </c>
      <c r="C214">
        <v>0</v>
      </c>
      <c r="D214">
        <f t="shared" si="7"/>
        <v>114</v>
      </c>
      <c r="E214">
        <f t="shared" si="8"/>
        <v>0</v>
      </c>
    </row>
    <row r="215" spans="1:5" x14ac:dyDescent="0.2">
      <c r="A215">
        <v>0</v>
      </c>
      <c r="B215">
        <f t="shared" si="6"/>
        <v>114</v>
      </c>
      <c r="C215">
        <v>0</v>
      </c>
      <c r="D215">
        <f t="shared" si="7"/>
        <v>114</v>
      </c>
      <c r="E215">
        <f t="shared" si="8"/>
        <v>0</v>
      </c>
    </row>
    <row r="216" spans="1:5" x14ac:dyDescent="0.2">
      <c r="A216">
        <v>0</v>
      </c>
      <c r="B216">
        <f t="shared" ref="B216:B279" si="9">_xlfn.RANK.AVG(A216,$A$23:$A$792,1)</f>
        <v>114</v>
      </c>
      <c r="C216">
        <v>0</v>
      </c>
      <c r="D216">
        <f t="shared" ref="D216:D279" si="10">_xlfn.RANK.AVG(C216,$C$23:$C$792,1)</f>
        <v>114</v>
      </c>
      <c r="E216">
        <f t="shared" ref="E216:E279" si="11">POWER(B216-D216,2)</f>
        <v>0</v>
      </c>
    </row>
    <row r="217" spans="1:5" x14ac:dyDescent="0.2">
      <c r="A217">
        <v>0</v>
      </c>
      <c r="B217">
        <f t="shared" si="9"/>
        <v>114</v>
      </c>
      <c r="C217">
        <v>0</v>
      </c>
      <c r="D217">
        <f t="shared" si="10"/>
        <v>114</v>
      </c>
      <c r="E217">
        <f t="shared" si="11"/>
        <v>0</v>
      </c>
    </row>
    <row r="218" spans="1:5" x14ac:dyDescent="0.2">
      <c r="A218">
        <v>0</v>
      </c>
      <c r="B218">
        <f t="shared" si="9"/>
        <v>114</v>
      </c>
      <c r="C218">
        <v>0</v>
      </c>
      <c r="D218">
        <f t="shared" si="10"/>
        <v>114</v>
      </c>
      <c r="E218">
        <f t="shared" si="11"/>
        <v>0</v>
      </c>
    </row>
    <row r="219" spans="1:5" x14ac:dyDescent="0.2">
      <c r="A219">
        <v>0</v>
      </c>
      <c r="B219">
        <f t="shared" si="9"/>
        <v>114</v>
      </c>
      <c r="C219">
        <v>0</v>
      </c>
      <c r="D219">
        <f t="shared" si="10"/>
        <v>114</v>
      </c>
      <c r="E219">
        <f t="shared" si="11"/>
        <v>0</v>
      </c>
    </row>
    <row r="220" spans="1:5" x14ac:dyDescent="0.2">
      <c r="A220">
        <v>0</v>
      </c>
      <c r="B220">
        <f t="shared" si="9"/>
        <v>114</v>
      </c>
      <c r="C220">
        <v>0</v>
      </c>
      <c r="D220">
        <f t="shared" si="10"/>
        <v>114</v>
      </c>
      <c r="E220">
        <f t="shared" si="11"/>
        <v>0</v>
      </c>
    </row>
    <row r="221" spans="1:5" x14ac:dyDescent="0.2">
      <c r="A221">
        <v>0</v>
      </c>
      <c r="B221">
        <f t="shared" si="9"/>
        <v>114</v>
      </c>
      <c r="C221">
        <v>0</v>
      </c>
      <c r="D221">
        <f t="shared" si="10"/>
        <v>114</v>
      </c>
      <c r="E221">
        <f t="shared" si="11"/>
        <v>0</v>
      </c>
    </row>
    <row r="222" spans="1:5" x14ac:dyDescent="0.2">
      <c r="A222">
        <v>0</v>
      </c>
      <c r="B222">
        <f t="shared" si="9"/>
        <v>114</v>
      </c>
      <c r="C222">
        <v>0</v>
      </c>
      <c r="D222">
        <f t="shared" si="10"/>
        <v>114</v>
      </c>
      <c r="E222">
        <f t="shared" si="11"/>
        <v>0</v>
      </c>
    </row>
    <row r="223" spans="1:5" x14ac:dyDescent="0.2">
      <c r="A223">
        <v>0</v>
      </c>
      <c r="B223">
        <f t="shared" si="9"/>
        <v>114</v>
      </c>
      <c r="C223">
        <v>0</v>
      </c>
      <c r="D223">
        <f t="shared" si="10"/>
        <v>114</v>
      </c>
      <c r="E223">
        <f t="shared" si="11"/>
        <v>0</v>
      </c>
    </row>
    <row r="224" spans="1:5" x14ac:dyDescent="0.2">
      <c r="A224">
        <v>0</v>
      </c>
      <c r="B224">
        <f t="shared" si="9"/>
        <v>114</v>
      </c>
      <c r="C224">
        <v>0</v>
      </c>
      <c r="D224">
        <f t="shared" si="10"/>
        <v>114</v>
      </c>
      <c r="E224">
        <f t="shared" si="11"/>
        <v>0</v>
      </c>
    </row>
    <row r="225" spans="1:5" x14ac:dyDescent="0.2">
      <c r="A225">
        <v>0</v>
      </c>
      <c r="B225">
        <f t="shared" si="9"/>
        <v>114</v>
      </c>
      <c r="C225">
        <v>0</v>
      </c>
      <c r="D225">
        <f t="shared" si="10"/>
        <v>114</v>
      </c>
      <c r="E225">
        <f t="shared" si="11"/>
        <v>0</v>
      </c>
    </row>
    <row r="226" spans="1:5" x14ac:dyDescent="0.2">
      <c r="A226">
        <v>0</v>
      </c>
      <c r="B226">
        <f t="shared" si="9"/>
        <v>114</v>
      </c>
      <c r="C226">
        <v>0</v>
      </c>
      <c r="D226">
        <f t="shared" si="10"/>
        <v>114</v>
      </c>
      <c r="E226">
        <f t="shared" si="11"/>
        <v>0</v>
      </c>
    </row>
    <row r="227" spans="1:5" x14ac:dyDescent="0.2">
      <c r="A227">
        <v>0</v>
      </c>
      <c r="B227">
        <f t="shared" si="9"/>
        <v>114</v>
      </c>
      <c r="C227">
        <v>0</v>
      </c>
      <c r="D227">
        <f t="shared" si="10"/>
        <v>114</v>
      </c>
      <c r="E227">
        <f t="shared" si="11"/>
        <v>0</v>
      </c>
    </row>
    <row r="228" spans="1:5" x14ac:dyDescent="0.2">
      <c r="A228">
        <v>0</v>
      </c>
      <c r="B228">
        <f t="shared" si="9"/>
        <v>114</v>
      </c>
      <c r="C228">
        <v>0</v>
      </c>
      <c r="D228">
        <f t="shared" si="10"/>
        <v>114</v>
      </c>
      <c r="E228">
        <f t="shared" si="11"/>
        <v>0</v>
      </c>
    </row>
    <row r="229" spans="1:5" x14ac:dyDescent="0.2">
      <c r="A229">
        <v>0</v>
      </c>
      <c r="B229">
        <f t="shared" si="9"/>
        <v>114</v>
      </c>
      <c r="C229">
        <v>0</v>
      </c>
      <c r="D229">
        <f t="shared" si="10"/>
        <v>114</v>
      </c>
      <c r="E229">
        <f t="shared" si="11"/>
        <v>0</v>
      </c>
    </row>
    <row r="230" spans="1:5" x14ac:dyDescent="0.2">
      <c r="A230">
        <v>0</v>
      </c>
      <c r="B230">
        <f t="shared" si="9"/>
        <v>114</v>
      </c>
      <c r="C230">
        <v>0</v>
      </c>
      <c r="D230">
        <f t="shared" si="10"/>
        <v>114</v>
      </c>
      <c r="E230">
        <f t="shared" si="11"/>
        <v>0</v>
      </c>
    </row>
    <row r="231" spans="1:5" x14ac:dyDescent="0.2">
      <c r="A231">
        <v>0</v>
      </c>
      <c r="B231">
        <f t="shared" si="9"/>
        <v>114</v>
      </c>
      <c r="C231">
        <v>0</v>
      </c>
      <c r="D231">
        <f t="shared" si="10"/>
        <v>114</v>
      </c>
      <c r="E231">
        <f t="shared" si="11"/>
        <v>0</v>
      </c>
    </row>
    <row r="232" spans="1:5" x14ac:dyDescent="0.2">
      <c r="A232">
        <v>0</v>
      </c>
      <c r="B232">
        <f t="shared" si="9"/>
        <v>114</v>
      </c>
      <c r="C232">
        <v>0</v>
      </c>
      <c r="D232">
        <f t="shared" si="10"/>
        <v>114</v>
      </c>
      <c r="E232">
        <f t="shared" si="11"/>
        <v>0</v>
      </c>
    </row>
    <row r="233" spans="1:5" x14ac:dyDescent="0.2">
      <c r="A233">
        <v>0</v>
      </c>
      <c r="B233">
        <f t="shared" si="9"/>
        <v>114</v>
      </c>
      <c r="C233">
        <v>0</v>
      </c>
      <c r="D233">
        <f t="shared" si="10"/>
        <v>114</v>
      </c>
      <c r="E233">
        <f t="shared" si="11"/>
        <v>0</v>
      </c>
    </row>
    <row r="234" spans="1:5" x14ac:dyDescent="0.2">
      <c r="A234">
        <v>0</v>
      </c>
      <c r="B234">
        <f t="shared" si="9"/>
        <v>114</v>
      </c>
      <c r="C234">
        <v>0</v>
      </c>
      <c r="D234">
        <f t="shared" si="10"/>
        <v>114</v>
      </c>
      <c r="E234">
        <f t="shared" si="11"/>
        <v>0</v>
      </c>
    </row>
    <row r="235" spans="1:5" x14ac:dyDescent="0.2">
      <c r="A235">
        <v>0</v>
      </c>
      <c r="B235">
        <f t="shared" si="9"/>
        <v>114</v>
      </c>
      <c r="C235">
        <v>0</v>
      </c>
      <c r="D235">
        <f t="shared" si="10"/>
        <v>114</v>
      </c>
      <c r="E235">
        <f t="shared" si="11"/>
        <v>0</v>
      </c>
    </row>
    <row r="236" spans="1:5" x14ac:dyDescent="0.2">
      <c r="A236">
        <v>0</v>
      </c>
      <c r="B236">
        <f t="shared" si="9"/>
        <v>114</v>
      </c>
      <c r="C236">
        <v>0</v>
      </c>
      <c r="D236">
        <f t="shared" si="10"/>
        <v>114</v>
      </c>
      <c r="E236">
        <f t="shared" si="11"/>
        <v>0</v>
      </c>
    </row>
    <row r="237" spans="1:5" x14ac:dyDescent="0.2">
      <c r="A237">
        <v>0</v>
      </c>
      <c r="B237">
        <f t="shared" si="9"/>
        <v>114</v>
      </c>
      <c r="C237">
        <v>0</v>
      </c>
      <c r="D237">
        <f t="shared" si="10"/>
        <v>114</v>
      </c>
      <c r="E237">
        <f t="shared" si="11"/>
        <v>0</v>
      </c>
    </row>
    <row r="238" spans="1:5" x14ac:dyDescent="0.2">
      <c r="A238">
        <v>0</v>
      </c>
      <c r="B238">
        <f t="shared" si="9"/>
        <v>114</v>
      </c>
      <c r="C238">
        <v>0</v>
      </c>
      <c r="D238">
        <f t="shared" si="10"/>
        <v>114</v>
      </c>
      <c r="E238">
        <f t="shared" si="11"/>
        <v>0</v>
      </c>
    </row>
    <row r="239" spans="1:5" x14ac:dyDescent="0.2">
      <c r="A239">
        <v>0</v>
      </c>
      <c r="B239">
        <f t="shared" si="9"/>
        <v>114</v>
      </c>
      <c r="C239">
        <v>0</v>
      </c>
      <c r="D239">
        <f t="shared" si="10"/>
        <v>114</v>
      </c>
      <c r="E239">
        <f t="shared" si="11"/>
        <v>0</v>
      </c>
    </row>
    <row r="240" spans="1:5" x14ac:dyDescent="0.2">
      <c r="A240">
        <v>0</v>
      </c>
      <c r="B240">
        <f t="shared" si="9"/>
        <v>114</v>
      </c>
      <c r="C240">
        <v>0</v>
      </c>
      <c r="D240">
        <f t="shared" si="10"/>
        <v>114</v>
      </c>
      <c r="E240">
        <f t="shared" si="11"/>
        <v>0</v>
      </c>
    </row>
    <row r="241" spans="1:5" x14ac:dyDescent="0.2">
      <c r="A241">
        <v>0</v>
      </c>
      <c r="B241">
        <f t="shared" si="9"/>
        <v>114</v>
      </c>
      <c r="C241">
        <v>0</v>
      </c>
      <c r="D241">
        <f t="shared" si="10"/>
        <v>114</v>
      </c>
      <c r="E241">
        <f t="shared" si="11"/>
        <v>0</v>
      </c>
    </row>
    <row r="242" spans="1:5" x14ac:dyDescent="0.2">
      <c r="A242">
        <v>0</v>
      </c>
      <c r="B242">
        <f t="shared" si="9"/>
        <v>114</v>
      </c>
      <c r="C242">
        <v>0</v>
      </c>
      <c r="D242">
        <f t="shared" si="10"/>
        <v>114</v>
      </c>
      <c r="E242">
        <f t="shared" si="11"/>
        <v>0</v>
      </c>
    </row>
    <row r="243" spans="1:5" x14ac:dyDescent="0.2">
      <c r="A243">
        <v>0</v>
      </c>
      <c r="B243">
        <f t="shared" si="9"/>
        <v>114</v>
      </c>
      <c r="C243">
        <v>0</v>
      </c>
      <c r="D243">
        <f t="shared" si="10"/>
        <v>114</v>
      </c>
      <c r="E243">
        <f t="shared" si="11"/>
        <v>0</v>
      </c>
    </row>
    <row r="244" spans="1:5" x14ac:dyDescent="0.2">
      <c r="A244">
        <v>0</v>
      </c>
      <c r="B244">
        <f t="shared" si="9"/>
        <v>114</v>
      </c>
      <c r="C244">
        <v>0</v>
      </c>
      <c r="D244">
        <f t="shared" si="10"/>
        <v>114</v>
      </c>
      <c r="E244">
        <f t="shared" si="11"/>
        <v>0</v>
      </c>
    </row>
    <row r="245" spans="1:5" x14ac:dyDescent="0.2">
      <c r="A245">
        <v>0</v>
      </c>
      <c r="B245">
        <f t="shared" si="9"/>
        <v>114</v>
      </c>
      <c r="C245">
        <v>0</v>
      </c>
      <c r="D245">
        <f t="shared" si="10"/>
        <v>114</v>
      </c>
      <c r="E245">
        <f t="shared" si="11"/>
        <v>0</v>
      </c>
    </row>
    <row r="246" spans="1:5" x14ac:dyDescent="0.2">
      <c r="A246">
        <v>0</v>
      </c>
      <c r="B246">
        <f t="shared" si="9"/>
        <v>114</v>
      </c>
      <c r="C246">
        <v>0</v>
      </c>
      <c r="D246">
        <f t="shared" si="10"/>
        <v>114</v>
      </c>
      <c r="E246">
        <f t="shared" si="11"/>
        <v>0</v>
      </c>
    </row>
    <row r="247" spans="1:5" x14ac:dyDescent="0.2">
      <c r="A247">
        <v>0</v>
      </c>
      <c r="B247">
        <f t="shared" si="9"/>
        <v>114</v>
      </c>
      <c r="C247">
        <v>0</v>
      </c>
      <c r="D247">
        <f t="shared" si="10"/>
        <v>114</v>
      </c>
      <c r="E247">
        <f t="shared" si="11"/>
        <v>0</v>
      </c>
    </row>
    <row r="248" spans="1:5" x14ac:dyDescent="0.2">
      <c r="A248">
        <v>0</v>
      </c>
      <c r="B248">
        <f t="shared" si="9"/>
        <v>114</v>
      </c>
      <c r="C248">
        <v>0</v>
      </c>
      <c r="D248">
        <f t="shared" si="10"/>
        <v>114</v>
      </c>
      <c r="E248">
        <f t="shared" si="11"/>
        <v>0</v>
      </c>
    </row>
    <row r="249" spans="1:5" x14ac:dyDescent="0.2">
      <c r="A249">
        <v>0</v>
      </c>
      <c r="B249">
        <f t="shared" si="9"/>
        <v>114</v>
      </c>
      <c r="C249">
        <v>0</v>
      </c>
      <c r="D249">
        <f t="shared" si="10"/>
        <v>114</v>
      </c>
      <c r="E249">
        <f t="shared" si="11"/>
        <v>0</v>
      </c>
    </row>
    <row r="250" spans="1:5" x14ac:dyDescent="0.2">
      <c r="A250">
        <v>1</v>
      </c>
      <c r="B250">
        <f t="shared" si="9"/>
        <v>324</v>
      </c>
      <c r="C250">
        <v>1</v>
      </c>
      <c r="D250">
        <f t="shared" si="10"/>
        <v>324</v>
      </c>
      <c r="E250">
        <f t="shared" si="11"/>
        <v>0</v>
      </c>
    </row>
    <row r="251" spans="1:5" x14ac:dyDescent="0.2">
      <c r="A251">
        <v>1</v>
      </c>
      <c r="B251">
        <f t="shared" si="9"/>
        <v>324</v>
      </c>
      <c r="C251">
        <v>1</v>
      </c>
      <c r="D251">
        <f t="shared" si="10"/>
        <v>324</v>
      </c>
      <c r="E251">
        <f t="shared" si="11"/>
        <v>0</v>
      </c>
    </row>
    <row r="252" spans="1:5" x14ac:dyDescent="0.2">
      <c r="A252">
        <v>1</v>
      </c>
      <c r="B252">
        <f t="shared" si="9"/>
        <v>324</v>
      </c>
      <c r="C252">
        <v>1</v>
      </c>
      <c r="D252">
        <f t="shared" si="10"/>
        <v>324</v>
      </c>
      <c r="E252">
        <f t="shared" si="11"/>
        <v>0</v>
      </c>
    </row>
    <row r="253" spans="1:5" x14ac:dyDescent="0.2">
      <c r="A253">
        <v>1</v>
      </c>
      <c r="B253">
        <f t="shared" si="9"/>
        <v>324</v>
      </c>
      <c r="C253">
        <v>1</v>
      </c>
      <c r="D253">
        <f t="shared" si="10"/>
        <v>324</v>
      </c>
      <c r="E253">
        <f t="shared" si="11"/>
        <v>0</v>
      </c>
    </row>
    <row r="254" spans="1:5" x14ac:dyDescent="0.2">
      <c r="A254">
        <v>1</v>
      </c>
      <c r="B254">
        <f t="shared" si="9"/>
        <v>324</v>
      </c>
      <c r="C254">
        <v>1</v>
      </c>
      <c r="D254">
        <f t="shared" si="10"/>
        <v>324</v>
      </c>
      <c r="E254">
        <f t="shared" si="11"/>
        <v>0</v>
      </c>
    </row>
    <row r="255" spans="1:5" x14ac:dyDescent="0.2">
      <c r="A255">
        <v>1</v>
      </c>
      <c r="B255">
        <f t="shared" si="9"/>
        <v>324</v>
      </c>
      <c r="C255">
        <v>1</v>
      </c>
      <c r="D255">
        <f t="shared" si="10"/>
        <v>324</v>
      </c>
      <c r="E255">
        <f t="shared" si="11"/>
        <v>0</v>
      </c>
    </row>
    <row r="256" spans="1:5" x14ac:dyDescent="0.2">
      <c r="A256">
        <v>1</v>
      </c>
      <c r="B256">
        <f t="shared" si="9"/>
        <v>324</v>
      </c>
      <c r="C256">
        <v>1</v>
      </c>
      <c r="D256">
        <f t="shared" si="10"/>
        <v>324</v>
      </c>
      <c r="E256">
        <f t="shared" si="11"/>
        <v>0</v>
      </c>
    </row>
    <row r="257" spans="1:5" x14ac:dyDescent="0.2">
      <c r="A257">
        <v>1</v>
      </c>
      <c r="B257">
        <f t="shared" si="9"/>
        <v>324</v>
      </c>
      <c r="C257">
        <v>1</v>
      </c>
      <c r="D257">
        <f t="shared" si="10"/>
        <v>324</v>
      </c>
      <c r="E257">
        <f t="shared" si="11"/>
        <v>0</v>
      </c>
    </row>
    <row r="258" spans="1:5" x14ac:dyDescent="0.2">
      <c r="A258">
        <v>1</v>
      </c>
      <c r="B258">
        <f t="shared" si="9"/>
        <v>324</v>
      </c>
      <c r="C258">
        <v>1</v>
      </c>
      <c r="D258">
        <f t="shared" si="10"/>
        <v>324</v>
      </c>
      <c r="E258">
        <f t="shared" si="11"/>
        <v>0</v>
      </c>
    </row>
    <row r="259" spans="1:5" x14ac:dyDescent="0.2">
      <c r="A259">
        <v>1</v>
      </c>
      <c r="B259">
        <f t="shared" si="9"/>
        <v>324</v>
      </c>
      <c r="C259">
        <v>1</v>
      </c>
      <c r="D259">
        <f t="shared" si="10"/>
        <v>324</v>
      </c>
      <c r="E259">
        <f t="shared" si="11"/>
        <v>0</v>
      </c>
    </row>
    <row r="260" spans="1:5" x14ac:dyDescent="0.2">
      <c r="A260">
        <v>1</v>
      </c>
      <c r="B260">
        <f t="shared" si="9"/>
        <v>324</v>
      </c>
      <c r="C260">
        <v>1</v>
      </c>
      <c r="D260">
        <f t="shared" si="10"/>
        <v>324</v>
      </c>
      <c r="E260">
        <f t="shared" si="11"/>
        <v>0</v>
      </c>
    </row>
    <row r="261" spans="1:5" x14ac:dyDescent="0.2">
      <c r="A261">
        <v>1</v>
      </c>
      <c r="B261">
        <f t="shared" si="9"/>
        <v>324</v>
      </c>
      <c r="C261">
        <v>1</v>
      </c>
      <c r="D261">
        <f t="shared" si="10"/>
        <v>324</v>
      </c>
      <c r="E261">
        <f t="shared" si="11"/>
        <v>0</v>
      </c>
    </row>
    <row r="262" spans="1:5" x14ac:dyDescent="0.2">
      <c r="A262">
        <v>1</v>
      </c>
      <c r="B262">
        <f t="shared" si="9"/>
        <v>324</v>
      </c>
      <c r="C262">
        <v>1</v>
      </c>
      <c r="D262">
        <f t="shared" si="10"/>
        <v>324</v>
      </c>
      <c r="E262">
        <f t="shared" si="11"/>
        <v>0</v>
      </c>
    </row>
    <row r="263" spans="1:5" x14ac:dyDescent="0.2">
      <c r="A263">
        <v>1</v>
      </c>
      <c r="B263">
        <f t="shared" si="9"/>
        <v>324</v>
      </c>
      <c r="C263">
        <v>1</v>
      </c>
      <c r="D263">
        <f t="shared" si="10"/>
        <v>324</v>
      </c>
      <c r="E263">
        <f t="shared" si="11"/>
        <v>0</v>
      </c>
    </row>
    <row r="264" spans="1:5" x14ac:dyDescent="0.2">
      <c r="A264">
        <v>1</v>
      </c>
      <c r="B264">
        <f t="shared" si="9"/>
        <v>324</v>
      </c>
      <c r="C264">
        <v>1</v>
      </c>
      <c r="D264">
        <f t="shared" si="10"/>
        <v>324</v>
      </c>
      <c r="E264">
        <f t="shared" si="11"/>
        <v>0</v>
      </c>
    </row>
    <row r="265" spans="1:5" x14ac:dyDescent="0.2">
      <c r="A265">
        <v>1</v>
      </c>
      <c r="B265">
        <f t="shared" si="9"/>
        <v>324</v>
      </c>
      <c r="C265">
        <v>1</v>
      </c>
      <c r="D265">
        <f t="shared" si="10"/>
        <v>324</v>
      </c>
      <c r="E265">
        <f t="shared" si="11"/>
        <v>0</v>
      </c>
    </row>
    <row r="266" spans="1:5" x14ac:dyDescent="0.2">
      <c r="A266">
        <v>1</v>
      </c>
      <c r="B266">
        <f t="shared" si="9"/>
        <v>324</v>
      </c>
      <c r="C266">
        <v>1</v>
      </c>
      <c r="D266">
        <f t="shared" si="10"/>
        <v>324</v>
      </c>
      <c r="E266">
        <f t="shared" si="11"/>
        <v>0</v>
      </c>
    </row>
    <row r="267" spans="1:5" x14ac:dyDescent="0.2">
      <c r="A267">
        <v>1</v>
      </c>
      <c r="B267">
        <f t="shared" si="9"/>
        <v>324</v>
      </c>
      <c r="C267">
        <v>1</v>
      </c>
      <c r="D267">
        <f t="shared" si="10"/>
        <v>324</v>
      </c>
      <c r="E267">
        <f t="shared" si="11"/>
        <v>0</v>
      </c>
    </row>
    <row r="268" spans="1:5" x14ac:dyDescent="0.2">
      <c r="A268">
        <v>1</v>
      </c>
      <c r="B268">
        <f t="shared" si="9"/>
        <v>324</v>
      </c>
      <c r="C268">
        <v>1</v>
      </c>
      <c r="D268">
        <f t="shared" si="10"/>
        <v>324</v>
      </c>
      <c r="E268">
        <f t="shared" si="11"/>
        <v>0</v>
      </c>
    </row>
    <row r="269" spans="1:5" x14ac:dyDescent="0.2">
      <c r="A269">
        <v>1</v>
      </c>
      <c r="B269">
        <f t="shared" si="9"/>
        <v>324</v>
      </c>
      <c r="C269">
        <v>1</v>
      </c>
      <c r="D269">
        <f t="shared" si="10"/>
        <v>324</v>
      </c>
      <c r="E269">
        <f t="shared" si="11"/>
        <v>0</v>
      </c>
    </row>
    <row r="270" spans="1:5" x14ac:dyDescent="0.2">
      <c r="A270">
        <v>1</v>
      </c>
      <c r="B270">
        <f t="shared" si="9"/>
        <v>324</v>
      </c>
      <c r="C270">
        <v>1</v>
      </c>
      <c r="D270">
        <f t="shared" si="10"/>
        <v>324</v>
      </c>
      <c r="E270">
        <f t="shared" si="11"/>
        <v>0</v>
      </c>
    </row>
    <row r="271" spans="1:5" x14ac:dyDescent="0.2">
      <c r="A271">
        <v>1</v>
      </c>
      <c r="B271">
        <f t="shared" si="9"/>
        <v>324</v>
      </c>
      <c r="C271">
        <v>1</v>
      </c>
      <c r="D271">
        <f t="shared" si="10"/>
        <v>324</v>
      </c>
      <c r="E271">
        <f t="shared" si="11"/>
        <v>0</v>
      </c>
    </row>
    <row r="272" spans="1:5" x14ac:dyDescent="0.2">
      <c r="A272">
        <v>1</v>
      </c>
      <c r="B272">
        <f t="shared" si="9"/>
        <v>324</v>
      </c>
      <c r="C272">
        <v>1</v>
      </c>
      <c r="D272">
        <f t="shared" si="10"/>
        <v>324</v>
      </c>
      <c r="E272">
        <f t="shared" si="11"/>
        <v>0</v>
      </c>
    </row>
    <row r="273" spans="1:5" x14ac:dyDescent="0.2">
      <c r="A273">
        <v>1</v>
      </c>
      <c r="B273">
        <f t="shared" si="9"/>
        <v>324</v>
      </c>
      <c r="C273">
        <v>1</v>
      </c>
      <c r="D273">
        <f t="shared" si="10"/>
        <v>324</v>
      </c>
      <c r="E273">
        <f t="shared" si="11"/>
        <v>0</v>
      </c>
    </row>
    <row r="274" spans="1:5" x14ac:dyDescent="0.2">
      <c r="A274">
        <v>1</v>
      </c>
      <c r="B274">
        <f t="shared" si="9"/>
        <v>324</v>
      </c>
      <c r="C274">
        <v>1</v>
      </c>
      <c r="D274">
        <f t="shared" si="10"/>
        <v>324</v>
      </c>
      <c r="E274">
        <f t="shared" si="11"/>
        <v>0</v>
      </c>
    </row>
    <row r="275" spans="1:5" x14ac:dyDescent="0.2">
      <c r="A275">
        <v>1</v>
      </c>
      <c r="B275">
        <f t="shared" si="9"/>
        <v>324</v>
      </c>
      <c r="C275">
        <v>1</v>
      </c>
      <c r="D275">
        <f t="shared" si="10"/>
        <v>324</v>
      </c>
      <c r="E275">
        <f t="shared" si="11"/>
        <v>0</v>
      </c>
    </row>
    <row r="276" spans="1:5" x14ac:dyDescent="0.2">
      <c r="A276">
        <v>1</v>
      </c>
      <c r="B276">
        <f t="shared" si="9"/>
        <v>324</v>
      </c>
      <c r="C276">
        <v>1</v>
      </c>
      <c r="D276">
        <f t="shared" si="10"/>
        <v>324</v>
      </c>
      <c r="E276">
        <f t="shared" si="11"/>
        <v>0</v>
      </c>
    </row>
    <row r="277" spans="1:5" x14ac:dyDescent="0.2">
      <c r="A277">
        <v>1</v>
      </c>
      <c r="B277">
        <f t="shared" si="9"/>
        <v>324</v>
      </c>
      <c r="C277">
        <v>1</v>
      </c>
      <c r="D277">
        <f t="shared" si="10"/>
        <v>324</v>
      </c>
      <c r="E277">
        <f t="shared" si="11"/>
        <v>0</v>
      </c>
    </row>
    <row r="278" spans="1:5" x14ac:dyDescent="0.2">
      <c r="A278">
        <v>1</v>
      </c>
      <c r="B278">
        <f t="shared" si="9"/>
        <v>324</v>
      </c>
      <c r="C278">
        <v>1</v>
      </c>
      <c r="D278">
        <f t="shared" si="10"/>
        <v>324</v>
      </c>
      <c r="E278">
        <f t="shared" si="11"/>
        <v>0</v>
      </c>
    </row>
    <row r="279" spans="1:5" x14ac:dyDescent="0.2">
      <c r="A279">
        <v>1</v>
      </c>
      <c r="B279">
        <f t="shared" si="9"/>
        <v>324</v>
      </c>
      <c r="C279">
        <v>1</v>
      </c>
      <c r="D279">
        <f t="shared" si="10"/>
        <v>324</v>
      </c>
      <c r="E279">
        <f t="shared" si="11"/>
        <v>0</v>
      </c>
    </row>
    <row r="280" spans="1:5" x14ac:dyDescent="0.2">
      <c r="A280">
        <v>1</v>
      </c>
      <c r="B280">
        <f t="shared" ref="B280:B343" si="12">_xlfn.RANK.AVG(A280,$A$23:$A$792,1)</f>
        <v>324</v>
      </c>
      <c r="C280">
        <v>1</v>
      </c>
      <c r="D280">
        <f t="shared" ref="D280:D343" si="13">_xlfn.RANK.AVG(C280,$C$23:$C$792,1)</f>
        <v>324</v>
      </c>
      <c r="E280">
        <f t="shared" ref="E280:E343" si="14">POWER(B280-D280,2)</f>
        <v>0</v>
      </c>
    </row>
    <row r="281" spans="1:5" x14ac:dyDescent="0.2">
      <c r="A281">
        <v>1</v>
      </c>
      <c r="B281">
        <f t="shared" si="12"/>
        <v>324</v>
      </c>
      <c r="C281">
        <v>1</v>
      </c>
      <c r="D281">
        <f t="shared" si="13"/>
        <v>324</v>
      </c>
      <c r="E281">
        <f t="shared" si="14"/>
        <v>0</v>
      </c>
    </row>
    <row r="282" spans="1:5" x14ac:dyDescent="0.2">
      <c r="A282">
        <v>1</v>
      </c>
      <c r="B282">
        <f t="shared" si="12"/>
        <v>324</v>
      </c>
      <c r="C282">
        <v>1</v>
      </c>
      <c r="D282">
        <f t="shared" si="13"/>
        <v>324</v>
      </c>
      <c r="E282">
        <f t="shared" si="14"/>
        <v>0</v>
      </c>
    </row>
    <row r="283" spans="1:5" x14ac:dyDescent="0.2">
      <c r="A283">
        <v>1</v>
      </c>
      <c r="B283">
        <f t="shared" si="12"/>
        <v>324</v>
      </c>
      <c r="C283">
        <v>1</v>
      </c>
      <c r="D283">
        <f t="shared" si="13"/>
        <v>324</v>
      </c>
      <c r="E283">
        <f t="shared" si="14"/>
        <v>0</v>
      </c>
    </row>
    <row r="284" spans="1:5" x14ac:dyDescent="0.2">
      <c r="A284">
        <v>1</v>
      </c>
      <c r="B284">
        <f t="shared" si="12"/>
        <v>324</v>
      </c>
      <c r="C284">
        <v>1</v>
      </c>
      <c r="D284">
        <f t="shared" si="13"/>
        <v>324</v>
      </c>
      <c r="E284">
        <f t="shared" si="14"/>
        <v>0</v>
      </c>
    </row>
    <row r="285" spans="1:5" x14ac:dyDescent="0.2">
      <c r="A285">
        <v>1</v>
      </c>
      <c r="B285">
        <f t="shared" si="12"/>
        <v>324</v>
      </c>
      <c r="C285">
        <v>1</v>
      </c>
      <c r="D285">
        <f t="shared" si="13"/>
        <v>324</v>
      </c>
      <c r="E285">
        <f t="shared" si="14"/>
        <v>0</v>
      </c>
    </row>
    <row r="286" spans="1:5" x14ac:dyDescent="0.2">
      <c r="A286">
        <v>1</v>
      </c>
      <c r="B286">
        <f t="shared" si="12"/>
        <v>324</v>
      </c>
      <c r="C286">
        <v>1</v>
      </c>
      <c r="D286">
        <f t="shared" si="13"/>
        <v>324</v>
      </c>
      <c r="E286">
        <f t="shared" si="14"/>
        <v>0</v>
      </c>
    </row>
    <row r="287" spans="1:5" x14ac:dyDescent="0.2">
      <c r="A287">
        <v>1</v>
      </c>
      <c r="B287">
        <f t="shared" si="12"/>
        <v>324</v>
      </c>
      <c r="C287">
        <v>1</v>
      </c>
      <c r="D287">
        <f t="shared" si="13"/>
        <v>324</v>
      </c>
      <c r="E287">
        <f t="shared" si="14"/>
        <v>0</v>
      </c>
    </row>
    <row r="288" spans="1:5" x14ac:dyDescent="0.2">
      <c r="A288">
        <v>1</v>
      </c>
      <c r="B288">
        <f t="shared" si="12"/>
        <v>324</v>
      </c>
      <c r="C288">
        <v>1</v>
      </c>
      <c r="D288">
        <f t="shared" si="13"/>
        <v>324</v>
      </c>
      <c r="E288">
        <f t="shared" si="14"/>
        <v>0</v>
      </c>
    </row>
    <row r="289" spans="1:5" x14ac:dyDescent="0.2">
      <c r="A289">
        <v>1</v>
      </c>
      <c r="B289">
        <f t="shared" si="12"/>
        <v>324</v>
      </c>
      <c r="C289">
        <v>1</v>
      </c>
      <c r="D289">
        <f t="shared" si="13"/>
        <v>324</v>
      </c>
      <c r="E289">
        <f t="shared" si="14"/>
        <v>0</v>
      </c>
    </row>
    <row r="290" spans="1:5" x14ac:dyDescent="0.2">
      <c r="A290">
        <v>1</v>
      </c>
      <c r="B290">
        <f t="shared" si="12"/>
        <v>324</v>
      </c>
      <c r="C290">
        <v>1</v>
      </c>
      <c r="D290">
        <f t="shared" si="13"/>
        <v>324</v>
      </c>
      <c r="E290">
        <f t="shared" si="14"/>
        <v>0</v>
      </c>
    </row>
    <row r="291" spans="1:5" x14ac:dyDescent="0.2">
      <c r="A291">
        <v>1</v>
      </c>
      <c r="B291">
        <f t="shared" si="12"/>
        <v>324</v>
      </c>
      <c r="C291">
        <v>1</v>
      </c>
      <c r="D291">
        <f t="shared" si="13"/>
        <v>324</v>
      </c>
      <c r="E291">
        <f t="shared" si="14"/>
        <v>0</v>
      </c>
    </row>
    <row r="292" spans="1:5" x14ac:dyDescent="0.2">
      <c r="A292">
        <v>1</v>
      </c>
      <c r="B292">
        <f t="shared" si="12"/>
        <v>324</v>
      </c>
      <c r="C292">
        <v>1</v>
      </c>
      <c r="D292">
        <f t="shared" si="13"/>
        <v>324</v>
      </c>
      <c r="E292">
        <f t="shared" si="14"/>
        <v>0</v>
      </c>
    </row>
    <row r="293" spans="1:5" x14ac:dyDescent="0.2">
      <c r="A293">
        <v>1</v>
      </c>
      <c r="B293">
        <f t="shared" si="12"/>
        <v>324</v>
      </c>
      <c r="C293">
        <v>1</v>
      </c>
      <c r="D293">
        <f t="shared" si="13"/>
        <v>324</v>
      </c>
      <c r="E293">
        <f t="shared" si="14"/>
        <v>0</v>
      </c>
    </row>
    <row r="294" spans="1:5" x14ac:dyDescent="0.2">
      <c r="A294">
        <v>1</v>
      </c>
      <c r="B294">
        <f t="shared" si="12"/>
        <v>324</v>
      </c>
      <c r="C294">
        <v>1</v>
      </c>
      <c r="D294">
        <f t="shared" si="13"/>
        <v>324</v>
      </c>
      <c r="E294">
        <f t="shared" si="14"/>
        <v>0</v>
      </c>
    </row>
    <row r="295" spans="1:5" x14ac:dyDescent="0.2">
      <c r="A295">
        <v>1</v>
      </c>
      <c r="B295">
        <f t="shared" si="12"/>
        <v>324</v>
      </c>
      <c r="C295">
        <v>1</v>
      </c>
      <c r="D295">
        <f t="shared" si="13"/>
        <v>324</v>
      </c>
      <c r="E295">
        <f t="shared" si="14"/>
        <v>0</v>
      </c>
    </row>
    <row r="296" spans="1:5" x14ac:dyDescent="0.2">
      <c r="A296">
        <v>1</v>
      </c>
      <c r="B296">
        <f t="shared" si="12"/>
        <v>324</v>
      </c>
      <c r="C296">
        <v>1</v>
      </c>
      <c r="D296">
        <f t="shared" si="13"/>
        <v>324</v>
      </c>
      <c r="E296">
        <f t="shared" si="14"/>
        <v>0</v>
      </c>
    </row>
    <row r="297" spans="1:5" x14ac:dyDescent="0.2">
      <c r="A297">
        <v>1</v>
      </c>
      <c r="B297">
        <f t="shared" si="12"/>
        <v>324</v>
      </c>
      <c r="C297">
        <v>1</v>
      </c>
      <c r="D297">
        <f t="shared" si="13"/>
        <v>324</v>
      </c>
      <c r="E297">
        <f t="shared" si="14"/>
        <v>0</v>
      </c>
    </row>
    <row r="298" spans="1:5" x14ac:dyDescent="0.2">
      <c r="A298">
        <v>1</v>
      </c>
      <c r="B298">
        <f t="shared" si="12"/>
        <v>324</v>
      </c>
      <c r="C298">
        <v>1</v>
      </c>
      <c r="D298">
        <f t="shared" si="13"/>
        <v>324</v>
      </c>
      <c r="E298">
        <f t="shared" si="14"/>
        <v>0</v>
      </c>
    </row>
    <row r="299" spans="1:5" x14ac:dyDescent="0.2">
      <c r="A299">
        <v>1</v>
      </c>
      <c r="B299">
        <f t="shared" si="12"/>
        <v>324</v>
      </c>
      <c r="C299">
        <v>1</v>
      </c>
      <c r="D299">
        <f t="shared" si="13"/>
        <v>324</v>
      </c>
      <c r="E299">
        <f t="shared" si="14"/>
        <v>0</v>
      </c>
    </row>
    <row r="300" spans="1:5" x14ac:dyDescent="0.2">
      <c r="A300">
        <v>1</v>
      </c>
      <c r="B300">
        <f t="shared" si="12"/>
        <v>324</v>
      </c>
      <c r="C300">
        <v>1</v>
      </c>
      <c r="D300">
        <f t="shared" si="13"/>
        <v>324</v>
      </c>
      <c r="E300">
        <f t="shared" si="14"/>
        <v>0</v>
      </c>
    </row>
    <row r="301" spans="1:5" x14ac:dyDescent="0.2">
      <c r="A301">
        <v>1</v>
      </c>
      <c r="B301">
        <f t="shared" si="12"/>
        <v>324</v>
      </c>
      <c r="C301">
        <v>1</v>
      </c>
      <c r="D301">
        <f t="shared" si="13"/>
        <v>324</v>
      </c>
      <c r="E301">
        <f t="shared" si="14"/>
        <v>0</v>
      </c>
    </row>
    <row r="302" spans="1:5" x14ac:dyDescent="0.2">
      <c r="A302">
        <v>1</v>
      </c>
      <c r="B302">
        <f t="shared" si="12"/>
        <v>324</v>
      </c>
      <c r="C302">
        <v>1</v>
      </c>
      <c r="D302">
        <f t="shared" si="13"/>
        <v>324</v>
      </c>
      <c r="E302">
        <f t="shared" si="14"/>
        <v>0</v>
      </c>
    </row>
    <row r="303" spans="1:5" x14ac:dyDescent="0.2">
      <c r="A303">
        <v>1</v>
      </c>
      <c r="B303">
        <f t="shared" si="12"/>
        <v>324</v>
      </c>
      <c r="C303">
        <v>1</v>
      </c>
      <c r="D303">
        <f t="shared" si="13"/>
        <v>324</v>
      </c>
      <c r="E303">
        <f t="shared" si="14"/>
        <v>0</v>
      </c>
    </row>
    <row r="304" spans="1:5" x14ac:dyDescent="0.2">
      <c r="A304">
        <v>1</v>
      </c>
      <c r="B304">
        <f t="shared" si="12"/>
        <v>324</v>
      </c>
      <c r="C304">
        <v>1</v>
      </c>
      <c r="D304">
        <f t="shared" si="13"/>
        <v>324</v>
      </c>
      <c r="E304">
        <f t="shared" si="14"/>
        <v>0</v>
      </c>
    </row>
    <row r="305" spans="1:5" x14ac:dyDescent="0.2">
      <c r="A305">
        <v>1</v>
      </c>
      <c r="B305">
        <f t="shared" si="12"/>
        <v>324</v>
      </c>
      <c r="C305">
        <v>1</v>
      </c>
      <c r="D305">
        <f t="shared" si="13"/>
        <v>324</v>
      </c>
      <c r="E305">
        <f t="shared" si="14"/>
        <v>0</v>
      </c>
    </row>
    <row r="306" spans="1:5" x14ac:dyDescent="0.2">
      <c r="A306">
        <v>1</v>
      </c>
      <c r="B306">
        <f t="shared" si="12"/>
        <v>324</v>
      </c>
      <c r="C306">
        <v>1</v>
      </c>
      <c r="D306">
        <f t="shared" si="13"/>
        <v>324</v>
      </c>
      <c r="E306">
        <f t="shared" si="14"/>
        <v>0</v>
      </c>
    </row>
    <row r="307" spans="1:5" x14ac:dyDescent="0.2">
      <c r="A307">
        <v>1</v>
      </c>
      <c r="B307">
        <f t="shared" si="12"/>
        <v>324</v>
      </c>
      <c r="C307">
        <v>1</v>
      </c>
      <c r="D307">
        <f t="shared" si="13"/>
        <v>324</v>
      </c>
      <c r="E307">
        <f t="shared" si="14"/>
        <v>0</v>
      </c>
    </row>
    <row r="308" spans="1:5" x14ac:dyDescent="0.2">
      <c r="A308">
        <v>1</v>
      </c>
      <c r="B308">
        <f t="shared" si="12"/>
        <v>324</v>
      </c>
      <c r="C308">
        <v>1</v>
      </c>
      <c r="D308">
        <f t="shared" si="13"/>
        <v>324</v>
      </c>
      <c r="E308">
        <f t="shared" si="14"/>
        <v>0</v>
      </c>
    </row>
    <row r="309" spans="1:5" x14ac:dyDescent="0.2">
      <c r="A309">
        <v>1</v>
      </c>
      <c r="B309">
        <f t="shared" si="12"/>
        <v>324</v>
      </c>
      <c r="C309">
        <v>1</v>
      </c>
      <c r="D309">
        <f t="shared" si="13"/>
        <v>324</v>
      </c>
      <c r="E309">
        <f t="shared" si="14"/>
        <v>0</v>
      </c>
    </row>
    <row r="310" spans="1:5" x14ac:dyDescent="0.2">
      <c r="A310">
        <v>1</v>
      </c>
      <c r="B310">
        <f t="shared" si="12"/>
        <v>324</v>
      </c>
      <c r="C310">
        <v>1</v>
      </c>
      <c r="D310">
        <f t="shared" si="13"/>
        <v>324</v>
      </c>
      <c r="E310">
        <f t="shared" si="14"/>
        <v>0</v>
      </c>
    </row>
    <row r="311" spans="1:5" x14ac:dyDescent="0.2">
      <c r="A311">
        <v>1</v>
      </c>
      <c r="B311">
        <f t="shared" si="12"/>
        <v>324</v>
      </c>
      <c r="C311">
        <v>1</v>
      </c>
      <c r="D311">
        <f t="shared" si="13"/>
        <v>324</v>
      </c>
      <c r="E311">
        <f t="shared" si="14"/>
        <v>0</v>
      </c>
    </row>
    <row r="312" spans="1:5" x14ac:dyDescent="0.2">
      <c r="A312">
        <v>1</v>
      </c>
      <c r="B312">
        <f t="shared" si="12"/>
        <v>324</v>
      </c>
      <c r="C312">
        <v>1</v>
      </c>
      <c r="D312">
        <f t="shared" si="13"/>
        <v>324</v>
      </c>
      <c r="E312">
        <f t="shared" si="14"/>
        <v>0</v>
      </c>
    </row>
    <row r="313" spans="1:5" x14ac:dyDescent="0.2">
      <c r="A313">
        <v>1</v>
      </c>
      <c r="B313">
        <f t="shared" si="12"/>
        <v>324</v>
      </c>
      <c r="C313">
        <v>1</v>
      </c>
      <c r="D313">
        <f t="shared" si="13"/>
        <v>324</v>
      </c>
      <c r="E313">
        <f t="shared" si="14"/>
        <v>0</v>
      </c>
    </row>
    <row r="314" spans="1:5" x14ac:dyDescent="0.2">
      <c r="A314">
        <v>1</v>
      </c>
      <c r="B314">
        <f t="shared" si="12"/>
        <v>324</v>
      </c>
      <c r="C314">
        <v>1</v>
      </c>
      <c r="D314">
        <f t="shared" si="13"/>
        <v>324</v>
      </c>
      <c r="E314">
        <f t="shared" si="14"/>
        <v>0</v>
      </c>
    </row>
    <row r="315" spans="1:5" x14ac:dyDescent="0.2">
      <c r="A315">
        <v>1</v>
      </c>
      <c r="B315">
        <f t="shared" si="12"/>
        <v>324</v>
      </c>
      <c r="C315">
        <v>1</v>
      </c>
      <c r="D315">
        <f t="shared" si="13"/>
        <v>324</v>
      </c>
      <c r="E315">
        <f t="shared" si="14"/>
        <v>0</v>
      </c>
    </row>
    <row r="316" spans="1:5" x14ac:dyDescent="0.2">
      <c r="A316">
        <v>1</v>
      </c>
      <c r="B316">
        <f t="shared" si="12"/>
        <v>324</v>
      </c>
      <c r="C316">
        <v>1</v>
      </c>
      <c r="D316">
        <f t="shared" si="13"/>
        <v>324</v>
      </c>
      <c r="E316">
        <f t="shared" si="14"/>
        <v>0</v>
      </c>
    </row>
    <row r="317" spans="1:5" x14ac:dyDescent="0.2">
      <c r="A317">
        <v>1</v>
      </c>
      <c r="B317">
        <f t="shared" si="12"/>
        <v>324</v>
      </c>
      <c r="C317">
        <v>1</v>
      </c>
      <c r="D317">
        <f t="shared" si="13"/>
        <v>324</v>
      </c>
      <c r="E317">
        <f t="shared" si="14"/>
        <v>0</v>
      </c>
    </row>
    <row r="318" spans="1:5" x14ac:dyDescent="0.2">
      <c r="A318">
        <v>1</v>
      </c>
      <c r="B318">
        <f t="shared" si="12"/>
        <v>324</v>
      </c>
      <c r="C318">
        <v>1</v>
      </c>
      <c r="D318">
        <f t="shared" si="13"/>
        <v>324</v>
      </c>
      <c r="E318">
        <f t="shared" si="14"/>
        <v>0</v>
      </c>
    </row>
    <row r="319" spans="1:5" x14ac:dyDescent="0.2">
      <c r="A319">
        <v>1</v>
      </c>
      <c r="B319">
        <f t="shared" si="12"/>
        <v>324</v>
      </c>
      <c r="C319">
        <v>1</v>
      </c>
      <c r="D319">
        <f t="shared" si="13"/>
        <v>324</v>
      </c>
      <c r="E319">
        <f t="shared" si="14"/>
        <v>0</v>
      </c>
    </row>
    <row r="320" spans="1:5" x14ac:dyDescent="0.2">
      <c r="A320">
        <v>1</v>
      </c>
      <c r="B320">
        <f t="shared" si="12"/>
        <v>324</v>
      </c>
      <c r="C320">
        <v>1</v>
      </c>
      <c r="D320">
        <f t="shared" si="13"/>
        <v>324</v>
      </c>
      <c r="E320">
        <f t="shared" si="14"/>
        <v>0</v>
      </c>
    </row>
    <row r="321" spans="1:5" x14ac:dyDescent="0.2">
      <c r="A321">
        <v>1</v>
      </c>
      <c r="B321">
        <f t="shared" si="12"/>
        <v>324</v>
      </c>
      <c r="C321">
        <v>1</v>
      </c>
      <c r="D321">
        <f t="shared" si="13"/>
        <v>324</v>
      </c>
      <c r="E321">
        <f t="shared" si="14"/>
        <v>0</v>
      </c>
    </row>
    <row r="322" spans="1:5" x14ac:dyDescent="0.2">
      <c r="A322">
        <v>1</v>
      </c>
      <c r="B322">
        <f t="shared" si="12"/>
        <v>324</v>
      </c>
      <c r="C322">
        <v>1</v>
      </c>
      <c r="D322">
        <f t="shared" si="13"/>
        <v>324</v>
      </c>
      <c r="E322">
        <f t="shared" si="14"/>
        <v>0</v>
      </c>
    </row>
    <row r="323" spans="1:5" x14ac:dyDescent="0.2">
      <c r="A323">
        <v>1</v>
      </c>
      <c r="B323">
        <f t="shared" si="12"/>
        <v>324</v>
      </c>
      <c r="C323">
        <v>1</v>
      </c>
      <c r="D323">
        <f t="shared" si="13"/>
        <v>324</v>
      </c>
      <c r="E323">
        <f t="shared" si="14"/>
        <v>0</v>
      </c>
    </row>
    <row r="324" spans="1:5" x14ac:dyDescent="0.2">
      <c r="A324">
        <v>1</v>
      </c>
      <c r="B324">
        <f t="shared" si="12"/>
        <v>324</v>
      </c>
      <c r="C324">
        <v>1</v>
      </c>
      <c r="D324">
        <f t="shared" si="13"/>
        <v>324</v>
      </c>
      <c r="E324">
        <f t="shared" si="14"/>
        <v>0</v>
      </c>
    </row>
    <row r="325" spans="1:5" x14ac:dyDescent="0.2">
      <c r="A325">
        <v>1</v>
      </c>
      <c r="B325">
        <f t="shared" si="12"/>
        <v>324</v>
      </c>
      <c r="C325">
        <v>1</v>
      </c>
      <c r="D325">
        <f t="shared" si="13"/>
        <v>324</v>
      </c>
      <c r="E325">
        <f t="shared" si="14"/>
        <v>0</v>
      </c>
    </row>
    <row r="326" spans="1:5" x14ac:dyDescent="0.2">
      <c r="A326">
        <v>1</v>
      </c>
      <c r="B326">
        <f t="shared" si="12"/>
        <v>324</v>
      </c>
      <c r="C326">
        <v>1</v>
      </c>
      <c r="D326">
        <f t="shared" si="13"/>
        <v>324</v>
      </c>
      <c r="E326">
        <f t="shared" si="14"/>
        <v>0</v>
      </c>
    </row>
    <row r="327" spans="1:5" x14ac:dyDescent="0.2">
      <c r="A327">
        <v>1</v>
      </c>
      <c r="B327">
        <f t="shared" si="12"/>
        <v>324</v>
      </c>
      <c r="C327">
        <v>1</v>
      </c>
      <c r="D327">
        <f t="shared" si="13"/>
        <v>324</v>
      </c>
      <c r="E327">
        <f t="shared" si="14"/>
        <v>0</v>
      </c>
    </row>
    <row r="328" spans="1:5" x14ac:dyDescent="0.2">
      <c r="A328">
        <v>1</v>
      </c>
      <c r="B328">
        <f t="shared" si="12"/>
        <v>324</v>
      </c>
      <c r="C328">
        <v>1</v>
      </c>
      <c r="D328">
        <f t="shared" si="13"/>
        <v>324</v>
      </c>
      <c r="E328">
        <f t="shared" si="14"/>
        <v>0</v>
      </c>
    </row>
    <row r="329" spans="1:5" x14ac:dyDescent="0.2">
      <c r="A329">
        <v>1</v>
      </c>
      <c r="B329">
        <f t="shared" si="12"/>
        <v>324</v>
      </c>
      <c r="C329">
        <v>1</v>
      </c>
      <c r="D329">
        <f t="shared" si="13"/>
        <v>324</v>
      </c>
      <c r="E329">
        <f t="shared" si="14"/>
        <v>0</v>
      </c>
    </row>
    <row r="330" spans="1:5" x14ac:dyDescent="0.2">
      <c r="A330">
        <v>1</v>
      </c>
      <c r="B330">
        <f t="shared" si="12"/>
        <v>324</v>
      </c>
      <c r="C330">
        <v>1</v>
      </c>
      <c r="D330">
        <f t="shared" si="13"/>
        <v>324</v>
      </c>
      <c r="E330">
        <f t="shared" si="14"/>
        <v>0</v>
      </c>
    </row>
    <row r="331" spans="1:5" x14ac:dyDescent="0.2">
      <c r="A331">
        <v>1</v>
      </c>
      <c r="B331">
        <f t="shared" si="12"/>
        <v>324</v>
      </c>
      <c r="C331">
        <v>1</v>
      </c>
      <c r="D331">
        <f t="shared" si="13"/>
        <v>324</v>
      </c>
      <c r="E331">
        <f t="shared" si="14"/>
        <v>0</v>
      </c>
    </row>
    <row r="332" spans="1:5" x14ac:dyDescent="0.2">
      <c r="A332">
        <v>1</v>
      </c>
      <c r="B332">
        <f t="shared" si="12"/>
        <v>324</v>
      </c>
      <c r="C332">
        <v>1</v>
      </c>
      <c r="D332">
        <f t="shared" si="13"/>
        <v>324</v>
      </c>
      <c r="E332">
        <f t="shared" si="14"/>
        <v>0</v>
      </c>
    </row>
    <row r="333" spans="1:5" x14ac:dyDescent="0.2">
      <c r="A333">
        <v>1</v>
      </c>
      <c r="B333">
        <f t="shared" si="12"/>
        <v>324</v>
      </c>
      <c r="C333">
        <v>1</v>
      </c>
      <c r="D333">
        <f t="shared" si="13"/>
        <v>324</v>
      </c>
      <c r="E333">
        <f t="shared" si="14"/>
        <v>0</v>
      </c>
    </row>
    <row r="334" spans="1:5" x14ac:dyDescent="0.2">
      <c r="A334">
        <v>1</v>
      </c>
      <c r="B334">
        <f t="shared" si="12"/>
        <v>324</v>
      </c>
      <c r="C334">
        <v>1</v>
      </c>
      <c r="D334">
        <f t="shared" si="13"/>
        <v>324</v>
      </c>
      <c r="E334">
        <f t="shared" si="14"/>
        <v>0</v>
      </c>
    </row>
    <row r="335" spans="1:5" x14ac:dyDescent="0.2">
      <c r="A335">
        <v>1</v>
      </c>
      <c r="B335">
        <f t="shared" si="12"/>
        <v>324</v>
      </c>
      <c r="C335">
        <v>1</v>
      </c>
      <c r="D335">
        <f t="shared" si="13"/>
        <v>324</v>
      </c>
      <c r="E335">
        <f t="shared" si="14"/>
        <v>0</v>
      </c>
    </row>
    <row r="336" spans="1:5" x14ac:dyDescent="0.2">
      <c r="A336">
        <v>1</v>
      </c>
      <c r="B336">
        <f t="shared" si="12"/>
        <v>324</v>
      </c>
      <c r="C336">
        <v>1</v>
      </c>
      <c r="D336">
        <f t="shared" si="13"/>
        <v>324</v>
      </c>
      <c r="E336">
        <f t="shared" si="14"/>
        <v>0</v>
      </c>
    </row>
    <row r="337" spans="1:5" x14ac:dyDescent="0.2">
      <c r="A337">
        <v>1</v>
      </c>
      <c r="B337">
        <f t="shared" si="12"/>
        <v>324</v>
      </c>
      <c r="C337">
        <v>1</v>
      </c>
      <c r="D337">
        <f t="shared" si="13"/>
        <v>324</v>
      </c>
      <c r="E337">
        <f t="shared" si="14"/>
        <v>0</v>
      </c>
    </row>
    <row r="338" spans="1:5" x14ac:dyDescent="0.2">
      <c r="A338">
        <v>1</v>
      </c>
      <c r="B338">
        <f t="shared" si="12"/>
        <v>324</v>
      </c>
      <c r="C338">
        <v>1</v>
      </c>
      <c r="D338">
        <f t="shared" si="13"/>
        <v>324</v>
      </c>
      <c r="E338">
        <f t="shared" si="14"/>
        <v>0</v>
      </c>
    </row>
    <row r="339" spans="1:5" x14ac:dyDescent="0.2">
      <c r="A339">
        <v>1</v>
      </c>
      <c r="B339">
        <f t="shared" si="12"/>
        <v>324</v>
      </c>
      <c r="C339">
        <v>1</v>
      </c>
      <c r="D339">
        <f t="shared" si="13"/>
        <v>324</v>
      </c>
      <c r="E339">
        <f t="shared" si="14"/>
        <v>0</v>
      </c>
    </row>
    <row r="340" spans="1:5" x14ac:dyDescent="0.2">
      <c r="A340">
        <v>1</v>
      </c>
      <c r="B340">
        <f t="shared" si="12"/>
        <v>324</v>
      </c>
      <c r="C340">
        <v>1</v>
      </c>
      <c r="D340">
        <f t="shared" si="13"/>
        <v>324</v>
      </c>
      <c r="E340">
        <f t="shared" si="14"/>
        <v>0</v>
      </c>
    </row>
    <row r="341" spans="1:5" x14ac:dyDescent="0.2">
      <c r="A341">
        <v>1</v>
      </c>
      <c r="B341">
        <f t="shared" si="12"/>
        <v>324</v>
      </c>
      <c r="C341">
        <v>1</v>
      </c>
      <c r="D341">
        <f t="shared" si="13"/>
        <v>324</v>
      </c>
      <c r="E341">
        <f t="shared" si="14"/>
        <v>0</v>
      </c>
    </row>
    <row r="342" spans="1:5" x14ac:dyDescent="0.2">
      <c r="A342">
        <v>1</v>
      </c>
      <c r="B342">
        <f t="shared" si="12"/>
        <v>324</v>
      </c>
      <c r="C342">
        <v>1</v>
      </c>
      <c r="D342">
        <f t="shared" si="13"/>
        <v>324</v>
      </c>
      <c r="E342">
        <f t="shared" si="14"/>
        <v>0</v>
      </c>
    </row>
    <row r="343" spans="1:5" x14ac:dyDescent="0.2">
      <c r="A343">
        <v>1</v>
      </c>
      <c r="B343">
        <f t="shared" si="12"/>
        <v>324</v>
      </c>
      <c r="C343">
        <v>1</v>
      </c>
      <c r="D343">
        <f t="shared" si="13"/>
        <v>324</v>
      </c>
      <c r="E343">
        <f t="shared" si="14"/>
        <v>0</v>
      </c>
    </row>
    <row r="344" spans="1:5" x14ac:dyDescent="0.2">
      <c r="A344">
        <v>1</v>
      </c>
      <c r="B344">
        <f t="shared" ref="B344:B407" si="15">_xlfn.RANK.AVG(A344,$A$23:$A$792,1)</f>
        <v>324</v>
      </c>
      <c r="C344">
        <v>1</v>
      </c>
      <c r="D344">
        <f t="shared" ref="D344:D407" si="16">_xlfn.RANK.AVG(C344,$C$23:$C$792,1)</f>
        <v>324</v>
      </c>
      <c r="E344">
        <f t="shared" ref="E344:E407" si="17">POWER(B344-D344,2)</f>
        <v>0</v>
      </c>
    </row>
    <row r="345" spans="1:5" x14ac:dyDescent="0.2">
      <c r="A345">
        <v>1</v>
      </c>
      <c r="B345">
        <f t="shared" si="15"/>
        <v>324</v>
      </c>
      <c r="C345">
        <v>1</v>
      </c>
      <c r="D345">
        <f t="shared" si="16"/>
        <v>324</v>
      </c>
      <c r="E345">
        <f t="shared" si="17"/>
        <v>0</v>
      </c>
    </row>
    <row r="346" spans="1:5" x14ac:dyDescent="0.2">
      <c r="A346">
        <v>1</v>
      </c>
      <c r="B346">
        <f t="shared" si="15"/>
        <v>324</v>
      </c>
      <c r="C346">
        <v>1</v>
      </c>
      <c r="D346">
        <f t="shared" si="16"/>
        <v>324</v>
      </c>
      <c r="E346">
        <f t="shared" si="17"/>
        <v>0</v>
      </c>
    </row>
    <row r="347" spans="1:5" x14ac:dyDescent="0.2">
      <c r="A347">
        <v>1</v>
      </c>
      <c r="B347">
        <f t="shared" si="15"/>
        <v>324</v>
      </c>
      <c r="C347">
        <v>1</v>
      </c>
      <c r="D347">
        <f t="shared" si="16"/>
        <v>324</v>
      </c>
      <c r="E347">
        <f t="shared" si="17"/>
        <v>0</v>
      </c>
    </row>
    <row r="348" spans="1:5" x14ac:dyDescent="0.2">
      <c r="A348">
        <v>1</v>
      </c>
      <c r="B348">
        <f t="shared" si="15"/>
        <v>324</v>
      </c>
      <c r="C348">
        <v>1</v>
      </c>
      <c r="D348">
        <f t="shared" si="16"/>
        <v>324</v>
      </c>
      <c r="E348">
        <f t="shared" si="17"/>
        <v>0</v>
      </c>
    </row>
    <row r="349" spans="1:5" x14ac:dyDescent="0.2">
      <c r="A349">
        <v>1</v>
      </c>
      <c r="B349">
        <f t="shared" si="15"/>
        <v>324</v>
      </c>
      <c r="C349">
        <v>1</v>
      </c>
      <c r="D349">
        <f t="shared" si="16"/>
        <v>324</v>
      </c>
      <c r="E349">
        <f t="shared" si="17"/>
        <v>0</v>
      </c>
    </row>
    <row r="350" spans="1:5" x14ac:dyDescent="0.2">
      <c r="A350">
        <v>1</v>
      </c>
      <c r="B350">
        <f t="shared" si="15"/>
        <v>324</v>
      </c>
      <c r="C350">
        <v>1</v>
      </c>
      <c r="D350">
        <f t="shared" si="16"/>
        <v>324</v>
      </c>
      <c r="E350">
        <f t="shared" si="17"/>
        <v>0</v>
      </c>
    </row>
    <row r="351" spans="1:5" x14ac:dyDescent="0.2">
      <c r="A351">
        <v>1</v>
      </c>
      <c r="B351">
        <f t="shared" si="15"/>
        <v>324</v>
      </c>
      <c r="C351">
        <v>1</v>
      </c>
      <c r="D351">
        <f t="shared" si="16"/>
        <v>324</v>
      </c>
      <c r="E351">
        <f t="shared" si="17"/>
        <v>0</v>
      </c>
    </row>
    <row r="352" spans="1:5" x14ac:dyDescent="0.2">
      <c r="A352">
        <v>1</v>
      </c>
      <c r="B352">
        <f t="shared" si="15"/>
        <v>324</v>
      </c>
      <c r="C352">
        <v>1</v>
      </c>
      <c r="D352">
        <f t="shared" si="16"/>
        <v>324</v>
      </c>
      <c r="E352">
        <f t="shared" si="17"/>
        <v>0</v>
      </c>
    </row>
    <row r="353" spans="1:5" x14ac:dyDescent="0.2">
      <c r="A353">
        <v>1</v>
      </c>
      <c r="B353">
        <f t="shared" si="15"/>
        <v>324</v>
      </c>
      <c r="C353">
        <v>1</v>
      </c>
      <c r="D353">
        <f t="shared" si="16"/>
        <v>324</v>
      </c>
      <c r="E353">
        <f t="shared" si="17"/>
        <v>0</v>
      </c>
    </row>
    <row r="354" spans="1:5" x14ac:dyDescent="0.2">
      <c r="A354">
        <v>1</v>
      </c>
      <c r="B354">
        <f t="shared" si="15"/>
        <v>324</v>
      </c>
      <c r="C354">
        <v>1</v>
      </c>
      <c r="D354">
        <f t="shared" si="16"/>
        <v>324</v>
      </c>
      <c r="E354">
        <f t="shared" si="17"/>
        <v>0</v>
      </c>
    </row>
    <row r="355" spans="1:5" x14ac:dyDescent="0.2">
      <c r="A355">
        <v>1</v>
      </c>
      <c r="B355">
        <f t="shared" si="15"/>
        <v>324</v>
      </c>
      <c r="C355">
        <v>1</v>
      </c>
      <c r="D355">
        <f t="shared" si="16"/>
        <v>324</v>
      </c>
      <c r="E355">
        <f t="shared" si="17"/>
        <v>0</v>
      </c>
    </row>
    <row r="356" spans="1:5" x14ac:dyDescent="0.2">
      <c r="A356">
        <v>1</v>
      </c>
      <c r="B356">
        <f t="shared" si="15"/>
        <v>324</v>
      </c>
      <c r="C356">
        <v>1</v>
      </c>
      <c r="D356">
        <f t="shared" si="16"/>
        <v>324</v>
      </c>
      <c r="E356">
        <f t="shared" si="17"/>
        <v>0</v>
      </c>
    </row>
    <row r="357" spans="1:5" x14ac:dyDescent="0.2">
      <c r="A357">
        <v>1</v>
      </c>
      <c r="B357">
        <f t="shared" si="15"/>
        <v>324</v>
      </c>
      <c r="C357">
        <v>1</v>
      </c>
      <c r="D357">
        <f t="shared" si="16"/>
        <v>324</v>
      </c>
      <c r="E357">
        <f t="shared" si="17"/>
        <v>0</v>
      </c>
    </row>
    <row r="358" spans="1:5" x14ac:dyDescent="0.2">
      <c r="A358">
        <v>1</v>
      </c>
      <c r="B358">
        <f t="shared" si="15"/>
        <v>324</v>
      </c>
      <c r="C358">
        <v>1</v>
      </c>
      <c r="D358">
        <f t="shared" si="16"/>
        <v>324</v>
      </c>
      <c r="E358">
        <f t="shared" si="17"/>
        <v>0</v>
      </c>
    </row>
    <row r="359" spans="1:5" x14ac:dyDescent="0.2">
      <c r="A359">
        <v>1</v>
      </c>
      <c r="B359">
        <f t="shared" si="15"/>
        <v>324</v>
      </c>
      <c r="C359">
        <v>1</v>
      </c>
      <c r="D359">
        <f t="shared" si="16"/>
        <v>324</v>
      </c>
      <c r="E359">
        <f t="shared" si="17"/>
        <v>0</v>
      </c>
    </row>
    <row r="360" spans="1:5" x14ac:dyDescent="0.2">
      <c r="A360">
        <v>1</v>
      </c>
      <c r="B360">
        <f t="shared" si="15"/>
        <v>324</v>
      </c>
      <c r="C360">
        <v>1</v>
      </c>
      <c r="D360">
        <f t="shared" si="16"/>
        <v>324</v>
      </c>
      <c r="E360">
        <f t="shared" si="17"/>
        <v>0</v>
      </c>
    </row>
    <row r="361" spans="1:5" x14ac:dyDescent="0.2">
      <c r="A361">
        <v>1</v>
      </c>
      <c r="B361">
        <f t="shared" si="15"/>
        <v>324</v>
      </c>
      <c r="C361">
        <v>1</v>
      </c>
      <c r="D361">
        <f t="shared" si="16"/>
        <v>324</v>
      </c>
      <c r="E361">
        <f t="shared" si="17"/>
        <v>0</v>
      </c>
    </row>
    <row r="362" spans="1:5" x14ac:dyDescent="0.2">
      <c r="A362">
        <v>1</v>
      </c>
      <c r="B362">
        <f t="shared" si="15"/>
        <v>324</v>
      </c>
      <c r="C362">
        <v>1</v>
      </c>
      <c r="D362">
        <f t="shared" si="16"/>
        <v>324</v>
      </c>
      <c r="E362">
        <f t="shared" si="17"/>
        <v>0</v>
      </c>
    </row>
    <row r="363" spans="1:5" x14ac:dyDescent="0.2">
      <c r="A363">
        <v>1</v>
      </c>
      <c r="B363">
        <f t="shared" si="15"/>
        <v>324</v>
      </c>
      <c r="C363">
        <v>1</v>
      </c>
      <c r="D363">
        <f t="shared" si="16"/>
        <v>324</v>
      </c>
      <c r="E363">
        <f t="shared" si="17"/>
        <v>0</v>
      </c>
    </row>
    <row r="364" spans="1:5" x14ac:dyDescent="0.2">
      <c r="A364">
        <v>1</v>
      </c>
      <c r="B364">
        <f t="shared" si="15"/>
        <v>324</v>
      </c>
      <c r="C364">
        <v>1</v>
      </c>
      <c r="D364">
        <f t="shared" si="16"/>
        <v>324</v>
      </c>
      <c r="E364">
        <f t="shared" si="17"/>
        <v>0</v>
      </c>
    </row>
    <row r="365" spans="1:5" x14ac:dyDescent="0.2">
      <c r="A365">
        <v>1</v>
      </c>
      <c r="B365">
        <f t="shared" si="15"/>
        <v>324</v>
      </c>
      <c r="C365">
        <v>1</v>
      </c>
      <c r="D365">
        <f t="shared" si="16"/>
        <v>324</v>
      </c>
      <c r="E365">
        <f t="shared" si="17"/>
        <v>0</v>
      </c>
    </row>
    <row r="366" spans="1:5" x14ac:dyDescent="0.2">
      <c r="A366">
        <v>1</v>
      </c>
      <c r="B366">
        <f t="shared" si="15"/>
        <v>324</v>
      </c>
      <c r="C366">
        <v>1</v>
      </c>
      <c r="D366">
        <f t="shared" si="16"/>
        <v>324</v>
      </c>
      <c r="E366">
        <f t="shared" si="17"/>
        <v>0</v>
      </c>
    </row>
    <row r="367" spans="1:5" x14ac:dyDescent="0.2">
      <c r="A367">
        <v>1</v>
      </c>
      <c r="B367">
        <f t="shared" si="15"/>
        <v>324</v>
      </c>
      <c r="C367">
        <v>1</v>
      </c>
      <c r="D367">
        <f t="shared" si="16"/>
        <v>324</v>
      </c>
      <c r="E367">
        <f t="shared" si="17"/>
        <v>0</v>
      </c>
    </row>
    <row r="368" spans="1:5" x14ac:dyDescent="0.2">
      <c r="A368">
        <v>1</v>
      </c>
      <c r="B368">
        <f t="shared" si="15"/>
        <v>324</v>
      </c>
      <c r="C368">
        <v>1</v>
      </c>
      <c r="D368">
        <f t="shared" si="16"/>
        <v>324</v>
      </c>
      <c r="E368">
        <f t="shared" si="17"/>
        <v>0</v>
      </c>
    </row>
    <row r="369" spans="1:5" x14ac:dyDescent="0.2">
      <c r="A369">
        <v>1</v>
      </c>
      <c r="B369">
        <f t="shared" si="15"/>
        <v>324</v>
      </c>
      <c r="C369">
        <v>1</v>
      </c>
      <c r="D369">
        <f t="shared" si="16"/>
        <v>324</v>
      </c>
      <c r="E369">
        <f t="shared" si="17"/>
        <v>0</v>
      </c>
    </row>
    <row r="370" spans="1:5" x14ac:dyDescent="0.2">
      <c r="A370">
        <v>1</v>
      </c>
      <c r="B370">
        <f t="shared" si="15"/>
        <v>324</v>
      </c>
      <c r="C370">
        <v>1</v>
      </c>
      <c r="D370">
        <f t="shared" si="16"/>
        <v>324</v>
      </c>
      <c r="E370">
        <f t="shared" si="17"/>
        <v>0</v>
      </c>
    </row>
    <row r="371" spans="1:5" x14ac:dyDescent="0.2">
      <c r="A371">
        <v>1</v>
      </c>
      <c r="B371">
        <f t="shared" si="15"/>
        <v>324</v>
      </c>
      <c r="C371">
        <v>1</v>
      </c>
      <c r="D371">
        <f t="shared" si="16"/>
        <v>324</v>
      </c>
      <c r="E371">
        <f t="shared" si="17"/>
        <v>0</v>
      </c>
    </row>
    <row r="372" spans="1:5" x14ac:dyDescent="0.2">
      <c r="A372">
        <v>1</v>
      </c>
      <c r="B372">
        <f t="shared" si="15"/>
        <v>324</v>
      </c>
      <c r="C372">
        <v>1</v>
      </c>
      <c r="D372">
        <f t="shared" si="16"/>
        <v>324</v>
      </c>
      <c r="E372">
        <f t="shared" si="17"/>
        <v>0</v>
      </c>
    </row>
    <row r="373" spans="1:5" x14ac:dyDescent="0.2">
      <c r="A373">
        <v>1</v>
      </c>
      <c r="B373">
        <f t="shared" si="15"/>
        <v>324</v>
      </c>
      <c r="C373">
        <v>1</v>
      </c>
      <c r="D373">
        <f t="shared" si="16"/>
        <v>324</v>
      </c>
      <c r="E373">
        <f t="shared" si="17"/>
        <v>0</v>
      </c>
    </row>
    <row r="374" spans="1:5" x14ac:dyDescent="0.2">
      <c r="A374">
        <v>1</v>
      </c>
      <c r="B374">
        <f t="shared" si="15"/>
        <v>324</v>
      </c>
      <c r="C374">
        <v>1</v>
      </c>
      <c r="D374">
        <f t="shared" si="16"/>
        <v>324</v>
      </c>
      <c r="E374">
        <f t="shared" si="17"/>
        <v>0</v>
      </c>
    </row>
    <row r="375" spans="1:5" x14ac:dyDescent="0.2">
      <c r="A375">
        <v>1</v>
      </c>
      <c r="B375">
        <f t="shared" si="15"/>
        <v>324</v>
      </c>
      <c r="C375">
        <v>1</v>
      </c>
      <c r="D375">
        <f t="shared" si="16"/>
        <v>324</v>
      </c>
      <c r="E375">
        <f t="shared" si="17"/>
        <v>0</v>
      </c>
    </row>
    <row r="376" spans="1:5" x14ac:dyDescent="0.2">
      <c r="A376">
        <v>1</v>
      </c>
      <c r="B376">
        <f t="shared" si="15"/>
        <v>324</v>
      </c>
      <c r="C376">
        <v>1</v>
      </c>
      <c r="D376">
        <f t="shared" si="16"/>
        <v>324</v>
      </c>
      <c r="E376">
        <f t="shared" si="17"/>
        <v>0</v>
      </c>
    </row>
    <row r="377" spans="1:5" x14ac:dyDescent="0.2">
      <c r="A377">
        <v>1</v>
      </c>
      <c r="B377">
        <f t="shared" si="15"/>
        <v>324</v>
      </c>
      <c r="C377">
        <v>1</v>
      </c>
      <c r="D377">
        <f t="shared" si="16"/>
        <v>324</v>
      </c>
      <c r="E377">
        <f t="shared" si="17"/>
        <v>0</v>
      </c>
    </row>
    <row r="378" spans="1:5" x14ac:dyDescent="0.2">
      <c r="A378">
        <v>1</v>
      </c>
      <c r="B378">
        <f t="shared" si="15"/>
        <v>324</v>
      </c>
      <c r="C378">
        <v>1</v>
      </c>
      <c r="D378">
        <f t="shared" si="16"/>
        <v>324</v>
      </c>
      <c r="E378">
        <f t="shared" si="17"/>
        <v>0</v>
      </c>
    </row>
    <row r="379" spans="1:5" x14ac:dyDescent="0.2">
      <c r="A379">
        <v>1</v>
      </c>
      <c r="B379">
        <f t="shared" si="15"/>
        <v>324</v>
      </c>
      <c r="C379">
        <v>1</v>
      </c>
      <c r="D379">
        <f t="shared" si="16"/>
        <v>324</v>
      </c>
      <c r="E379">
        <f t="shared" si="17"/>
        <v>0</v>
      </c>
    </row>
    <row r="380" spans="1:5" x14ac:dyDescent="0.2">
      <c r="A380">
        <v>1</v>
      </c>
      <c r="B380">
        <f t="shared" si="15"/>
        <v>324</v>
      </c>
      <c r="C380">
        <v>1</v>
      </c>
      <c r="D380">
        <f t="shared" si="16"/>
        <v>324</v>
      </c>
      <c r="E380">
        <f t="shared" si="17"/>
        <v>0</v>
      </c>
    </row>
    <row r="381" spans="1:5" x14ac:dyDescent="0.2">
      <c r="A381">
        <v>1</v>
      </c>
      <c r="B381">
        <f t="shared" si="15"/>
        <v>324</v>
      </c>
      <c r="C381">
        <v>1</v>
      </c>
      <c r="D381">
        <f t="shared" si="16"/>
        <v>324</v>
      </c>
      <c r="E381">
        <f t="shared" si="17"/>
        <v>0</v>
      </c>
    </row>
    <row r="382" spans="1:5" x14ac:dyDescent="0.2">
      <c r="A382">
        <v>1</v>
      </c>
      <c r="B382">
        <f t="shared" si="15"/>
        <v>324</v>
      </c>
      <c r="C382">
        <v>1</v>
      </c>
      <c r="D382">
        <f t="shared" si="16"/>
        <v>324</v>
      </c>
      <c r="E382">
        <f t="shared" si="17"/>
        <v>0</v>
      </c>
    </row>
    <row r="383" spans="1:5" x14ac:dyDescent="0.2">
      <c r="A383">
        <v>1</v>
      </c>
      <c r="B383">
        <f t="shared" si="15"/>
        <v>324</v>
      </c>
      <c r="C383">
        <v>1</v>
      </c>
      <c r="D383">
        <f t="shared" si="16"/>
        <v>324</v>
      </c>
      <c r="E383">
        <f t="shared" si="17"/>
        <v>0</v>
      </c>
    </row>
    <row r="384" spans="1:5" x14ac:dyDescent="0.2">
      <c r="A384">
        <v>1</v>
      </c>
      <c r="B384">
        <f t="shared" si="15"/>
        <v>324</v>
      </c>
      <c r="C384">
        <v>1</v>
      </c>
      <c r="D384">
        <f t="shared" si="16"/>
        <v>324</v>
      </c>
      <c r="E384">
        <f t="shared" si="17"/>
        <v>0</v>
      </c>
    </row>
    <row r="385" spans="1:5" x14ac:dyDescent="0.2">
      <c r="A385">
        <v>1</v>
      </c>
      <c r="B385">
        <f t="shared" si="15"/>
        <v>324</v>
      </c>
      <c r="C385">
        <v>1</v>
      </c>
      <c r="D385">
        <f t="shared" si="16"/>
        <v>324</v>
      </c>
      <c r="E385">
        <f t="shared" si="17"/>
        <v>0</v>
      </c>
    </row>
    <row r="386" spans="1:5" x14ac:dyDescent="0.2">
      <c r="A386">
        <v>1</v>
      </c>
      <c r="B386">
        <f t="shared" si="15"/>
        <v>324</v>
      </c>
      <c r="C386">
        <v>1</v>
      </c>
      <c r="D386">
        <f t="shared" si="16"/>
        <v>324</v>
      </c>
      <c r="E386">
        <f t="shared" si="17"/>
        <v>0</v>
      </c>
    </row>
    <row r="387" spans="1:5" x14ac:dyDescent="0.2">
      <c r="A387">
        <v>1</v>
      </c>
      <c r="B387">
        <f t="shared" si="15"/>
        <v>324</v>
      </c>
      <c r="C387">
        <v>1</v>
      </c>
      <c r="D387">
        <f t="shared" si="16"/>
        <v>324</v>
      </c>
      <c r="E387">
        <f t="shared" si="17"/>
        <v>0</v>
      </c>
    </row>
    <row r="388" spans="1:5" x14ac:dyDescent="0.2">
      <c r="A388">
        <v>1</v>
      </c>
      <c r="B388">
        <f t="shared" si="15"/>
        <v>324</v>
      </c>
      <c r="C388">
        <v>1</v>
      </c>
      <c r="D388">
        <f t="shared" si="16"/>
        <v>324</v>
      </c>
      <c r="E388">
        <f t="shared" si="17"/>
        <v>0</v>
      </c>
    </row>
    <row r="389" spans="1:5" x14ac:dyDescent="0.2">
      <c r="A389">
        <v>1</v>
      </c>
      <c r="B389">
        <f t="shared" si="15"/>
        <v>324</v>
      </c>
      <c r="C389">
        <v>1</v>
      </c>
      <c r="D389">
        <f t="shared" si="16"/>
        <v>324</v>
      </c>
      <c r="E389">
        <f t="shared" si="17"/>
        <v>0</v>
      </c>
    </row>
    <row r="390" spans="1:5" x14ac:dyDescent="0.2">
      <c r="A390">
        <v>1</v>
      </c>
      <c r="B390">
        <f t="shared" si="15"/>
        <v>324</v>
      </c>
      <c r="C390">
        <v>1</v>
      </c>
      <c r="D390">
        <f t="shared" si="16"/>
        <v>324</v>
      </c>
      <c r="E390">
        <f t="shared" si="17"/>
        <v>0</v>
      </c>
    </row>
    <row r="391" spans="1:5" x14ac:dyDescent="0.2">
      <c r="A391">
        <v>1</v>
      </c>
      <c r="B391">
        <f t="shared" si="15"/>
        <v>324</v>
      </c>
      <c r="C391">
        <v>1</v>
      </c>
      <c r="D391">
        <f t="shared" si="16"/>
        <v>324</v>
      </c>
      <c r="E391">
        <f t="shared" si="17"/>
        <v>0</v>
      </c>
    </row>
    <row r="392" spans="1:5" x14ac:dyDescent="0.2">
      <c r="A392">
        <v>1</v>
      </c>
      <c r="B392">
        <f t="shared" si="15"/>
        <v>324</v>
      </c>
      <c r="C392">
        <v>1</v>
      </c>
      <c r="D392">
        <f t="shared" si="16"/>
        <v>324</v>
      </c>
      <c r="E392">
        <f t="shared" si="17"/>
        <v>0</v>
      </c>
    </row>
    <row r="393" spans="1:5" x14ac:dyDescent="0.2">
      <c r="A393">
        <v>1</v>
      </c>
      <c r="B393">
        <f t="shared" si="15"/>
        <v>324</v>
      </c>
      <c r="C393">
        <v>1</v>
      </c>
      <c r="D393">
        <f t="shared" si="16"/>
        <v>324</v>
      </c>
      <c r="E393">
        <f t="shared" si="17"/>
        <v>0</v>
      </c>
    </row>
    <row r="394" spans="1:5" x14ac:dyDescent="0.2">
      <c r="A394">
        <v>1</v>
      </c>
      <c r="B394">
        <f t="shared" si="15"/>
        <v>324</v>
      </c>
      <c r="C394">
        <v>1</v>
      </c>
      <c r="D394">
        <f t="shared" si="16"/>
        <v>324</v>
      </c>
      <c r="E394">
        <f t="shared" si="17"/>
        <v>0</v>
      </c>
    </row>
    <row r="395" spans="1:5" x14ac:dyDescent="0.2">
      <c r="A395">
        <v>1</v>
      </c>
      <c r="B395">
        <f t="shared" si="15"/>
        <v>324</v>
      </c>
      <c r="C395">
        <v>1</v>
      </c>
      <c r="D395">
        <f t="shared" si="16"/>
        <v>324</v>
      </c>
      <c r="E395">
        <f t="shared" si="17"/>
        <v>0</v>
      </c>
    </row>
    <row r="396" spans="1:5" x14ac:dyDescent="0.2">
      <c r="A396">
        <v>1</v>
      </c>
      <c r="B396">
        <f t="shared" si="15"/>
        <v>324</v>
      </c>
      <c r="C396">
        <v>1</v>
      </c>
      <c r="D396">
        <f t="shared" si="16"/>
        <v>324</v>
      </c>
      <c r="E396">
        <f t="shared" si="17"/>
        <v>0</v>
      </c>
    </row>
    <row r="397" spans="1:5" x14ac:dyDescent="0.2">
      <c r="A397">
        <v>1</v>
      </c>
      <c r="B397">
        <f t="shared" si="15"/>
        <v>324</v>
      </c>
      <c r="C397">
        <v>1</v>
      </c>
      <c r="D397">
        <f t="shared" si="16"/>
        <v>324</v>
      </c>
      <c r="E397">
        <f t="shared" si="17"/>
        <v>0</v>
      </c>
    </row>
    <row r="398" spans="1:5" x14ac:dyDescent="0.2">
      <c r="A398">
        <v>1</v>
      </c>
      <c r="B398">
        <f t="shared" si="15"/>
        <v>324</v>
      </c>
      <c r="C398">
        <v>1</v>
      </c>
      <c r="D398">
        <f t="shared" si="16"/>
        <v>324</v>
      </c>
      <c r="E398">
        <f t="shared" si="17"/>
        <v>0</v>
      </c>
    </row>
    <row r="399" spans="1:5" x14ac:dyDescent="0.2">
      <c r="A399">
        <v>1</v>
      </c>
      <c r="B399">
        <f t="shared" si="15"/>
        <v>324</v>
      </c>
      <c r="C399">
        <v>1</v>
      </c>
      <c r="D399">
        <f t="shared" si="16"/>
        <v>324</v>
      </c>
      <c r="E399">
        <f t="shared" si="17"/>
        <v>0</v>
      </c>
    </row>
    <row r="400" spans="1:5" x14ac:dyDescent="0.2">
      <c r="A400">
        <v>1</v>
      </c>
      <c r="B400">
        <f t="shared" si="15"/>
        <v>324</v>
      </c>
      <c r="C400">
        <v>1</v>
      </c>
      <c r="D400">
        <f t="shared" si="16"/>
        <v>324</v>
      </c>
      <c r="E400">
        <f t="shared" si="17"/>
        <v>0</v>
      </c>
    </row>
    <row r="401" spans="1:5" x14ac:dyDescent="0.2">
      <c r="A401">
        <v>1</v>
      </c>
      <c r="B401">
        <f t="shared" si="15"/>
        <v>324</v>
      </c>
      <c r="C401">
        <v>1</v>
      </c>
      <c r="D401">
        <f t="shared" si="16"/>
        <v>324</v>
      </c>
      <c r="E401">
        <f t="shared" si="17"/>
        <v>0</v>
      </c>
    </row>
    <row r="402" spans="1:5" x14ac:dyDescent="0.2">
      <c r="A402">
        <v>1</v>
      </c>
      <c r="B402">
        <f t="shared" si="15"/>
        <v>324</v>
      </c>
      <c r="C402">
        <v>1</v>
      </c>
      <c r="D402">
        <f t="shared" si="16"/>
        <v>324</v>
      </c>
      <c r="E402">
        <f t="shared" si="17"/>
        <v>0</v>
      </c>
    </row>
    <row r="403" spans="1:5" x14ac:dyDescent="0.2">
      <c r="A403">
        <v>1</v>
      </c>
      <c r="B403">
        <f t="shared" si="15"/>
        <v>324</v>
      </c>
      <c r="C403">
        <v>1</v>
      </c>
      <c r="D403">
        <f t="shared" si="16"/>
        <v>324</v>
      </c>
      <c r="E403">
        <f t="shared" si="17"/>
        <v>0</v>
      </c>
    </row>
    <row r="404" spans="1:5" x14ac:dyDescent="0.2">
      <c r="A404">
        <v>1</v>
      </c>
      <c r="B404">
        <f t="shared" si="15"/>
        <v>324</v>
      </c>
      <c r="C404">
        <v>1</v>
      </c>
      <c r="D404">
        <f t="shared" si="16"/>
        <v>324</v>
      </c>
      <c r="E404">
        <f t="shared" si="17"/>
        <v>0</v>
      </c>
    </row>
    <row r="405" spans="1:5" x14ac:dyDescent="0.2">
      <c r="A405">
        <v>1</v>
      </c>
      <c r="B405">
        <f t="shared" si="15"/>
        <v>324</v>
      </c>
      <c r="C405">
        <v>1</v>
      </c>
      <c r="D405">
        <f t="shared" si="16"/>
        <v>324</v>
      </c>
      <c r="E405">
        <f t="shared" si="17"/>
        <v>0</v>
      </c>
    </row>
    <row r="406" spans="1:5" x14ac:dyDescent="0.2">
      <c r="A406">
        <v>1</v>
      </c>
      <c r="B406">
        <f t="shared" si="15"/>
        <v>324</v>
      </c>
      <c r="C406">
        <v>1</v>
      </c>
      <c r="D406">
        <f t="shared" si="16"/>
        <v>324</v>
      </c>
      <c r="E406">
        <f t="shared" si="17"/>
        <v>0</v>
      </c>
    </row>
    <row r="407" spans="1:5" x14ac:dyDescent="0.2">
      <c r="A407">
        <v>1</v>
      </c>
      <c r="B407">
        <f t="shared" si="15"/>
        <v>324</v>
      </c>
      <c r="C407">
        <v>1</v>
      </c>
      <c r="D407">
        <f t="shared" si="16"/>
        <v>324</v>
      </c>
      <c r="E407">
        <f t="shared" si="17"/>
        <v>0</v>
      </c>
    </row>
    <row r="408" spans="1:5" x14ac:dyDescent="0.2">
      <c r="A408">
        <v>1</v>
      </c>
      <c r="B408">
        <f t="shared" ref="B408:B471" si="18">_xlfn.RANK.AVG(A408,$A$23:$A$792,1)</f>
        <v>324</v>
      </c>
      <c r="C408">
        <v>1</v>
      </c>
      <c r="D408">
        <f t="shared" ref="D408:D471" si="19">_xlfn.RANK.AVG(C408,$C$23:$C$792,1)</f>
        <v>324</v>
      </c>
      <c r="E408">
        <f t="shared" ref="E408:E471" si="20">POWER(B408-D408,2)</f>
        <v>0</v>
      </c>
    </row>
    <row r="409" spans="1:5" x14ac:dyDescent="0.2">
      <c r="A409">
        <v>1</v>
      </c>
      <c r="B409">
        <f t="shared" si="18"/>
        <v>324</v>
      </c>
      <c r="C409">
        <v>1</v>
      </c>
      <c r="D409">
        <f t="shared" si="19"/>
        <v>324</v>
      </c>
      <c r="E409">
        <f t="shared" si="20"/>
        <v>0</v>
      </c>
    </row>
    <row r="410" spans="1:5" x14ac:dyDescent="0.2">
      <c r="A410">
        <v>1</v>
      </c>
      <c r="B410">
        <f t="shared" si="18"/>
        <v>324</v>
      </c>
      <c r="C410">
        <v>1</v>
      </c>
      <c r="D410">
        <f t="shared" si="19"/>
        <v>324</v>
      </c>
      <c r="E410">
        <f t="shared" si="20"/>
        <v>0</v>
      </c>
    </row>
    <row r="411" spans="1:5" x14ac:dyDescent="0.2">
      <c r="A411">
        <v>1</v>
      </c>
      <c r="B411">
        <f t="shared" si="18"/>
        <v>324</v>
      </c>
      <c r="C411">
        <v>1</v>
      </c>
      <c r="D411">
        <f t="shared" si="19"/>
        <v>324</v>
      </c>
      <c r="E411">
        <f t="shared" si="20"/>
        <v>0</v>
      </c>
    </row>
    <row r="412" spans="1:5" x14ac:dyDescent="0.2">
      <c r="A412">
        <v>1</v>
      </c>
      <c r="B412">
        <f t="shared" si="18"/>
        <v>324</v>
      </c>
      <c r="C412">
        <v>1</v>
      </c>
      <c r="D412">
        <f t="shared" si="19"/>
        <v>324</v>
      </c>
      <c r="E412">
        <f t="shared" si="20"/>
        <v>0</v>
      </c>
    </row>
    <row r="413" spans="1:5" x14ac:dyDescent="0.2">
      <c r="A413">
        <v>1</v>
      </c>
      <c r="B413">
        <f t="shared" si="18"/>
        <v>324</v>
      </c>
      <c r="C413">
        <v>1</v>
      </c>
      <c r="D413">
        <f t="shared" si="19"/>
        <v>324</v>
      </c>
      <c r="E413">
        <f t="shared" si="20"/>
        <v>0</v>
      </c>
    </row>
    <row r="414" spans="1:5" x14ac:dyDescent="0.2">
      <c r="A414">
        <v>1</v>
      </c>
      <c r="B414">
        <f t="shared" si="18"/>
        <v>324</v>
      </c>
      <c r="C414">
        <v>1</v>
      </c>
      <c r="D414">
        <f t="shared" si="19"/>
        <v>324</v>
      </c>
      <c r="E414">
        <f t="shared" si="20"/>
        <v>0</v>
      </c>
    </row>
    <row r="415" spans="1:5" x14ac:dyDescent="0.2">
      <c r="A415">
        <v>1</v>
      </c>
      <c r="B415">
        <f t="shared" si="18"/>
        <v>324</v>
      </c>
      <c r="C415">
        <v>1</v>
      </c>
      <c r="D415">
        <f t="shared" si="19"/>
        <v>324</v>
      </c>
      <c r="E415">
        <f t="shared" si="20"/>
        <v>0</v>
      </c>
    </row>
    <row r="416" spans="1:5" x14ac:dyDescent="0.2">
      <c r="A416">
        <v>1</v>
      </c>
      <c r="B416">
        <f t="shared" si="18"/>
        <v>324</v>
      </c>
      <c r="C416">
        <v>1</v>
      </c>
      <c r="D416">
        <f t="shared" si="19"/>
        <v>324</v>
      </c>
      <c r="E416">
        <f t="shared" si="20"/>
        <v>0</v>
      </c>
    </row>
    <row r="417" spans="1:5" x14ac:dyDescent="0.2">
      <c r="A417">
        <v>1</v>
      </c>
      <c r="B417">
        <f t="shared" si="18"/>
        <v>324</v>
      </c>
      <c r="C417">
        <v>1</v>
      </c>
      <c r="D417">
        <f t="shared" si="19"/>
        <v>324</v>
      </c>
      <c r="E417">
        <f t="shared" si="20"/>
        <v>0</v>
      </c>
    </row>
    <row r="418" spans="1:5" x14ac:dyDescent="0.2">
      <c r="A418">
        <v>1</v>
      </c>
      <c r="B418">
        <f t="shared" si="18"/>
        <v>324</v>
      </c>
      <c r="C418">
        <v>1</v>
      </c>
      <c r="D418">
        <f t="shared" si="19"/>
        <v>324</v>
      </c>
      <c r="E418">
        <f t="shared" si="20"/>
        <v>0</v>
      </c>
    </row>
    <row r="419" spans="1:5" x14ac:dyDescent="0.2">
      <c r="A419">
        <v>1</v>
      </c>
      <c r="B419">
        <f t="shared" si="18"/>
        <v>324</v>
      </c>
      <c r="C419">
        <v>1</v>
      </c>
      <c r="D419">
        <f t="shared" si="19"/>
        <v>324</v>
      </c>
      <c r="E419">
        <f t="shared" si="20"/>
        <v>0</v>
      </c>
    </row>
    <row r="420" spans="1:5" x14ac:dyDescent="0.2">
      <c r="A420">
        <v>1</v>
      </c>
      <c r="B420">
        <f t="shared" si="18"/>
        <v>324</v>
      </c>
      <c r="C420">
        <v>1</v>
      </c>
      <c r="D420">
        <f t="shared" si="19"/>
        <v>324</v>
      </c>
      <c r="E420">
        <f t="shared" si="20"/>
        <v>0</v>
      </c>
    </row>
    <row r="421" spans="1:5" x14ac:dyDescent="0.2">
      <c r="A421">
        <v>1</v>
      </c>
      <c r="B421">
        <f t="shared" si="18"/>
        <v>324</v>
      </c>
      <c r="C421">
        <v>1</v>
      </c>
      <c r="D421">
        <f t="shared" si="19"/>
        <v>324</v>
      </c>
      <c r="E421">
        <f t="shared" si="20"/>
        <v>0</v>
      </c>
    </row>
    <row r="422" spans="1:5" x14ac:dyDescent="0.2">
      <c r="A422">
        <v>1</v>
      </c>
      <c r="B422">
        <f t="shared" si="18"/>
        <v>324</v>
      </c>
      <c r="C422">
        <v>1</v>
      </c>
      <c r="D422">
        <f t="shared" si="19"/>
        <v>324</v>
      </c>
      <c r="E422">
        <f t="shared" si="20"/>
        <v>0</v>
      </c>
    </row>
    <row r="423" spans="1:5" x14ac:dyDescent="0.2">
      <c r="A423">
        <v>1</v>
      </c>
      <c r="B423">
        <f t="shared" si="18"/>
        <v>324</v>
      </c>
      <c r="C423">
        <v>1</v>
      </c>
      <c r="D423">
        <f t="shared" si="19"/>
        <v>324</v>
      </c>
      <c r="E423">
        <f t="shared" si="20"/>
        <v>0</v>
      </c>
    </row>
    <row r="424" spans="1:5" x14ac:dyDescent="0.2">
      <c r="A424">
        <v>1</v>
      </c>
      <c r="B424">
        <f t="shared" si="18"/>
        <v>324</v>
      </c>
      <c r="C424">
        <v>1</v>
      </c>
      <c r="D424">
        <f t="shared" si="19"/>
        <v>324</v>
      </c>
      <c r="E424">
        <f t="shared" si="20"/>
        <v>0</v>
      </c>
    </row>
    <row r="425" spans="1:5" x14ac:dyDescent="0.2">
      <c r="A425">
        <v>1</v>
      </c>
      <c r="B425">
        <f t="shared" si="18"/>
        <v>324</v>
      </c>
      <c r="C425">
        <v>1</v>
      </c>
      <c r="D425">
        <f t="shared" si="19"/>
        <v>324</v>
      </c>
      <c r="E425">
        <f t="shared" si="20"/>
        <v>0</v>
      </c>
    </row>
    <row r="426" spans="1:5" x14ac:dyDescent="0.2">
      <c r="A426">
        <v>1</v>
      </c>
      <c r="B426">
        <f t="shared" si="18"/>
        <v>324</v>
      </c>
      <c r="C426">
        <v>1</v>
      </c>
      <c r="D426">
        <f t="shared" si="19"/>
        <v>324</v>
      </c>
      <c r="E426">
        <f t="shared" si="20"/>
        <v>0</v>
      </c>
    </row>
    <row r="427" spans="1:5" x14ac:dyDescent="0.2">
      <c r="A427">
        <v>1</v>
      </c>
      <c r="B427">
        <f t="shared" si="18"/>
        <v>324</v>
      </c>
      <c r="C427">
        <v>1</v>
      </c>
      <c r="D427">
        <f t="shared" si="19"/>
        <v>324</v>
      </c>
      <c r="E427">
        <f t="shared" si="20"/>
        <v>0</v>
      </c>
    </row>
    <row r="428" spans="1:5" x14ac:dyDescent="0.2">
      <c r="A428">
        <v>1</v>
      </c>
      <c r="B428">
        <f t="shared" si="18"/>
        <v>324</v>
      </c>
      <c r="C428">
        <v>1</v>
      </c>
      <c r="D428">
        <f t="shared" si="19"/>
        <v>324</v>
      </c>
      <c r="E428">
        <f t="shared" si="20"/>
        <v>0</v>
      </c>
    </row>
    <row r="429" spans="1:5" x14ac:dyDescent="0.2">
      <c r="A429">
        <v>1</v>
      </c>
      <c r="B429">
        <f t="shared" si="18"/>
        <v>324</v>
      </c>
      <c r="C429">
        <v>1</v>
      </c>
      <c r="D429">
        <f t="shared" si="19"/>
        <v>324</v>
      </c>
      <c r="E429">
        <f t="shared" si="20"/>
        <v>0</v>
      </c>
    </row>
    <row r="430" spans="1:5" x14ac:dyDescent="0.2">
      <c r="A430">
        <v>1</v>
      </c>
      <c r="B430">
        <f t="shared" si="18"/>
        <v>324</v>
      </c>
      <c r="C430">
        <v>1</v>
      </c>
      <c r="D430">
        <f t="shared" si="19"/>
        <v>324</v>
      </c>
      <c r="E430">
        <f t="shared" si="20"/>
        <v>0</v>
      </c>
    </row>
    <row r="431" spans="1:5" x14ac:dyDescent="0.2">
      <c r="A431">
        <v>1</v>
      </c>
      <c r="B431">
        <f t="shared" si="18"/>
        <v>324</v>
      </c>
      <c r="C431">
        <v>1</v>
      </c>
      <c r="D431">
        <f t="shared" si="19"/>
        <v>324</v>
      </c>
      <c r="E431">
        <f t="shared" si="20"/>
        <v>0</v>
      </c>
    </row>
    <row r="432" spans="1:5" x14ac:dyDescent="0.2">
      <c r="A432">
        <v>1</v>
      </c>
      <c r="B432">
        <f t="shared" si="18"/>
        <v>324</v>
      </c>
      <c r="C432">
        <v>1</v>
      </c>
      <c r="D432">
        <f t="shared" si="19"/>
        <v>324</v>
      </c>
      <c r="E432">
        <f t="shared" si="20"/>
        <v>0</v>
      </c>
    </row>
    <row r="433" spans="1:5" x14ac:dyDescent="0.2">
      <c r="A433">
        <v>1</v>
      </c>
      <c r="B433">
        <f t="shared" si="18"/>
        <v>324</v>
      </c>
      <c r="C433">
        <v>1</v>
      </c>
      <c r="D433">
        <f t="shared" si="19"/>
        <v>324</v>
      </c>
      <c r="E433">
        <f t="shared" si="20"/>
        <v>0</v>
      </c>
    </row>
    <row r="434" spans="1:5" x14ac:dyDescent="0.2">
      <c r="A434">
        <v>1</v>
      </c>
      <c r="B434">
        <f t="shared" si="18"/>
        <v>324</v>
      </c>
      <c r="C434">
        <v>1</v>
      </c>
      <c r="D434">
        <f t="shared" si="19"/>
        <v>324</v>
      </c>
      <c r="E434">
        <f t="shared" si="20"/>
        <v>0</v>
      </c>
    </row>
    <row r="435" spans="1:5" x14ac:dyDescent="0.2">
      <c r="A435">
        <v>1</v>
      </c>
      <c r="B435">
        <f t="shared" si="18"/>
        <v>324</v>
      </c>
      <c r="C435">
        <v>1</v>
      </c>
      <c r="D435">
        <f t="shared" si="19"/>
        <v>324</v>
      </c>
      <c r="E435">
        <f t="shared" si="20"/>
        <v>0</v>
      </c>
    </row>
    <row r="436" spans="1:5" x14ac:dyDescent="0.2">
      <c r="A436">
        <v>1</v>
      </c>
      <c r="B436">
        <f t="shared" si="18"/>
        <v>324</v>
      </c>
      <c r="C436">
        <v>1</v>
      </c>
      <c r="D436">
        <f t="shared" si="19"/>
        <v>324</v>
      </c>
      <c r="E436">
        <f t="shared" si="20"/>
        <v>0</v>
      </c>
    </row>
    <row r="437" spans="1:5" x14ac:dyDescent="0.2">
      <c r="A437">
        <v>1</v>
      </c>
      <c r="B437">
        <f t="shared" si="18"/>
        <v>324</v>
      </c>
      <c r="C437">
        <v>1</v>
      </c>
      <c r="D437">
        <f t="shared" si="19"/>
        <v>324</v>
      </c>
      <c r="E437">
        <f t="shared" si="20"/>
        <v>0</v>
      </c>
    </row>
    <row r="438" spans="1:5" x14ac:dyDescent="0.2">
      <c r="A438">
        <v>1</v>
      </c>
      <c r="B438">
        <f t="shared" si="18"/>
        <v>324</v>
      </c>
      <c r="C438">
        <v>1</v>
      </c>
      <c r="D438">
        <f t="shared" si="19"/>
        <v>324</v>
      </c>
      <c r="E438">
        <f t="shared" si="20"/>
        <v>0</v>
      </c>
    </row>
    <row r="439" spans="1:5" x14ac:dyDescent="0.2">
      <c r="A439">
        <v>1</v>
      </c>
      <c r="B439">
        <f t="shared" si="18"/>
        <v>324</v>
      </c>
      <c r="C439">
        <v>1</v>
      </c>
      <c r="D439">
        <f t="shared" si="19"/>
        <v>324</v>
      </c>
      <c r="E439">
        <f t="shared" si="20"/>
        <v>0</v>
      </c>
    </row>
    <row r="440" spans="1:5" x14ac:dyDescent="0.2">
      <c r="A440">
        <v>1</v>
      </c>
      <c r="B440">
        <f t="shared" si="18"/>
        <v>324</v>
      </c>
      <c r="C440">
        <v>1</v>
      </c>
      <c r="D440">
        <f t="shared" si="19"/>
        <v>324</v>
      </c>
      <c r="E440">
        <f t="shared" si="20"/>
        <v>0</v>
      </c>
    </row>
    <row r="441" spans="1:5" x14ac:dyDescent="0.2">
      <c r="A441">
        <v>1</v>
      </c>
      <c r="B441">
        <f t="shared" si="18"/>
        <v>324</v>
      </c>
      <c r="C441">
        <v>1</v>
      </c>
      <c r="D441">
        <f t="shared" si="19"/>
        <v>324</v>
      </c>
      <c r="E441">
        <f t="shared" si="20"/>
        <v>0</v>
      </c>
    </row>
    <row r="442" spans="1:5" x14ac:dyDescent="0.2">
      <c r="A442">
        <v>1</v>
      </c>
      <c r="B442">
        <f t="shared" si="18"/>
        <v>324</v>
      </c>
      <c r="C442">
        <v>1</v>
      </c>
      <c r="D442">
        <f t="shared" si="19"/>
        <v>324</v>
      </c>
      <c r="E442">
        <f t="shared" si="20"/>
        <v>0</v>
      </c>
    </row>
    <row r="443" spans="1:5" x14ac:dyDescent="0.2">
      <c r="A443">
        <v>2</v>
      </c>
      <c r="B443">
        <f t="shared" si="18"/>
        <v>489</v>
      </c>
      <c r="C443">
        <v>2</v>
      </c>
      <c r="D443">
        <f t="shared" si="19"/>
        <v>511</v>
      </c>
      <c r="E443">
        <f t="shared" si="20"/>
        <v>484</v>
      </c>
    </row>
    <row r="444" spans="1:5" x14ac:dyDescent="0.2">
      <c r="A444">
        <v>2</v>
      </c>
      <c r="B444">
        <f t="shared" si="18"/>
        <v>489</v>
      </c>
      <c r="C444">
        <v>2</v>
      </c>
      <c r="D444">
        <f t="shared" si="19"/>
        <v>511</v>
      </c>
      <c r="E444">
        <f t="shared" si="20"/>
        <v>484</v>
      </c>
    </row>
    <row r="445" spans="1:5" x14ac:dyDescent="0.2">
      <c r="A445">
        <v>2</v>
      </c>
      <c r="B445">
        <f t="shared" si="18"/>
        <v>489</v>
      </c>
      <c r="C445">
        <v>2</v>
      </c>
      <c r="D445">
        <f t="shared" si="19"/>
        <v>511</v>
      </c>
      <c r="E445">
        <f t="shared" si="20"/>
        <v>484</v>
      </c>
    </row>
    <row r="446" spans="1:5" x14ac:dyDescent="0.2">
      <c r="A446">
        <v>2</v>
      </c>
      <c r="B446">
        <f t="shared" si="18"/>
        <v>489</v>
      </c>
      <c r="C446">
        <v>2</v>
      </c>
      <c r="D446">
        <f t="shared" si="19"/>
        <v>511</v>
      </c>
      <c r="E446">
        <f t="shared" si="20"/>
        <v>484</v>
      </c>
    </row>
    <row r="447" spans="1:5" x14ac:dyDescent="0.2">
      <c r="A447">
        <v>2</v>
      </c>
      <c r="B447">
        <f t="shared" si="18"/>
        <v>489</v>
      </c>
      <c r="C447">
        <v>2</v>
      </c>
      <c r="D447">
        <f t="shared" si="19"/>
        <v>511</v>
      </c>
      <c r="E447">
        <f t="shared" si="20"/>
        <v>484</v>
      </c>
    </row>
    <row r="448" spans="1:5" x14ac:dyDescent="0.2">
      <c r="A448">
        <v>2</v>
      </c>
      <c r="B448">
        <f t="shared" si="18"/>
        <v>489</v>
      </c>
      <c r="C448">
        <v>2</v>
      </c>
      <c r="D448">
        <f t="shared" si="19"/>
        <v>511</v>
      </c>
      <c r="E448">
        <f t="shared" si="20"/>
        <v>484</v>
      </c>
    </row>
    <row r="449" spans="1:5" x14ac:dyDescent="0.2">
      <c r="A449">
        <v>2</v>
      </c>
      <c r="B449">
        <f t="shared" si="18"/>
        <v>489</v>
      </c>
      <c r="C449">
        <v>2</v>
      </c>
      <c r="D449">
        <f t="shared" si="19"/>
        <v>511</v>
      </c>
      <c r="E449">
        <f t="shared" si="20"/>
        <v>484</v>
      </c>
    </row>
    <row r="450" spans="1:5" x14ac:dyDescent="0.2">
      <c r="A450">
        <v>2</v>
      </c>
      <c r="B450">
        <f t="shared" si="18"/>
        <v>489</v>
      </c>
      <c r="C450">
        <v>2</v>
      </c>
      <c r="D450">
        <f t="shared" si="19"/>
        <v>511</v>
      </c>
      <c r="E450">
        <f t="shared" si="20"/>
        <v>484</v>
      </c>
    </row>
    <row r="451" spans="1:5" x14ac:dyDescent="0.2">
      <c r="A451">
        <v>2</v>
      </c>
      <c r="B451">
        <f t="shared" si="18"/>
        <v>489</v>
      </c>
      <c r="C451">
        <v>2</v>
      </c>
      <c r="D451">
        <f t="shared" si="19"/>
        <v>511</v>
      </c>
      <c r="E451">
        <f t="shared" si="20"/>
        <v>484</v>
      </c>
    </row>
    <row r="452" spans="1:5" x14ac:dyDescent="0.2">
      <c r="A452">
        <v>2</v>
      </c>
      <c r="B452">
        <f t="shared" si="18"/>
        <v>489</v>
      </c>
      <c r="C452">
        <v>2</v>
      </c>
      <c r="D452">
        <f t="shared" si="19"/>
        <v>511</v>
      </c>
      <c r="E452">
        <f t="shared" si="20"/>
        <v>484</v>
      </c>
    </row>
    <row r="453" spans="1:5" x14ac:dyDescent="0.2">
      <c r="A453">
        <v>2</v>
      </c>
      <c r="B453">
        <f t="shared" si="18"/>
        <v>489</v>
      </c>
      <c r="C453">
        <v>2</v>
      </c>
      <c r="D453">
        <f t="shared" si="19"/>
        <v>511</v>
      </c>
      <c r="E453">
        <f t="shared" si="20"/>
        <v>484</v>
      </c>
    </row>
    <row r="454" spans="1:5" x14ac:dyDescent="0.2">
      <c r="A454">
        <v>2</v>
      </c>
      <c r="B454">
        <f t="shared" si="18"/>
        <v>489</v>
      </c>
      <c r="C454">
        <v>2</v>
      </c>
      <c r="D454">
        <f t="shared" si="19"/>
        <v>511</v>
      </c>
      <c r="E454">
        <f t="shared" si="20"/>
        <v>484</v>
      </c>
    </row>
    <row r="455" spans="1:5" x14ac:dyDescent="0.2">
      <c r="A455">
        <v>2</v>
      </c>
      <c r="B455">
        <f t="shared" si="18"/>
        <v>489</v>
      </c>
      <c r="C455">
        <v>2</v>
      </c>
      <c r="D455">
        <f t="shared" si="19"/>
        <v>511</v>
      </c>
      <c r="E455">
        <f t="shared" si="20"/>
        <v>484</v>
      </c>
    </row>
    <row r="456" spans="1:5" x14ac:dyDescent="0.2">
      <c r="A456">
        <v>2</v>
      </c>
      <c r="B456">
        <f t="shared" si="18"/>
        <v>489</v>
      </c>
      <c r="C456">
        <v>2</v>
      </c>
      <c r="D456">
        <f t="shared" si="19"/>
        <v>511</v>
      </c>
      <c r="E456">
        <f t="shared" si="20"/>
        <v>484</v>
      </c>
    </row>
    <row r="457" spans="1:5" x14ac:dyDescent="0.2">
      <c r="A457">
        <v>2</v>
      </c>
      <c r="B457">
        <f t="shared" si="18"/>
        <v>489</v>
      </c>
      <c r="C457">
        <v>2</v>
      </c>
      <c r="D457">
        <f t="shared" si="19"/>
        <v>511</v>
      </c>
      <c r="E457">
        <f t="shared" si="20"/>
        <v>484</v>
      </c>
    </row>
    <row r="458" spans="1:5" x14ac:dyDescent="0.2">
      <c r="A458">
        <v>2</v>
      </c>
      <c r="B458">
        <f t="shared" si="18"/>
        <v>489</v>
      </c>
      <c r="C458">
        <v>2</v>
      </c>
      <c r="D458">
        <f t="shared" si="19"/>
        <v>511</v>
      </c>
      <c r="E458">
        <f t="shared" si="20"/>
        <v>484</v>
      </c>
    </row>
    <row r="459" spans="1:5" x14ac:dyDescent="0.2">
      <c r="A459">
        <v>2</v>
      </c>
      <c r="B459">
        <f t="shared" si="18"/>
        <v>489</v>
      </c>
      <c r="C459">
        <v>2</v>
      </c>
      <c r="D459">
        <f t="shared" si="19"/>
        <v>511</v>
      </c>
      <c r="E459">
        <f t="shared" si="20"/>
        <v>484</v>
      </c>
    </row>
    <row r="460" spans="1:5" x14ac:dyDescent="0.2">
      <c r="A460">
        <v>2</v>
      </c>
      <c r="B460">
        <f t="shared" si="18"/>
        <v>489</v>
      </c>
      <c r="C460">
        <v>2</v>
      </c>
      <c r="D460">
        <f t="shared" si="19"/>
        <v>511</v>
      </c>
      <c r="E460">
        <f t="shared" si="20"/>
        <v>484</v>
      </c>
    </row>
    <row r="461" spans="1:5" x14ac:dyDescent="0.2">
      <c r="A461">
        <v>2</v>
      </c>
      <c r="B461">
        <f t="shared" si="18"/>
        <v>489</v>
      </c>
      <c r="C461">
        <v>2</v>
      </c>
      <c r="D461">
        <f t="shared" si="19"/>
        <v>511</v>
      </c>
      <c r="E461">
        <f t="shared" si="20"/>
        <v>484</v>
      </c>
    </row>
    <row r="462" spans="1:5" x14ac:dyDescent="0.2">
      <c r="A462">
        <v>2</v>
      </c>
      <c r="B462">
        <f t="shared" si="18"/>
        <v>489</v>
      </c>
      <c r="C462">
        <v>2</v>
      </c>
      <c r="D462">
        <f t="shared" si="19"/>
        <v>511</v>
      </c>
      <c r="E462">
        <f t="shared" si="20"/>
        <v>484</v>
      </c>
    </row>
    <row r="463" spans="1:5" x14ac:dyDescent="0.2">
      <c r="A463">
        <v>2</v>
      </c>
      <c r="B463">
        <f t="shared" si="18"/>
        <v>489</v>
      </c>
      <c r="C463">
        <v>2</v>
      </c>
      <c r="D463">
        <f t="shared" si="19"/>
        <v>511</v>
      </c>
      <c r="E463">
        <f t="shared" si="20"/>
        <v>484</v>
      </c>
    </row>
    <row r="464" spans="1:5" x14ac:dyDescent="0.2">
      <c r="A464">
        <v>2</v>
      </c>
      <c r="B464">
        <f t="shared" si="18"/>
        <v>489</v>
      </c>
      <c r="C464">
        <v>2</v>
      </c>
      <c r="D464">
        <f t="shared" si="19"/>
        <v>511</v>
      </c>
      <c r="E464">
        <f t="shared" si="20"/>
        <v>484</v>
      </c>
    </row>
    <row r="465" spans="1:5" x14ac:dyDescent="0.2">
      <c r="A465">
        <v>2</v>
      </c>
      <c r="B465">
        <f t="shared" si="18"/>
        <v>489</v>
      </c>
      <c r="C465">
        <v>2</v>
      </c>
      <c r="D465">
        <f t="shared" si="19"/>
        <v>511</v>
      </c>
      <c r="E465">
        <f t="shared" si="20"/>
        <v>484</v>
      </c>
    </row>
    <row r="466" spans="1:5" x14ac:dyDescent="0.2">
      <c r="A466">
        <v>2</v>
      </c>
      <c r="B466">
        <f t="shared" si="18"/>
        <v>489</v>
      </c>
      <c r="C466">
        <v>2</v>
      </c>
      <c r="D466">
        <f t="shared" si="19"/>
        <v>511</v>
      </c>
      <c r="E466">
        <f t="shared" si="20"/>
        <v>484</v>
      </c>
    </row>
    <row r="467" spans="1:5" x14ac:dyDescent="0.2">
      <c r="A467">
        <v>2</v>
      </c>
      <c r="B467">
        <f t="shared" si="18"/>
        <v>489</v>
      </c>
      <c r="C467">
        <v>2</v>
      </c>
      <c r="D467">
        <f t="shared" si="19"/>
        <v>511</v>
      </c>
      <c r="E467">
        <f t="shared" si="20"/>
        <v>484</v>
      </c>
    </row>
    <row r="468" spans="1:5" x14ac:dyDescent="0.2">
      <c r="A468">
        <v>2</v>
      </c>
      <c r="B468">
        <f t="shared" si="18"/>
        <v>489</v>
      </c>
      <c r="C468">
        <v>2</v>
      </c>
      <c r="D468">
        <f t="shared" si="19"/>
        <v>511</v>
      </c>
      <c r="E468">
        <f t="shared" si="20"/>
        <v>484</v>
      </c>
    </row>
    <row r="469" spans="1:5" x14ac:dyDescent="0.2">
      <c r="A469">
        <v>2</v>
      </c>
      <c r="B469">
        <f t="shared" si="18"/>
        <v>489</v>
      </c>
      <c r="C469">
        <v>2</v>
      </c>
      <c r="D469">
        <f t="shared" si="19"/>
        <v>511</v>
      </c>
      <c r="E469">
        <f t="shared" si="20"/>
        <v>484</v>
      </c>
    </row>
    <row r="470" spans="1:5" x14ac:dyDescent="0.2">
      <c r="A470">
        <v>2</v>
      </c>
      <c r="B470">
        <f t="shared" si="18"/>
        <v>489</v>
      </c>
      <c r="C470">
        <v>2</v>
      </c>
      <c r="D470">
        <f t="shared" si="19"/>
        <v>511</v>
      </c>
      <c r="E470">
        <f t="shared" si="20"/>
        <v>484</v>
      </c>
    </row>
    <row r="471" spans="1:5" x14ac:dyDescent="0.2">
      <c r="A471">
        <v>2</v>
      </c>
      <c r="B471">
        <f t="shared" si="18"/>
        <v>489</v>
      </c>
      <c r="C471">
        <v>2</v>
      </c>
      <c r="D471">
        <f t="shared" si="19"/>
        <v>511</v>
      </c>
      <c r="E471">
        <f t="shared" si="20"/>
        <v>484</v>
      </c>
    </row>
    <row r="472" spans="1:5" x14ac:dyDescent="0.2">
      <c r="A472">
        <v>2</v>
      </c>
      <c r="B472">
        <f t="shared" ref="B472:B535" si="21">_xlfn.RANK.AVG(A472,$A$23:$A$792,1)</f>
        <v>489</v>
      </c>
      <c r="C472">
        <v>2</v>
      </c>
      <c r="D472">
        <f t="shared" ref="D472:D535" si="22">_xlfn.RANK.AVG(C472,$C$23:$C$792,1)</f>
        <v>511</v>
      </c>
      <c r="E472">
        <f t="shared" ref="E472:E535" si="23">POWER(B472-D472,2)</f>
        <v>484</v>
      </c>
    </row>
    <row r="473" spans="1:5" x14ac:dyDescent="0.2">
      <c r="A473">
        <v>2</v>
      </c>
      <c r="B473">
        <f t="shared" si="21"/>
        <v>489</v>
      </c>
      <c r="C473">
        <v>2</v>
      </c>
      <c r="D473">
        <f t="shared" si="22"/>
        <v>511</v>
      </c>
      <c r="E473">
        <f t="shared" si="23"/>
        <v>484</v>
      </c>
    </row>
    <row r="474" spans="1:5" x14ac:dyDescent="0.2">
      <c r="A474">
        <v>2</v>
      </c>
      <c r="B474">
        <f t="shared" si="21"/>
        <v>489</v>
      </c>
      <c r="C474">
        <v>2</v>
      </c>
      <c r="D474">
        <f t="shared" si="22"/>
        <v>511</v>
      </c>
      <c r="E474">
        <f t="shared" si="23"/>
        <v>484</v>
      </c>
    </row>
    <row r="475" spans="1:5" x14ac:dyDescent="0.2">
      <c r="A475">
        <v>2</v>
      </c>
      <c r="B475">
        <f t="shared" si="21"/>
        <v>489</v>
      </c>
      <c r="C475">
        <v>2</v>
      </c>
      <c r="D475">
        <f t="shared" si="22"/>
        <v>511</v>
      </c>
      <c r="E475">
        <f t="shared" si="23"/>
        <v>484</v>
      </c>
    </row>
    <row r="476" spans="1:5" x14ac:dyDescent="0.2">
      <c r="A476">
        <v>2</v>
      </c>
      <c r="B476">
        <f t="shared" si="21"/>
        <v>489</v>
      </c>
      <c r="C476">
        <v>2</v>
      </c>
      <c r="D476">
        <f t="shared" si="22"/>
        <v>511</v>
      </c>
      <c r="E476">
        <f t="shared" si="23"/>
        <v>484</v>
      </c>
    </row>
    <row r="477" spans="1:5" x14ac:dyDescent="0.2">
      <c r="A477">
        <v>2</v>
      </c>
      <c r="B477">
        <f t="shared" si="21"/>
        <v>489</v>
      </c>
      <c r="C477">
        <v>2</v>
      </c>
      <c r="D477">
        <f t="shared" si="22"/>
        <v>511</v>
      </c>
      <c r="E477">
        <f t="shared" si="23"/>
        <v>484</v>
      </c>
    </row>
    <row r="478" spans="1:5" x14ac:dyDescent="0.2">
      <c r="A478">
        <v>2</v>
      </c>
      <c r="B478">
        <f t="shared" si="21"/>
        <v>489</v>
      </c>
      <c r="C478">
        <v>2</v>
      </c>
      <c r="D478">
        <f t="shared" si="22"/>
        <v>511</v>
      </c>
      <c r="E478">
        <f t="shared" si="23"/>
        <v>484</v>
      </c>
    </row>
    <row r="479" spans="1:5" x14ac:dyDescent="0.2">
      <c r="A479">
        <v>2</v>
      </c>
      <c r="B479">
        <f t="shared" si="21"/>
        <v>489</v>
      </c>
      <c r="C479">
        <v>2</v>
      </c>
      <c r="D479">
        <f t="shared" si="22"/>
        <v>511</v>
      </c>
      <c r="E479">
        <f t="shared" si="23"/>
        <v>484</v>
      </c>
    </row>
    <row r="480" spans="1:5" x14ac:dyDescent="0.2">
      <c r="A480">
        <v>2</v>
      </c>
      <c r="B480">
        <f t="shared" si="21"/>
        <v>489</v>
      </c>
      <c r="C480">
        <v>2</v>
      </c>
      <c r="D480">
        <f t="shared" si="22"/>
        <v>511</v>
      </c>
      <c r="E480">
        <f t="shared" si="23"/>
        <v>484</v>
      </c>
    </row>
    <row r="481" spans="1:5" x14ac:dyDescent="0.2">
      <c r="A481">
        <v>2</v>
      </c>
      <c r="B481">
        <f t="shared" si="21"/>
        <v>489</v>
      </c>
      <c r="C481">
        <v>2</v>
      </c>
      <c r="D481">
        <f t="shared" si="22"/>
        <v>511</v>
      </c>
      <c r="E481">
        <f t="shared" si="23"/>
        <v>484</v>
      </c>
    </row>
    <row r="482" spans="1:5" x14ac:dyDescent="0.2">
      <c r="A482">
        <v>2</v>
      </c>
      <c r="B482">
        <f t="shared" si="21"/>
        <v>489</v>
      </c>
      <c r="C482">
        <v>2</v>
      </c>
      <c r="D482">
        <f t="shared" si="22"/>
        <v>511</v>
      </c>
      <c r="E482">
        <f t="shared" si="23"/>
        <v>484</v>
      </c>
    </row>
    <row r="483" spans="1:5" x14ac:dyDescent="0.2">
      <c r="A483">
        <v>2</v>
      </c>
      <c r="B483">
        <f t="shared" si="21"/>
        <v>489</v>
      </c>
      <c r="C483">
        <v>2</v>
      </c>
      <c r="D483">
        <f t="shared" si="22"/>
        <v>511</v>
      </c>
      <c r="E483">
        <f t="shared" si="23"/>
        <v>484</v>
      </c>
    </row>
    <row r="484" spans="1:5" x14ac:dyDescent="0.2">
      <c r="A484">
        <v>2</v>
      </c>
      <c r="B484">
        <f t="shared" si="21"/>
        <v>489</v>
      </c>
      <c r="C484">
        <v>2</v>
      </c>
      <c r="D484">
        <f t="shared" si="22"/>
        <v>511</v>
      </c>
      <c r="E484">
        <f t="shared" si="23"/>
        <v>484</v>
      </c>
    </row>
    <row r="485" spans="1:5" x14ac:dyDescent="0.2">
      <c r="A485">
        <v>2</v>
      </c>
      <c r="B485">
        <f t="shared" si="21"/>
        <v>489</v>
      </c>
      <c r="C485">
        <v>2</v>
      </c>
      <c r="D485">
        <f t="shared" si="22"/>
        <v>511</v>
      </c>
      <c r="E485">
        <f t="shared" si="23"/>
        <v>484</v>
      </c>
    </row>
    <row r="486" spans="1:5" x14ac:dyDescent="0.2">
      <c r="A486">
        <v>2</v>
      </c>
      <c r="B486">
        <f t="shared" si="21"/>
        <v>489</v>
      </c>
      <c r="C486">
        <v>2</v>
      </c>
      <c r="D486">
        <f t="shared" si="22"/>
        <v>511</v>
      </c>
      <c r="E486">
        <f t="shared" si="23"/>
        <v>484</v>
      </c>
    </row>
    <row r="487" spans="1:5" x14ac:dyDescent="0.2">
      <c r="A487">
        <v>2</v>
      </c>
      <c r="B487">
        <f t="shared" si="21"/>
        <v>489</v>
      </c>
      <c r="C487">
        <v>2</v>
      </c>
      <c r="D487">
        <f t="shared" si="22"/>
        <v>511</v>
      </c>
      <c r="E487">
        <f t="shared" si="23"/>
        <v>484</v>
      </c>
    </row>
    <row r="488" spans="1:5" x14ac:dyDescent="0.2">
      <c r="A488">
        <v>2</v>
      </c>
      <c r="B488">
        <f t="shared" si="21"/>
        <v>489</v>
      </c>
      <c r="C488">
        <v>2</v>
      </c>
      <c r="D488">
        <f t="shared" si="22"/>
        <v>511</v>
      </c>
      <c r="E488">
        <f t="shared" si="23"/>
        <v>484</v>
      </c>
    </row>
    <row r="489" spans="1:5" x14ac:dyDescent="0.2">
      <c r="A489">
        <v>2</v>
      </c>
      <c r="B489">
        <f t="shared" si="21"/>
        <v>489</v>
      </c>
      <c r="C489">
        <v>2</v>
      </c>
      <c r="D489">
        <f t="shared" si="22"/>
        <v>511</v>
      </c>
      <c r="E489">
        <f t="shared" si="23"/>
        <v>484</v>
      </c>
    </row>
    <row r="490" spans="1:5" x14ac:dyDescent="0.2">
      <c r="A490">
        <v>2</v>
      </c>
      <c r="B490">
        <f t="shared" si="21"/>
        <v>489</v>
      </c>
      <c r="C490">
        <v>2</v>
      </c>
      <c r="D490">
        <f t="shared" si="22"/>
        <v>511</v>
      </c>
      <c r="E490">
        <f t="shared" si="23"/>
        <v>484</v>
      </c>
    </row>
    <row r="491" spans="1:5" x14ac:dyDescent="0.2">
      <c r="A491">
        <v>2</v>
      </c>
      <c r="B491">
        <f t="shared" si="21"/>
        <v>489</v>
      </c>
      <c r="C491">
        <v>2</v>
      </c>
      <c r="D491">
        <f t="shared" si="22"/>
        <v>511</v>
      </c>
      <c r="E491">
        <f t="shared" si="23"/>
        <v>484</v>
      </c>
    </row>
    <row r="492" spans="1:5" x14ac:dyDescent="0.2">
      <c r="A492">
        <v>2</v>
      </c>
      <c r="B492">
        <f t="shared" si="21"/>
        <v>489</v>
      </c>
      <c r="C492">
        <v>2</v>
      </c>
      <c r="D492">
        <f t="shared" si="22"/>
        <v>511</v>
      </c>
      <c r="E492">
        <f t="shared" si="23"/>
        <v>484</v>
      </c>
    </row>
    <row r="493" spans="1:5" x14ac:dyDescent="0.2">
      <c r="A493">
        <v>2</v>
      </c>
      <c r="B493">
        <f t="shared" si="21"/>
        <v>489</v>
      </c>
      <c r="C493">
        <v>2</v>
      </c>
      <c r="D493">
        <f t="shared" si="22"/>
        <v>511</v>
      </c>
      <c r="E493">
        <f t="shared" si="23"/>
        <v>484</v>
      </c>
    </row>
    <row r="494" spans="1:5" x14ac:dyDescent="0.2">
      <c r="A494">
        <v>2</v>
      </c>
      <c r="B494">
        <f t="shared" si="21"/>
        <v>489</v>
      </c>
      <c r="C494">
        <v>2</v>
      </c>
      <c r="D494">
        <f t="shared" si="22"/>
        <v>511</v>
      </c>
      <c r="E494">
        <f t="shared" si="23"/>
        <v>484</v>
      </c>
    </row>
    <row r="495" spans="1:5" x14ac:dyDescent="0.2">
      <c r="A495">
        <v>2</v>
      </c>
      <c r="B495">
        <f t="shared" si="21"/>
        <v>489</v>
      </c>
      <c r="C495">
        <v>2</v>
      </c>
      <c r="D495">
        <f t="shared" si="22"/>
        <v>511</v>
      </c>
      <c r="E495">
        <f t="shared" si="23"/>
        <v>484</v>
      </c>
    </row>
    <row r="496" spans="1:5" x14ac:dyDescent="0.2">
      <c r="A496">
        <v>2</v>
      </c>
      <c r="B496">
        <f t="shared" si="21"/>
        <v>489</v>
      </c>
      <c r="C496">
        <v>2</v>
      </c>
      <c r="D496">
        <f t="shared" si="22"/>
        <v>511</v>
      </c>
      <c r="E496">
        <f t="shared" si="23"/>
        <v>484</v>
      </c>
    </row>
    <row r="497" spans="1:5" x14ac:dyDescent="0.2">
      <c r="A497">
        <v>2</v>
      </c>
      <c r="B497">
        <f t="shared" si="21"/>
        <v>489</v>
      </c>
      <c r="C497">
        <v>2</v>
      </c>
      <c r="D497">
        <f t="shared" si="22"/>
        <v>511</v>
      </c>
      <c r="E497">
        <f t="shared" si="23"/>
        <v>484</v>
      </c>
    </row>
    <row r="498" spans="1:5" x14ac:dyDescent="0.2">
      <c r="A498">
        <v>2</v>
      </c>
      <c r="B498">
        <f t="shared" si="21"/>
        <v>489</v>
      </c>
      <c r="C498">
        <v>2</v>
      </c>
      <c r="D498">
        <f t="shared" si="22"/>
        <v>511</v>
      </c>
      <c r="E498">
        <f t="shared" si="23"/>
        <v>484</v>
      </c>
    </row>
    <row r="499" spans="1:5" x14ac:dyDescent="0.2">
      <c r="A499">
        <v>2</v>
      </c>
      <c r="B499">
        <f t="shared" si="21"/>
        <v>489</v>
      </c>
      <c r="C499">
        <v>2</v>
      </c>
      <c r="D499">
        <f t="shared" si="22"/>
        <v>511</v>
      </c>
      <c r="E499">
        <f t="shared" si="23"/>
        <v>484</v>
      </c>
    </row>
    <row r="500" spans="1:5" x14ac:dyDescent="0.2">
      <c r="A500">
        <v>2</v>
      </c>
      <c r="B500">
        <f t="shared" si="21"/>
        <v>489</v>
      </c>
      <c r="C500">
        <v>2</v>
      </c>
      <c r="D500">
        <f t="shared" si="22"/>
        <v>511</v>
      </c>
      <c r="E500">
        <f t="shared" si="23"/>
        <v>484</v>
      </c>
    </row>
    <row r="501" spans="1:5" x14ac:dyDescent="0.2">
      <c r="A501">
        <v>2</v>
      </c>
      <c r="B501">
        <f t="shared" si="21"/>
        <v>489</v>
      </c>
      <c r="C501">
        <v>2</v>
      </c>
      <c r="D501">
        <f t="shared" si="22"/>
        <v>511</v>
      </c>
      <c r="E501">
        <f t="shared" si="23"/>
        <v>484</v>
      </c>
    </row>
    <row r="502" spans="1:5" x14ac:dyDescent="0.2">
      <c r="A502">
        <v>2</v>
      </c>
      <c r="B502">
        <f t="shared" si="21"/>
        <v>489</v>
      </c>
      <c r="C502">
        <v>2</v>
      </c>
      <c r="D502">
        <f t="shared" si="22"/>
        <v>511</v>
      </c>
      <c r="E502">
        <f t="shared" si="23"/>
        <v>484</v>
      </c>
    </row>
    <row r="503" spans="1:5" x14ac:dyDescent="0.2">
      <c r="A503">
        <v>2</v>
      </c>
      <c r="B503">
        <f t="shared" si="21"/>
        <v>489</v>
      </c>
      <c r="C503">
        <v>2</v>
      </c>
      <c r="D503">
        <f t="shared" si="22"/>
        <v>511</v>
      </c>
      <c r="E503">
        <f t="shared" si="23"/>
        <v>484</v>
      </c>
    </row>
    <row r="504" spans="1:5" x14ac:dyDescent="0.2">
      <c r="A504">
        <v>2</v>
      </c>
      <c r="B504">
        <f t="shared" si="21"/>
        <v>489</v>
      </c>
      <c r="C504">
        <v>2</v>
      </c>
      <c r="D504">
        <f t="shared" si="22"/>
        <v>511</v>
      </c>
      <c r="E504">
        <f t="shared" si="23"/>
        <v>484</v>
      </c>
    </row>
    <row r="505" spans="1:5" x14ac:dyDescent="0.2">
      <c r="A505">
        <v>2</v>
      </c>
      <c r="B505">
        <f t="shared" si="21"/>
        <v>489</v>
      </c>
      <c r="C505">
        <v>2</v>
      </c>
      <c r="D505">
        <f t="shared" si="22"/>
        <v>511</v>
      </c>
      <c r="E505">
        <f t="shared" si="23"/>
        <v>484</v>
      </c>
    </row>
    <row r="506" spans="1:5" x14ac:dyDescent="0.2">
      <c r="A506">
        <v>2</v>
      </c>
      <c r="B506">
        <f t="shared" si="21"/>
        <v>489</v>
      </c>
      <c r="C506">
        <v>2</v>
      </c>
      <c r="D506">
        <f t="shared" si="22"/>
        <v>511</v>
      </c>
      <c r="E506">
        <f t="shared" si="23"/>
        <v>484</v>
      </c>
    </row>
    <row r="507" spans="1:5" x14ac:dyDescent="0.2">
      <c r="A507">
        <v>2</v>
      </c>
      <c r="B507">
        <f t="shared" si="21"/>
        <v>489</v>
      </c>
      <c r="C507">
        <v>2</v>
      </c>
      <c r="D507">
        <f t="shared" si="22"/>
        <v>511</v>
      </c>
      <c r="E507">
        <f t="shared" si="23"/>
        <v>484</v>
      </c>
    </row>
    <row r="508" spans="1:5" x14ac:dyDescent="0.2">
      <c r="A508">
        <v>2</v>
      </c>
      <c r="B508">
        <f t="shared" si="21"/>
        <v>489</v>
      </c>
      <c r="C508">
        <v>2</v>
      </c>
      <c r="D508">
        <f t="shared" si="22"/>
        <v>511</v>
      </c>
      <c r="E508">
        <f t="shared" si="23"/>
        <v>484</v>
      </c>
    </row>
    <row r="509" spans="1:5" x14ac:dyDescent="0.2">
      <c r="A509">
        <v>2</v>
      </c>
      <c r="B509">
        <f t="shared" si="21"/>
        <v>489</v>
      </c>
      <c r="C509">
        <v>2</v>
      </c>
      <c r="D509">
        <f t="shared" si="22"/>
        <v>511</v>
      </c>
      <c r="E509">
        <f t="shared" si="23"/>
        <v>484</v>
      </c>
    </row>
    <row r="510" spans="1:5" x14ac:dyDescent="0.2">
      <c r="A510">
        <v>2</v>
      </c>
      <c r="B510">
        <f t="shared" si="21"/>
        <v>489</v>
      </c>
      <c r="C510">
        <v>2</v>
      </c>
      <c r="D510">
        <f t="shared" si="22"/>
        <v>511</v>
      </c>
      <c r="E510">
        <f t="shared" si="23"/>
        <v>484</v>
      </c>
    </row>
    <row r="511" spans="1:5" x14ac:dyDescent="0.2">
      <c r="A511">
        <v>2</v>
      </c>
      <c r="B511">
        <f t="shared" si="21"/>
        <v>489</v>
      </c>
      <c r="C511">
        <v>2</v>
      </c>
      <c r="D511">
        <f t="shared" si="22"/>
        <v>511</v>
      </c>
      <c r="E511">
        <f t="shared" si="23"/>
        <v>484</v>
      </c>
    </row>
    <row r="512" spans="1:5" x14ac:dyDescent="0.2">
      <c r="A512">
        <v>2</v>
      </c>
      <c r="B512">
        <f t="shared" si="21"/>
        <v>489</v>
      </c>
      <c r="C512">
        <v>2</v>
      </c>
      <c r="D512">
        <f t="shared" si="22"/>
        <v>511</v>
      </c>
      <c r="E512">
        <f t="shared" si="23"/>
        <v>484</v>
      </c>
    </row>
    <row r="513" spans="1:5" x14ac:dyDescent="0.2">
      <c r="A513">
        <v>2</v>
      </c>
      <c r="B513">
        <f t="shared" si="21"/>
        <v>489</v>
      </c>
      <c r="C513">
        <v>2</v>
      </c>
      <c r="D513">
        <f t="shared" si="22"/>
        <v>511</v>
      </c>
      <c r="E513">
        <f t="shared" si="23"/>
        <v>484</v>
      </c>
    </row>
    <row r="514" spans="1:5" x14ac:dyDescent="0.2">
      <c r="A514">
        <v>2</v>
      </c>
      <c r="B514">
        <f t="shared" si="21"/>
        <v>489</v>
      </c>
      <c r="C514">
        <v>2</v>
      </c>
      <c r="D514">
        <f t="shared" si="22"/>
        <v>511</v>
      </c>
      <c r="E514">
        <f t="shared" si="23"/>
        <v>484</v>
      </c>
    </row>
    <row r="515" spans="1:5" x14ac:dyDescent="0.2">
      <c r="A515">
        <v>2</v>
      </c>
      <c r="B515">
        <f t="shared" si="21"/>
        <v>489</v>
      </c>
      <c r="C515">
        <v>2</v>
      </c>
      <c r="D515">
        <f t="shared" si="22"/>
        <v>511</v>
      </c>
      <c r="E515">
        <f t="shared" si="23"/>
        <v>484</v>
      </c>
    </row>
    <row r="516" spans="1:5" x14ac:dyDescent="0.2">
      <c r="A516">
        <v>2</v>
      </c>
      <c r="B516">
        <f t="shared" si="21"/>
        <v>489</v>
      </c>
      <c r="C516">
        <v>2</v>
      </c>
      <c r="D516">
        <f t="shared" si="22"/>
        <v>511</v>
      </c>
      <c r="E516">
        <f t="shared" si="23"/>
        <v>484</v>
      </c>
    </row>
    <row r="517" spans="1:5" x14ac:dyDescent="0.2">
      <c r="A517">
        <v>2</v>
      </c>
      <c r="B517">
        <f t="shared" si="21"/>
        <v>489</v>
      </c>
      <c r="C517">
        <v>2</v>
      </c>
      <c r="D517">
        <f t="shared" si="22"/>
        <v>511</v>
      </c>
      <c r="E517">
        <f t="shared" si="23"/>
        <v>484</v>
      </c>
    </row>
    <row r="518" spans="1:5" x14ac:dyDescent="0.2">
      <c r="A518">
        <v>2</v>
      </c>
      <c r="B518">
        <f t="shared" si="21"/>
        <v>489</v>
      </c>
      <c r="C518">
        <v>2</v>
      </c>
      <c r="D518">
        <f t="shared" si="22"/>
        <v>511</v>
      </c>
      <c r="E518">
        <f t="shared" si="23"/>
        <v>484</v>
      </c>
    </row>
    <row r="519" spans="1:5" x14ac:dyDescent="0.2">
      <c r="A519">
        <v>2</v>
      </c>
      <c r="B519">
        <f t="shared" si="21"/>
        <v>489</v>
      </c>
      <c r="C519">
        <v>2</v>
      </c>
      <c r="D519">
        <f t="shared" si="22"/>
        <v>511</v>
      </c>
      <c r="E519">
        <f t="shared" si="23"/>
        <v>484</v>
      </c>
    </row>
    <row r="520" spans="1:5" x14ac:dyDescent="0.2">
      <c r="A520">
        <v>2</v>
      </c>
      <c r="B520">
        <f t="shared" si="21"/>
        <v>489</v>
      </c>
      <c r="C520">
        <v>2</v>
      </c>
      <c r="D520">
        <f t="shared" si="22"/>
        <v>511</v>
      </c>
      <c r="E520">
        <f t="shared" si="23"/>
        <v>484</v>
      </c>
    </row>
    <row r="521" spans="1:5" x14ac:dyDescent="0.2">
      <c r="A521">
        <v>2</v>
      </c>
      <c r="B521">
        <f t="shared" si="21"/>
        <v>489</v>
      </c>
      <c r="C521">
        <v>2</v>
      </c>
      <c r="D521">
        <f t="shared" si="22"/>
        <v>511</v>
      </c>
      <c r="E521">
        <f t="shared" si="23"/>
        <v>484</v>
      </c>
    </row>
    <row r="522" spans="1:5" x14ac:dyDescent="0.2">
      <c r="A522">
        <v>2</v>
      </c>
      <c r="B522">
        <f t="shared" si="21"/>
        <v>489</v>
      </c>
      <c r="C522">
        <v>2</v>
      </c>
      <c r="D522">
        <f t="shared" si="22"/>
        <v>511</v>
      </c>
      <c r="E522">
        <f t="shared" si="23"/>
        <v>484</v>
      </c>
    </row>
    <row r="523" spans="1:5" x14ac:dyDescent="0.2">
      <c r="A523">
        <v>2</v>
      </c>
      <c r="B523">
        <f t="shared" si="21"/>
        <v>489</v>
      </c>
      <c r="C523">
        <v>2</v>
      </c>
      <c r="D523">
        <f t="shared" si="22"/>
        <v>511</v>
      </c>
      <c r="E523">
        <f t="shared" si="23"/>
        <v>484</v>
      </c>
    </row>
    <row r="524" spans="1:5" x14ac:dyDescent="0.2">
      <c r="A524">
        <v>2</v>
      </c>
      <c r="B524">
        <f t="shared" si="21"/>
        <v>489</v>
      </c>
      <c r="C524">
        <v>2</v>
      </c>
      <c r="D524">
        <f t="shared" si="22"/>
        <v>511</v>
      </c>
      <c r="E524">
        <f t="shared" si="23"/>
        <v>484</v>
      </c>
    </row>
    <row r="525" spans="1:5" x14ac:dyDescent="0.2">
      <c r="A525">
        <v>2</v>
      </c>
      <c r="B525">
        <f t="shared" si="21"/>
        <v>489</v>
      </c>
      <c r="C525">
        <v>2</v>
      </c>
      <c r="D525">
        <f t="shared" si="22"/>
        <v>511</v>
      </c>
      <c r="E525">
        <f t="shared" si="23"/>
        <v>484</v>
      </c>
    </row>
    <row r="526" spans="1:5" x14ac:dyDescent="0.2">
      <c r="A526">
        <v>2</v>
      </c>
      <c r="B526">
        <f t="shared" si="21"/>
        <v>489</v>
      </c>
      <c r="C526">
        <v>2</v>
      </c>
      <c r="D526">
        <f t="shared" si="22"/>
        <v>511</v>
      </c>
      <c r="E526">
        <f t="shared" si="23"/>
        <v>484</v>
      </c>
    </row>
    <row r="527" spans="1:5" x14ac:dyDescent="0.2">
      <c r="A527">
        <v>2</v>
      </c>
      <c r="B527">
        <f t="shared" si="21"/>
        <v>489</v>
      </c>
      <c r="C527">
        <v>2</v>
      </c>
      <c r="D527">
        <f t="shared" si="22"/>
        <v>511</v>
      </c>
      <c r="E527">
        <f t="shared" si="23"/>
        <v>484</v>
      </c>
    </row>
    <row r="528" spans="1:5" x14ac:dyDescent="0.2">
      <c r="A528">
        <v>2</v>
      </c>
      <c r="B528">
        <f t="shared" si="21"/>
        <v>489</v>
      </c>
      <c r="C528">
        <v>2</v>
      </c>
      <c r="D528">
        <f t="shared" si="22"/>
        <v>511</v>
      </c>
      <c r="E528">
        <f t="shared" si="23"/>
        <v>484</v>
      </c>
    </row>
    <row r="529" spans="1:5" x14ac:dyDescent="0.2">
      <c r="A529">
        <v>2</v>
      </c>
      <c r="B529">
        <f t="shared" si="21"/>
        <v>489</v>
      </c>
      <c r="C529">
        <v>2</v>
      </c>
      <c r="D529">
        <f t="shared" si="22"/>
        <v>511</v>
      </c>
      <c r="E529">
        <f t="shared" si="23"/>
        <v>484</v>
      </c>
    </row>
    <row r="530" spans="1:5" x14ac:dyDescent="0.2">
      <c r="A530">
        <v>2</v>
      </c>
      <c r="B530">
        <f t="shared" si="21"/>
        <v>489</v>
      </c>
      <c r="C530">
        <v>2</v>
      </c>
      <c r="D530">
        <f t="shared" si="22"/>
        <v>511</v>
      </c>
      <c r="E530">
        <f t="shared" si="23"/>
        <v>484</v>
      </c>
    </row>
    <row r="531" spans="1:5" x14ac:dyDescent="0.2">
      <c r="A531">
        <v>2</v>
      </c>
      <c r="B531">
        <f t="shared" si="21"/>
        <v>489</v>
      </c>
      <c r="C531">
        <v>2</v>
      </c>
      <c r="D531">
        <f t="shared" si="22"/>
        <v>511</v>
      </c>
      <c r="E531">
        <f t="shared" si="23"/>
        <v>484</v>
      </c>
    </row>
    <row r="532" spans="1:5" x14ac:dyDescent="0.2">
      <c r="A532">
        <v>2</v>
      </c>
      <c r="B532">
        <f t="shared" si="21"/>
        <v>489</v>
      </c>
      <c r="C532">
        <v>2</v>
      </c>
      <c r="D532">
        <f t="shared" si="22"/>
        <v>511</v>
      </c>
      <c r="E532">
        <f t="shared" si="23"/>
        <v>484</v>
      </c>
    </row>
    <row r="533" spans="1:5" x14ac:dyDescent="0.2">
      <c r="A533">
        <v>2</v>
      </c>
      <c r="B533">
        <f t="shared" si="21"/>
        <v>489</v>
      </c>
      <c r="C533">
        <v>2</v>
      </c>
      <c r="D533">
        <f t="shared" si="22"/>
        <v>511</v>
      </c>
      <c r="E533">
        <f t="shared" si="23"/>
        <v>484</v>
      </c>
    </row>
    <row r="534" spans="1:5" x14ac:dyDescent="0.2">
      <c r="A534">
        <v>2</v>
      </c>
      <c r="B534">
        <f t="shared" si="21"/>
        <v>489</v>
      </c>
      <c r="C534">
        <v>2</v>
      </c>
      <c r="D534">
        <f t="shared" si="22"/>
        <v>511</v>
      </c>
      <c r="E534">
        <f t="shared" si="23"/>
        <v>484</v>
      </c>
    </row>
    <row r="535" spans="1:5" x14ac:dyDescent="0.2">
      <c r="A535">
        <v>2</v>
      </c>
      <c r="B535">
        <f t="shared" si="21"/>
        <v>489</v>
      </c>
      <c r="C535">
        <v>2</v>
      </c>
      <c r="D535">
        <f t="shared" si="22"/>
        <v>511</v>
      </c>
      <c r="E535">
        <f t="shared" si="23"/>
        <v>484</v>
      </c>
    </row>
    <row r="536" spans="1:5" x14ac:dyDescent="0.2">
      <c r="A536">
        <v>2</v>
      </c>
      <c r="B536">
        <f t="shared" ref="B536:B599" si="24">_xlfn.RANK.AVG(A536,$A$23:$A$792,1)</f>
        <v>489</v>
      </c>
      <c r="C536">
        <v>2</v>
      </c>
      <c r="D536">
        <f t="shared" ref="D536:D599" si="25">_xlfn.RANK.AVG(C536,$C$23:$C$792,1)</f>
        <v>511</v>
      </c>
      <c r="E536">
        <f t="shared" ref="E536:E599" si="26">POWER(B536-D536,2)</f>
        <v>484</v>
      </c>
    </row>
    <row r="537" spans="1:5" x14ac:dyDescent="0.2">
      <c r="A537">
        <v>2</v>
      </c>
      <c r="B537">
        <f t="shared" si="24"/>
        <v>489</v>
      </c>
      <c r="C537">
        <v>2</v>
      </c>
      <c r="D537">
        <f t="shared" si="25"/>
        <v>511</v>
      </c>
      <c r="E537">
        <f t="shared" si="26"/>
        <v>484</v>
      </c>
    </row>
    <row r="538" spans="1:5" x14ac:dyDescent="0.2">
      <c r="A538">
        <v>2</v>
      </c>
      <c r="B538">
        <f t="shared" si="24"/>
        <v>489</v>
      </c>
      <c r="C538">
        <v>2</v>
      </c>
      <c r="D538">
        <f t="shared" si="25"/>
        <v>511</v>
      </c>
      <c r="E538">
        <f t="shared" si="26"/>
        <v>484</v>
      </c>
    </row>
    <row r="539" spans="1:5" x14ac:dyDescent="0.2">
      <c r="A539">
        <v>2</v>
      </c>
      <c r="B539">
        <f t="shared" si="24"/>
        <v>489</v>
      </c>
      <c r="C539">
        <v>2</v>
      </c>
      <c r="D539">
        <f t="shared" si="25"/>
        <v>511</v>
      </c>
      <c r="E539">
        <f t="shared" si="26"/>
        <v>484</v>
      </c>
    </row>
    <row r="540" spans="1:5" x14ac:dyDescent="0.2">
      <c r="A540">
        <v>2</v>
      </c>
      <c r="B540">
        <f t="shared" si="24"/>
        <v>489</v>
      </c>
      <c r="C540">
        <v>2</v>
      </c>
      <c r="D540">
        <f t="shared" si="25"/>
        <v>511</v>
      </c>
      <c r="E540">
        <f t="shared" si="26"/>
        <v>484</v>
      </c>
    </row>
    <row r="541" spans="1:5" x14ac:dyDescent="0.2">
      <c r="A541">
        <v>2</v>
      </c>
      <c r="B541">
        <f t="shared" si="24"/>
        <v>489</v>
      </c>
      <c r="C541">
        <v>2</v>
      </c>
      <c r="D541">
        <f t="shared" si="25"/>
        <v>511</v>
      </c>
      <c r="E541">
        <f t="shared" si="26"/>
        <v>484</v>
      </c>
    </row>
    <row r="542" spans="1:5" x14ac:dyDescent="0.2">
      <c r="A542">
        <v>2</v>
      </c>
      <c r="B542">
        <f t="shared" si="24"/>
        <v>489</v>
      </c>
      <c r="C542">
        <v>2</v>
      </c>
      <c r="D542">
        <f t="shared" si="25"/>
        <v>511</v>
      </c>
      <c r="E542">
        <f t="shared" si="26"/>
        <v>484</v>
      </c>
    </row>
    <row r="543" spans="1:5" x14ac:dyDescent="0.2">
      <c r="A543">
        <v>2</v>
      </c>
      <c r="B543">
        <f t="shared" si="24"/>
        <v>489</v>
      </c>
      <c r="C543">
        <v>2</v>
      </c>
      <c r="D543">
        <f t="shared" si="25"/>
        <v>511</v>
      </c>
      <c r="E543">
        <f t="shared" si="26"/>
        <v>484</v>
      </c>
    </row>
    <row r="544" spans="1:5" x14ac:dyDescent="0.2">
      <c r="A544">
        <v>2</v>
      </c>
      <c r="B544">
        <f t="shared" si="24"/>
        <v>489</v>
      </c>
      <c r="C544">
        <v>2</v>
      </c>
      <c r="D544">
        <f t="shared" si="25"/>
        <v>511</v>
      </c>
      <c r="E544">
        <f t="shared" si="26"/>
        <v>484</v>
      </c>
    </row>
    <row r="545" spans="1:5" x14ac:dyDescent="0.2">
      <c r="A545">
        <v>2</v>
      </c>
      <c r="B545">
        <f t="shared" si="24"/>
        <v>489</v>
      </c>
      <c r="C545">
        <v>2</v>
      </c>
      <c r="D545">
        <f t="shared" si="25"/>
        <v>511</v>
      </c>
      <c r="E545">
        <f t="shared" si="26"/>
        <v>484</v>
      </c>
    </row>
    <row r="546" spans="1:5" x14ac:dyDescent="0.2">
      <c r="A546">
        <v>2</v>
      </c>
      <c r="B546">
        <f t="shared" si="24"/>
        <v>489</v>
      </c>
      <c r="C546">
        <v>2</v>
      </c>
      <c r="D546">
        <f t="shared" si="25"/>
        <v>511</v>
      </c>
      <c r="E546">
        <f t="shared" si="26"/>
        <v>484</v>
      </c>
    </row>
    <row r="547" spans="1:5" x14ac:dyDescent="0.2">
      <c r="A547">
        <v>2</v>
      </c>
      <c r="B547">
        <f t="shared" si="24"/>
        <v>489</v>
      </c>
      <c r="C547">
        <v>2</v>
      </c>
      <c r="D547">
        <f t="shared" si="25"/>
        <v>511</v>
      </c>
      <c r="E547">
        <f t="shared" si="26"/>
        <v>484</v>
      </c>
    </row>
    <row r="548" spans="1:5" x14ac:dyDescent="0.2">
      <c r="A548">
        <v>2</v>
      </c>
      <c r="B548">
        <f t="shared" si="24"/>
        <v>489</v>
      </c>
      <c r="C548">
        <v>2</v>
      </c>
      <c r="D548">
        <f t="shared" si="25"/>
        <v>511</v>
      </c>
      <c r="E548">
        <f t="shared" si="26"/>
        <v>484</v>
      </c>
    </row>
    <row r="549" spans="1:5" x14ac:dyDescent="0.2">
      <c r="A549">
        <v>2</v>
      </c>
      <c r="B549">
        <f t="shared" si="24"/>
        <v>489</v>
      </c>
      <c r="C549">
        <v>2</v>
      </c>
      <c r="D549">
        <f t="shared" si="25"/>
        <v>511</v>
      </c>
      <c r="E549">
        <f t="shared" si="26"/>
        <v>484</v>
      </c>
    </row>
    <row r="550" spans="1:5" x14ac:dyDescent="0.2">
      <c r="A550">
        <v>2</v>
      </c>
      <c r="B550">
        <f t="shared" si="24"/>
        <v>489</v>
      </c>
      <c r="C550">
        <v>2</v>
      </c>
      <c r="D550">
        <f t="shared" si="25"/>
        <v>511</v>
      </c>
      <c r="E550">
        <f t="shared" si="26"/>
        <v>484</v>
      </c>
    </row>
    <row r="551" spans="1:5" x14ac:dyDescent="0.2">
      <c r="A551">
        <v>2</v>
      </c>
      <c r="B551">
        <f t="shared" si="24"/>
        <v>489</v>
      </c>
      <c r="C551">
        <v>2</v>
      </c>
      <c r="D551">
        <f t="shared" si="25"/>
        <v>511</v>
      </c>
      <c r="E551">
        <f t="shared" si="26"/>
        <v>484</v>
      </c>
    </row>
    <row r="552" spans="1:5" x14ac:dyDescent="0.2">
      <c r="A552">
        <v>2</v>
      </c>
      <c r="B552">
        <f t="shared" si="24"/>
        <v>489</v>
      </c>
      <c r="C552">
        <v>2</v>
      </c>
      <c r="D552">
        <f t="shared" si="25"/>
        <v>511</v>
      </c>
      <c r="E552">
        <f t="shared" si="26"/>
        <v>484</v>
      </c>
    </row>
    <row r="553" spans="1:5" x14ac:dyDescent="0.2">
      <c r="A553">
        <v>2</v>
      </c>
      <c r="B553">
        <f t="shared" si="24"/>
        <v>489</v>
      </c>
      <c r="C553">
        <v>2</v>
      </c>
      <c r="D553">
        <f t="shared" si="25"/>
        <v>511</v>
      </c>
      <c r="E553">
        <f t="shared" si="26"/>
        <v>484</v>
      </c>
    </row>
    <row r="554" spans="1:5" x14ac:dyDescent="0.2">
      <c r="A554">
        <v>2</v>
      </c>
      <c r="B554">
        <f t="shared" si="24"/>
        <v>489</v>
      </c>
      <c r="C554">
        <v>2</v>
      </c>
      <c r="D554">
        <f t="shared" si="25"/>
        <v>511</v>
      </c>
      <c r="E554">
        <f t="shared" si="26"/>
        <v>484</v>
      </c>
    </row>
    <row r="555" spans="1:5" x14ac:dyDescent="0.2">
      <c r="A555">
        <v>2</v>
      </c>
      <c r="B555">
        <f t="shared" si="24"/>
        <v>489</v>
      </c>
      <c r="C555">
        <v>2</v>
      </c>
      <c r="D555">
        <f t="shared" si="25"/>
        <v>511</v>
      </c>
      <c r="E555">
        <f t="shared" si="26"/>
        <v>484</v>
      </c>
    </row>
    <row r="556" spans="1:5" x14ac:dyDescent="0.2">
      <c r="A556">
        <v>2</v>
      </c>
      <c r="B556">
        <f t="shared" si="24"/>
        <v>489</v>
      </c>
      <c r="C556">
        <v>2</v>
      </c>
      <c r="D556">
        <f t="shared" si="25"/>
        <v>511</v>
      </c>
      <c r="E556">
        <f t="shared" si="26"/>
        <v>484</v>
      </c>
    </row>
    <row r="557" spans="1:5" x14ac:dyDescent="0.2">
      <c r="A557">
        <v>2</v>
      </c>
      <c r="B557">
        <f t="shared" si="24"/>
        <v>489</v>
      </c>
      <c r="C557">
        <v>2</v>
      </c>
      <c r="D557">
        <f t="shared" si="25"/>
        <v>511</v>
      </c>
      <c r="E557">
        <f t="shared" si="26"/>
        <v>484</v>
      </c>
    </row>
    <row r="558" spans="1:5" x14ac:dyDescent="0.2">
      <c r="A558">
        <v>2</v>
      </c>
      <c r="B558">
        <f t="shared" si="24"/>
        <v>489</v>
      </c>
      <c r="C558">
        <v>2</v>
      </c>
      <c r="D558">
        <f t="shared" si="25"/>
        <v>511</v>
      </c>
      <c r="E558">
        <f t="shared" si="26"/>
        <v>484</v>
      </c>
    </row>
    <row r="559" spans="1:5" x14ac:dyDescent="0.2">
      <c r="A559">
        <v>2</v>
      </c>
      <c r="B559">
        <f t="shared" si="24"/>
        <v>489</v>
      </c>
      <c r="C559">
        <v>2</v>
      </c>
      <c r="D559">
        <f t="shared" si="25"/>
        <v>511</v>
      </c>
      <c r="E559">
        <f t="shared" si="26"/>
        <v>484</v>
      </c>
    </row>
    <row r="560" spans="1:5" x14ac:dyDescent="0.2">
      <c r="A560">
        <v>2</v>
      </c>
      <c r="B560">
        <f t="shared" si="24"/>
        <v>489</v>
      </c>
      <c r="C560">
        <v>2</v>
      </c>
      <c r="D560">
        <f t="shared" si="25"/>
        <v>511</v>
      </c>
      <c r="E560">
        <f t="shared" si="26"/>
        <v>484</v>
      </c>
    </row>
    <row r="561" spans="1:5" x14ac:dyDescent="0.2">
      <c r="A561">
        <v>2</v>
      </c>
      <c r="B561">
        <f t="shared" si="24"/>
        <v>489</v>
      </c>
      <c r="C561">
        <v>2</v>
      </c>
      <c r="D561">
        <f t="shared" si="25"/>
        <v>511</v>
      </c>
      <c r="E561">
        <f t="shared" si="26"/>
        <v>484</v>
      </c>
    </row>
    <row r="562" spans="1:5" x14ac:dyDescent="0.2">
      <c r="A562">
        <v>2</v>
      </c>
      <c r="B562">
        <f t="shared" si="24"/>
        <v>489</v>
      </c>
      <c r="C562">
        <v>2</v>
      </c>
      <c r="D562">
        <f t="shared" si="25"/>
        <v>511</v>
      </c>
      <c r="E562">
        <f t="shared" si="26"/>
        <v>484</v>
      </c>
    </row>
    <row r="563" spans="1:5" x14ac:dyDescent="0.2">
      <c r="A563">
        <v>2</v>
      </c>
      <c r="B563">
        <f t="shared" si="24"/>
        <v>489</v>
      </c>
      <c r="C563">
        <v>2</v>
      </c>
      <c r="D563">
        <f t="shared" si="25"/>
        <v>511</v>
      </c>
      <c r="E563">
        <f t="shared" si="26"/>
        <v>484</v>
      </c>
    </row>
    <row r="564" spans="1:5" x14ac:dyDescent="0.2">
      <c r="A564">
        <v>2</v>
      </c>
      <c r="B564">
        <f t="shared" si="24"/>
        <v>489</v>
      </c>
      <c r="C564">
        <v>2</v>
      </c>
      <c r="D564">
        <f t="shared" si="25"/>
        <v>511</v>
      </c>
      <c r="E564">
        <f t="shared" si="26"/>
        <v>484</v>
      </c>
    </row>
    <row r="565" spans="1:5" x14ac:dyDescent="0.2">
      <c r="A565">
        <v>2</v>
      </c>
      <c r="B565">
        <f t="shared" si="24"/>
        <v>489</v>
      </c>
      <c r="C565">
        <v>2</v>
      </c>
      <c r="D565">
        <f t="shared" si="25"/>
        <v>511</v>
      </c>
      <c r="E565">
        <f t="shared" si="26"/>
        <v>484</v>
      </c>
    </row>
    <row r="566" spans="1:5" x14ac:dyDescent="0.2">
      <c r="A566">
        <v>2</v>
      </c>
      <c r="B566">
        <f t="shared" si="24"/>
        <v>489</v>
      </c>
      <c r="C566">
        <v>2</v>
      </c>
      <c r="D566">
        <f t="shared" si="25"/>
        <v>511</v>
      </c>
      <c r="E566">
        <f t="shared" si="26"/>
        <v>484</v>
      </c>
    </row>
    <row r="567" spans="1:5" x14ac:dyDescent="0.2">
      <c r="A567">
        <v>2</v>
      </c>
      <c r="B567">
        <f t="shared" si="24"/>
        <v>489</v>
      </c>
      <c r="C567">
        <v>2</v>
      </c>
      <c r="D567">
        <f t="shared" si="25"/>
        <v>511</v>
      </c>
      <c r="E567">
        <f t="shared" si="26"/>
        <v>484</v>
      </c>
    </row>
    <row r="568" spans="1:5" x14ac:dyDescent="0.2">
      <c r="A568">
        <v>2</v>
      </c>
      <c r="B568">
        <f t="shared" si="24"/>
        <v>489</v>
      </c>
      <c r="C568">
        <v>2</v>
      </c>
      <c r="D568">
        <f t="shared" si="25"/>
        <v>511</v>
      </c>
      <c r="E568">
        <f t="shared" si="26"/>
        <v>484</v>
      </c>
    </row>
    <row r="569" spans="1:5" x14ac:dyDescent="0.2">
      <c r="A569">
        <v>2</v>
      </c>
      <c r="B569">
        <f t="shared" si="24"/>
        <v>489</v>
      </c>
      <c r="C569">
        <v>2</v>
      </c>
      <c r="D569">
        <f t="shared" si="25"/>
        <v>511</v>
      </c>
      <c r="E569">
        <f t="shared" si="26"/>
        <v>484</v>
      </c>
    </row>
    <row r="570" spans="1:5" x14ac:dyDescent="0.2">
      <c r="A570">
        <v>2</v>
      </c>
      <c r="B570">
        <f t="shared" si="24"/>
        <v>489</v>
      </c>
      <c r="C570">
        <v>2</v>
      </c>
      <c r="D570">
        <f t="shared" si="25"/>
        <v>511</v>
      </c>
      <c r="E570">
        <f t="shared" si="26"/>
        <v>484</v>
      </c>
    </row>
    <row r="571" spans="1:5" x14ac:dyDescent="0.2">
      <c r="A571">
        <v>2</v>
      </c>
      <c r="B571">
        <f t="shared" si="24"/>
        <v>489</v>
      </c>
      <c r="C571">
        <v>2</v>
      </c>
      <c r="D571">
        <f t="shared" si="25"/>
        <v>511</v>
      </c>
      <c r="E571">
        <f t="shared" si="26"/>
        <v>484</v>
      </c>
    </row>
    <row r="572" spans="1:5" x14ac:dyDescent="0.2">
      <c r="A572">
        <v>2</v>
      </c>
      <c r="B572">
        <f t="shared" si="24"/>
        <v>489</v>
      </c>
      <c r="C572">
        <v>2</v>
      </c>
      <c r="D572">
        <f t="shared" si="25"/>
        <v>511</v>
      </c>
      <c r="E572">
        <f t="shared" si="26"/>
        <v>484</v>
      </c>
    </row>
    <row r="573" spans="1:5" x14ac:dyDescent="0.2">
      <c r="A573">
        <v>2</v>
      </c>
      <c r="B573">
        <f t="shared" si="24"/>
        <v>489</v>
      </c>
      <c r="C573">
        <v>2</v>
      </c>
      <c r="D573">
        <f t="shared" si="25"/>
        <v>511</v>
      </c>
      <c r="E573">
        <f t="shared" si="26"/>
        <v>484</v>
      </c>
    </row>
    <row r="574" spans="1:5" x14ac:dyDescent="0.2">
      <c r="A574">
        <v>2</v>
      </c>
      <c r="B574">
        <f t="shared" si="24"/>
        <v>489</v>
      </c>
      <c r="C574">
        <v>2</v>
      </c>
      <c r="D574">
        <f t="shared" si="25"/>
        <v>511</v>
      </c>
      <c r="E574">
        <f t="shared" si="26"/>
        <v>484</v>
      </c>
    </row>
    <row r="575" spans="1:5" x14ac:dyDescent="0.2">
      <c r="A575">
        <v>2</v>
      </c>
      <c r="B575">
        <f t="shared" si="24"/>
        <v>489</v>
      </c>
      <c r="C575">
        <v>2</v>
      </c>
      <c r="D575">
        <f t="shared" si="25"/>
        <v>511</v>
      </c>
      <c r="E575">
        <f t="shared" si="26"/>
        <v>484</v>
      </c>
    </row>
    <row r="576" spans="1:5" x14ac:dyDescent="0.2">
      <c r="A576">
        <v>2</v>
      </c>
      <c r="B576">
        <f t="shared" si="24"/>
        <v>489</v>
      </c>
      <c r="C576">
        <v>2</v>
      </c>
      <c r="D576">
        <f t="shared" si="25"/>
        <v>511</v>
      </c>
      <c r="E576">
        <f t="shared" si="26"/>
        <v>484</v>
      </c>
    </row>
    <row r="577" spans="1:5" x14ac:dyDescent="0.2">
      <c r="A577">
        <v>2</v>
      </c>
      <c r="B577">
        <f t="shared" si="24"/>
        <v>489</v>
      </c>
      <c r="C577">
        <v>2</v>
      </c>
      <c r="D577">
        <f t="shared" si="25"/>
        <v>511</v>
      </c>
      <c r="E577">
        <f t="shared" si="26"/>
        <v>484</v>
      </c>
    </row>
    <row r="578" spans="1:5" x14ac:dyDescent="0.2">
      <c r="A578">
        <v>2</v>
      </c>
      <c r="B578">
        <f t="shared" si="24"/>
        <v>489</v>
      </c>
      <c r="C578">
        <v>2</v>
      </c>
      <c r="D578">
        <f t="shared" si="25"/>
        <v>511</v>
      </c>
      <c r="E578">
        <f t="shared" si="26"/>
        <v>484</v>
      </c>
    </row>
    <row r="579" spans="1:5" x14ac:dyDescent="0.2">
      <c r="A579">
        <v>2</v>
      </c>
      <c r="B579">
        <f t="shared" si="24"/>
        <v>489</v>
      </c>
      <c r="C579">
        <v>2</v>
      </c>
      <c r="D579">
        <f t="shared" si="25"/>
        <v>511</v>
      </c>
      <c r="E579">
        <f t="shared" si="26"/>
        <v>484</v>
      </c>
    </row>
    <row r="580" spans="1:5" x14ac:dyDescent="0.2">
      <c r="A580">
        <v>3</v>
      </c>
      <c r="B580">
        <f t="shared" si="24"/>
        <v>607</v>
      </c>
      <c r="C580">
        <v>2</v>
      </c>
      <c r="D580">
        <f t="shared" si="25"/>
        <v>511</v>
      </c>
      <c r="E580">
        <f t="shared" si="26"/>
        <v>9216</v>
      </c>
    </row>
    <row r="581" spans="1:5" x14ac:dyDescent="0.2">
      <c r="A581">
        <v>3</v>
      </c>
      <c r="B581">
        <f t="shared" si="24"/>
        <v>607</v>
      </c>
      <c r="C581">
        <v>2</v>
      </c>
      <c r="D581">
        <f t="shared" si="25"/>
        <v>511</v>
      </c>
      <c r="E581">
        <f t="shared" si="26"/>
        <v>9216</v>
      </c>
    </row>
    <row r="582" spans="1:5" x14ac:dyDescent="0.2">
      <c r="A582">
        <v>3</v>
      </c>
      <c r="B582">
        <f t="shared" si="24"/>
        <v>607</v>
      </c>
      <c r="C582">
        <v>2</v>
      </c>
      <c r="D582">
        <f t="shared" si="25"/>
        <v>511</v>
      </c>
      <c r="E582">
        <f t="shared" si="26"/>
        <v>9216</v>
      </c>
    </row>
    <row r="583" spans="1:5" x14ac:dyDescent="0.2">
      <c r="A583">
        <v>3</v>
      </c>
      <c r="B583">
        <f t="shared" si="24"/>
        <v>607</v>
      </c>
      <c r="C583">
        <v>2</v>
      </c>
      <c r="D583">
        <f t="shared" si="25"/>
        <v>511</v>
      </c>
      <c r="E583">
        <f t="shared" si="26"/>
        <v>9216</v>
      </c>
    </row>
    <row r="584" spans="1:5" x14ac:dyDescent="0.2">
      <c r="A584">
        <v>3</v>
      </c>
      <c r="B584">
        <f t="shared" si="24"/>
        <v>607</v>
      </c>
      <c r="C584">
        <v>2</v>
      </c>
      <c r="D584">
        <f t="shared" si="25"/>
        <v>511</v>
      </c>
      <c r="E584">
        <f t="shared" si="26"/>
        <v>9216</v>
      </c>
    </row>
    <row r="585" spans="1:5" x14ac:dyDescent="0.2">
      <c r="A585">
        <v>3</v>
      </c>
      <c r="B585">
        <f t="shared" si="24"/>
        <v>607</v>
      </c>
      <c r="C585">
        <v>2</v>
      </c>
      <c r="D585">
        <f t="shared" si="25"/>
        <v>511</v>
      </c>
      <c r="E585">
        <f t="shared" si="26"/>
        <v>9216</v>
      </c>
    </row>
    <row r="586" spans="1:5" x14ac:dyDescent="0.2">
      <c r="A586">
        <v>3</v>
      </c>
      <c r="B586">
        <f t="shared" si="24"/>
        <v>607</v>
      </c>
      <c r="C586">
        <v>2</v>
      </c>
      <c r="D586">
        <f t="shared" si="25"/>
        <v>511</v>
      </c>
      <c r="E586">
        <f t="shared" si="26"/>
        <v>9216</v>
      </c>
    </row>
    <row r="587" spans="1:5" x14ac:dyDescent="0.2">
      <c r="A587">
        <v>3</v>
      </c>
      <c r="B587">
        <f t="shared" si="24"/>
        <v>607</v>
      </c>
      <c r="C587">
        <v>2</v>
      </c>
      <c r="D587">
        <f t="shared" si="25"/>
        <v>511</v>
      </c>
      <c r="E587">
        <f t="shared" si="26"/>
        <v>9216</v>
      </c>
    </row>
    <row r="588" spans="1:5" x14ac:dyDescent="0.2">
      <c r="A588">
        <v>3</v>
      </c>
      <c r="B588">
        <f t="shared" si="24"/>
        <v>607</v>
      </c>
      <c r="C588">
        <v>2</v>
      </c>
      <c r="D588">
        <f t="shared" si="25"/>
        <v>511</v>
      </c>
      <c r="E588">
        <f t="shared" si="26"/>
        <v>9216</v>
      </c>
    </row>
    <row r="589" spans="1:5" x14ac:dyDescent="0.2">
      <c r="A589">
        <v>3</v>
      </c>
      <c r="B589">
        <f t="shared" si="24"/>
        <v>607</v>
      </c>
      <c r="C589">
        <v>2</v>
      </c>
      <c r="D589">
        <f t="shared" si="25"/>
        <v>511</v>
      </c>
      <c r="E589">
        <f t="shared" si="26"/>
        <v>9216</v>
      </c>
    </row>
    <row r="590" spans="1:5" x14ac:dyDescent="0.2">
      <c r="A590">
        <v>3</v>
      </c>
      <c r="B590">
        <f t="shared" si="24"/>
        <v>607</v>
      </c>
      <c r="C590">
        <v>2</v>
      </c>
      <c r="D590">
        <f t="shared" si="25"/>
        <v>511</v>
      </c>
      <c r="E590">
        <f t="shared" si="26"/>
        <v>9216</v>
      </c>
    </row>
    <row r="591" spans="1:5" x14ac:dyDescent="0.2">
      <c r="A591">
        <v>3</v>
      </c>
      <c r="B591">
        <f t="shared" si="24"/>
        <v>607</v>
      </c>
      <c r="C591">
        <v>2</v>
      </c>
      <c r="D591">
        <f t="shared" si="25"/>
        <v>511</v>
      </c>
      <c r="E591">
        <f t="shared" si="26"/>
        <v>9216</v>
      </c>
    </row>
    <row r="592" spans="1:5" x14ac:dyDescent="0.2">
      <c r="A592">
        <v>3</v>
      </c>
      <c r="B592">
        <f t="shared" si="24"/>
        <v>607</v>
      </c>
      <c r="C592">
        <v>2</v>
      </c>
      <c r="D592">
        <f t="shared" si="25"/>
        <v>511</v>
      </c>
      <c r="E592">
        <f t="shared" si="26"/>
        <v>9216</v>
      </c>
    </row>
    <row r="593" spans="1:5" x14ac:dyDescent="0.2">
      <c r="A593">
        <v>3</v>
      </c>
      <c r="B593">
        <f t="shared" si="24"/>
        <v>607</v>
      </c>
      <c r="C593">
        <v>2</v>
      </c>
      <c r="D593">
        <f t="shared" si="25"/>
        <v>511</v>
      </c>
      <c r="E593">
        <f t="shared" si="26"/>
        <v>9216</v>
      </c>
    </row>
    <row r="594" spans="1:5" x14ac:dyDescent="0.2">
      <c r="A594">
        <v>3</v>
      </c>
      <c r="B594">
        <f t="shared" si="24"/>
        <v>607</v>
      </c>
      <c r="C594">
        <v>2</v>
      </c>
      <c r="D594">
        <f t="shared" si="25"/>
        <v>511</v>
      </c>
      <c r="E594">
        <f t="shared" si="26"/>
        <v>9216</v>
      </c>
    </row>
    <row r="595" spans="1:5" x14ac:dyDescent="0.2">
      <c r="A595">
        <v>3</v>
      </c>
      <c r="B595">
        <f t="shared" si="24"/>
        <v>607</v>
      </c>
      <c r="C595">
        <v>2</v>
      </c>
      <c r="D595">
        <f t="shared" si="25"/>
        <v>511</v>
      </c>
      <c r="E595">
        <f t="shared" si="26"/>
        <v>9216</v>
      </c>
    </row>
    <row r="596" spans="1:5" x14ac:dyDescent="0.2">
      <c r="A596">
        <v>3</v>
      </c>
      <c r="B596">
        <f t="shared" si="24"/>
        <v>607</v>
      </c>
      <c r="C596">
        <v>2</v>
      </c>
      <c r="D596">
        <f t="shared" si="25"/>
        <v>511</v>
      </c>
      <c r="E596">
        <f t="shared" si="26"/>
        <v>9216</v>
      </c>
    </row>
    <row r="597" spans="1:5" x14ac:dyDescent="0.2">
      <c r="A597">
        <v>3</v>
      </c>
      <c r="B597">
        <f t="shared" si="24"/>
        <v>607</v>
      </c>
      <c r="C597">
        <v>2</v>
      </c>
      <c r="D597">
        <f t="shared" si="25"/>
        <v>511</v>
      </c>
      <c r="E597">
        <f t="shared" si="26"/>
        <v>9216</v>
      </c>
    </row>
    <row r="598" spans="1:5" x14ac:dyDescent="0.2">
      <c r="A598">
        <v>3</v>
      </c>
      <c r="B598">
        <f t="shared" si="24"/>
        <v>607</v>
      </c>
      <c r="C598">
        <v>2</v>
      </c>
      <c r="D598">
        <f t="shared" si="25"/>
        <v>511</v>
      </c>
      <c r="E598">
        <f t="shared" si="26"/>
        <v>9216</v>
      </c>
    </row>
    <row r="599" spans="1:5" x14ac:dyDescent="0.2">
      <c r="A599">
        <v>3</v>
      </c>
      <c r="B599">
        <f t="shared" si="24"/>
        <v>607</v>
      </c>
      <c r="C599">
        <v>2</v>
      </c>
      <c r="D599">
        <f t="shared" si="25"/>
        <v>511</v>
      </c>
      <c r="E599">
        <f t="shared" si="26"/>
        <v>9216</v>
      </c>
    </row>
    <row r="600" spans="1:5" x14ac:dyDescent="0.2">
      <c r="A600">
        <v>3</v>
      </c>
      <c r="B600">
        <f t="shared" ref="B600:B663" si="27">_xlfn.RANK.AVG(A600,$A$23:$A$792,1)</f>
        <v>607</v>
      </c>
      <c r="C600">
        <v>2</v>
      </c>
      <c r="D600">
        <f t="shared" ref="D600:D663" si="28">_xlfn.RANK.AVG(C600,$C$23:$C$792,1)</f>
        <v>511</v>
      </c>
      <c r="E600">
        <f t="shared" ref="E600:E663" si="29">POWER(B600-D600,2)</f>
        <v>9216</v>
      </c>
    </row>
    <row r="601" spans="1:5" x14ac:dyDescent="0.2">
      <c r="A601">
        <v>3</v>
      </c>
      <c r="B601">
        <f t="shared" si="27"/>
        <v>607</v>
      </c>
      <c r="C601">
        <v>2</v>
      </c>
      <c r="D601">
        <f t="shared" si="28"/>
        <v>511</v>
      </c>
      <c r="E601">
        <f t="shared" si="29"/>
        <v>9216</v>
      </c>
    </row>
    <row r="602" spans="1:5" x14ac:dyDescent="0.2">
      <c r="A602">
        <v>3</v>
      </c>
      <c r="B602">
        <f t="shared" si="27"/>
        <v>607</v>
      </c>
      <c r="C602">
        <v>2</v>
      </c>
      <c r="D602">
        <f t="shared" si="28"/>
        <v>511</v>
      </c>
      <c r="E602">
        <f t="shared" si="29"/>
        <v>9216</v>
      </c>
    </row>
    <row r="603" spans="1:5" x14ac:dyDescent="0.2">
      <c r="A603">
        <v>3</v>
      </c>
      <c r="B603">
        <f t="shared" si="27"/>
        <v>607</v>
      </c>
      <c r="C603">
        <v>2</v>
      </c>
      <c r="D603">
        <f t="shared" si="28"/>
        <v>511</v>
      </c>
      <c r="E603">
        <f t="shared" si="29"/>
        <v>9216</v>
      </c>
    </row>
    <row r="604" spans="1:5" x14ac:dyDescent="0.2">
      <c r="A604">
        <v>3</v>
      </c>
      <c r="B604">
        <f t="shared" si="27"/>
        <v>607</v>
      </c>
      <c r="C604">
        <v>2</v>
      </c>
      <c r="D604">
        <f t="shared" si="28"/>
        <v>511</v>
      </c>
      <c r="E604">
        <f t="shared" si="29"/>
        <v>9216</v>
      </c>
    </row>
    <row r="605" spans="1:5" x14ac:dyDescent="0.2">
      <c r="A605">
        <v>3</v>
      </c>
      <c r="B605">
        <f t="shared" si="27"/>
        <v>607</v>
      </c>
      <c r="C605">
        <v>2</v>
      </c>
      <c r="D605">
        <f t="shared" si="28"/>
        <v>511</v>
      </c>
      <c r="E605">
        <f t="shared" si="29"/>
        <v>9216</v>
      </c>
    </row>
    <row r="606" spans="1:5" x14ac:dyDescent="0.2">
      <c r="A606">
        <v>3</v>
      </c>
      <c r="B606">
        <f t="shared" si="27"/>
        <v>607</v>
      </c>
      <c r="C606">
        <v>2</v>
      </c>
      <c r="D606">
        <f t="shared" si="28"/>
        <v>511</v>
      </c>
      <c r="E606">
        <f t="shared" si="29"/>
        <v>9216</v>
      </c>
    </row>
    <row r="607" spans="1:5" x14ac:dyDescent="0.2">
      <c r="A607">
        <v>3</v>
      </c>
      <c r="B607">
        <f t="shared" si="27"/>
        <v>607</v>
      </c>
      <c r="C607">
        <v>2</v>
      </c>
      <c r="D607">
        <f t="shared" si="28"/>
        <v>511</v>
      </c>
      <c r="E607">
        <f t="shared" si="29"/>
        <v>9216</v>
      </c>
    </row>
    <row r="608" spans="1:5" x14ac:dyDescent="0.2">
      <c r="A608">
        <v>3</v>
      </c>
      <c r="B608">
        <f t="shared" si="27"/>
        <v>607</v>
      </c>
      <c r="C608">
        <v>2</v>
      </c>
      <c r="D608">
        <f t="shared" si="28"/>
        <v>511</v>
      </c>
      <c r="E608">
        <f t="shared" si="29"/>
        <v>9216</v>
      </c>
    </row>
    <row r="609" spans="1:5" x14ac:dyDescent="0.2">
      <c r="A609">
        <v>3</v>
      </c>
      <c r="B609">
        <f t="shared" si="27"/>
        <v>607</v>
      </c>
      <c r="C609">
        <v>2</v>
      </c>
      <c r="D609">
        <f t="shared" si="28"/>
        <v>511</v>
      </c>
      <c r="E609">
        <f t="shared" si="29"/>
        <v>9216</v>
      </c>
    </row>
    <row r="610" spans="1:5" x14ac:dyDescent="0.2">
      <c r="A610">
        <v>3</v>
      </c>
      <c r="B610">
        <f t="shared" si="27"/>
        <v>607</v>
      </c>
      <c r="C610">
        <v>2</v>
      </c>
      <c r="D610">
        <f t="shared" si="28"/>
        <v>511</v>
      </c>
      <c r="E610">
        <f t="shared" si="29"/>
        <v>9216</v>
      </c>
    </row>
    <row r="611" spans="1:5" x14ac:dyDescent="0.2">
      <c r="A611">
        <v>3</v>
      </c>
      <c r="B611">
        <f t="shared" si="27"/>
        <v>607</v>
      </c>
      <c r="C611">
        <v>2</v>
      </c>
      <c r="D611">
        <f t="shared" si="28"/>
        <v>511</v>
      </c>
      <c r="E611">
        <f t="shared" si="29"/>
        <v>9216</v>
      </c>
    </row>
    <row r="612" spans="1:5" x14ac:dyDescent="0.2">
      <c r="A612">
        <v>3</v>
      </c>
      <c r="B612">
        <f t="shared" si="27"/>
        <v>607</v>
      </c>
      <c r="C612">
        <v>2</v>
      </c>
      <c r="D612">
        <f t="shared" si="28"/>
        <v>511</v>
      </c>
      <c r="E612">
        <f t="shared" si="29"/>
        <v>9216</v>
      </c>
    </row>
    <row r="613" spans="1:5" x14ac:dyDescent="0.2">
      <c r="A613">
        <v>3</v>
      </c>
      <c r="B613">
        <f t="shared" si="27"/>
        <v>607</v>
      </c>
      <c r="C613">
        <v>2</v>
      </c>
      <c r="D613">
        <f t="shared" si="28"/>
        <v>511</v>
      </c>
      <c r="E613">
        <f t="shared" si="29"/>
        <v>9216</v>
      </c>
    </row>
    <row r="614" spans="1:5" x14ac:dyDescent="0.2">
      <c r="A614">
        <v>3</v>
      </c>
      <c r="B614">
        <f t="shared" si="27"/>
        <v>607</v>
      </c>
      <c r="C614">
        <v>2</v>
      </c>
      <c r="D614">
        <f t="shared" si="28"/>
        <v>511</v>
      </c>
      <c r="E614">
        <f t="shared" si="29"/>
        <v>9216</v>
      </c>
    </row>
    <row r="615" spans="1:5" x14ac:dyDescent="0.2">
      <c r="A615">
        <v>3</v>
      </c>
      <c r="B615">
        <f t="shared" si="27"/>
        <v>607</v>
      </c>
      <c r="C615">
        <v>2</v>
      </c>
      <c r="D615">
        <f t="shared" si="28"/>
        <v>511</v>
      </c>
      <c r="E615">
        <f t="shared" si="29"/>
        <v>9216</v>
      </c>
    </row>
    <row r="616" spans="1:5" x14ac:dyDescent="0.2">
      <c r="A616">
        <v>3</v>
      </c>
      <c r="B616">
        <f t="shared" si="27"/>
        <v>607</v>
      </c>
      <c r="C616">
        <v>2</v>
      </c>
      <c r="D616">
        <f t="shared" si="28"/>
        <v>511</v>
      </c>
      <c r="E616">
        <f t="shared" si="29"/>
        <v>9216</v>
      </c>
    </row>
    <row r="617" spans="1:5" x14ac:dyDescent="0.2">
      <c r="A617">
        <v>3</v>
      </c>
      <c r="B617">
        <f t="shared" si="27"/>
        <v>607</v>
      </c>
      <c r="C617">
        <v>2</v>
      </c>
      <c r="D617">
        <f t="shared" si="28"/>
        <v>511</v>
      </c>
      <c r="E617">
        <f t="shared" si="29"/>
        <v>9216</v>
      </c>
    </row>
    <row r="618" spans="1:5" x14ac:dyDescent="0.2">
      <c r="A618">
        <v>3</v>
      </c>
      <c r="B618">
        <f t="shared" si="27"/>
        <v>607</v>
      </c>
      <c r="C618">
        <v>2</v>
      </c>
      <c r="D618">
        <f t="shared" si="28"/>
        <v>511</v>
      </c>
      <c r="E618">
        <f t="shared" si="29"/>
        <v>9216</v>
      </c>
    </row>
    <row r="619" spans="1:5" x14ac:dyDescent="0.2">
      <c r="A619">
        <v>3</v>
      </c>
      <c r="B619">
        <f t="shared" si="27"/>
        <v>607</v>
      </c>
      <c r="C619">
        <v>2</v>
      </c>
      <c r="D619">
        <f t="shared" si="28"/>
        <v>511</v>
      </c>
      <c r="E619">
        <f t="shared" si="29"/>
        <v>9216</v>
      </c>
    </row>
    <row r="620" spans="1:5" x14ac:dyDescent="0.2">
      <c r="A620">
        <v>3</v>
      </c>
      <c r="B620">
        <f t="shared" si="27"/>
        <v>607</v>
      </c>
      <c r="C620">
        <v>2</v>
      </c>
      <c r="D620">
        <f t="shared" si="28"/>
        <v>511</v>
      </c>
      <c r="E620">
        <f t="shared" si="29"/>
        <v>9216</v>
      </c>
    </row>
    <row r="621" spans="1:5" x14ac:dyDescent="0.2">
      <c r="A621">
        <v>3</v>
      </c>
      <c r="B621">
        <f t="shared" si="27"/>
        <v>607</v>
      </c>
      <c r="C621">
        <v>2</v>
      </c>
      <c r="D621">
        <f t="shared" si="28"/>
        <v>511</v>
      </c>
      <c r="E621">
        <f t="shared" si="29"/>
        <v>9216</v>
      </c>
    </row>
    <row r="622" spans="1:5" x14ac:dyDescent="0.2">
      <c r="A622">
        <v>3</v>
      </c>
      <c r="B622">
        <f t="shared" si="27"/>
        <v>607</v>
      </c>
      <c r="C622">
        <v>2</v>
      </c>
      <c r="D622">
        <f t="shared" si="28"/>
        <v>511</v>
      </c>
      <c r="E622">
        <f t="shared" si="29"/>
        <v>9216</v>
      </c>
    </row>
    <row r="623" spans="1:5" x14ac:dyDescent="0.2">
      <c r="A623">
        <v>3</v>
      </c>
      <c r="B623">
        <f t="shared" si="27"/>
        <v>607</v>
      </c>
      <c r="C623">
        <v>2</v>
      </c>
      <c r="D623">
        <f t="shared" si="28"/>
        <v>511</v>
      </c>
      <c r="E623">
        <f t="shared" si="29"/>
        <v>9216</v>
      </c>
    </row>
    <row r="624" spans="1:5" x14ac:dyDescent="0.2">
      <c r="A624">
        <v>3</v>
      </c>
      <c r="B624">
        <f t="shared" si="27"/>
        <v>607</v>
      </c>
      <c r="C624">
        <v>3</v>
      </c>
      <c r="D624">
        <f t="shared" si="28"/>
        <v>658</v>
      </c>
      <c r="E624">
        <f t="shared" si="29"/>
        <v>2601</v>
      </c>
    </row>
    <row r="625" spans="1:5" x14ac:dyDescent="0.2">
      <c r="A625">
        <v>3</v>
      </c>
      <c r="B625">
        <f t="shared" si="27"/>
        <v>607</v>
      </c>
      <c r="C625">
        <v>3</v>
      </c>
      <c r="D625">
        <f t="shared" si="28"/>
        <v>658</v>
      </c>
      <c r="E625">
        <f t="shared" si="29"/>
        <v>2601</v>
      </c>
    </row>
    <row r="626" spans="1:5" x14ac:dyDescent="0.2">
      <c r="A626">
        <v>3</v>
      </c>
      <c r="B626">
        <f t="shared" si="27"/>
        <v>607</v>
      </c>
      <c r="C626">
        <v>3</v>
      </c>
      <c r="D626">
        <f t="shared" si="28"/>
        <v>658</v>
      </c>
      <c r="E626">
        <f t="shared" si="29"/>
        <v>2601</v>
      </c>
    </row>
    <row r="627" spans="1:5" x14ac:dyDescent="0.2">
      <c r="A627">
        <v>3</v>
      </c>
      <c r="B627">
        <f t="shared" si="27"/>
        <v>607</v>
      </c>
      <c r="C627">
        <v>3</v>
      </c>
      <c r="D627">
        <f t="shared" si="28"/>
        <v>658</v>
      </c>
      <c r="E627">
        <f t="shared" si="29"/>
        <v>2601</v>
      </c>
    </row>
    <row r="628" spans="1:5" x14ac:dyDescent="0.2">
      <c r="A628">
        <v>3</v>
      </c>
      <c r="B628">
        <f t="shared" si="27"/>
        <v>607</v>
      </c>
      <c r="C628">
        <v>3</v>
      </c>
      <c r="D628">
        <f t="shared" si="28"/>
        <v>658</v>
      </c>
      <c r="E628">
        <f t="shared" si="29"/>
        <v>2601</v>
      </c>
    </row>
    <row r="629" spans="1:5" x14ac:dyDescent="0.2">
      <c r="A629">
        <v>3</v>
      </c>
      <c r="B629">
        <f t="shared" si="27"/>
        <v>607</v>
      </c>
      <c r="C629">
        <v>3</v>
      </c>
      <c r="D629">
        <f t="shared" si="28"/>
        <v>658</v>
      </c>
      <c r="E629">
        <f t="shared" si="29"/>
        <v>2601</v>
      </c>
    </row>
    <row r="630" spans="1:5" x14ac:dyDescent="0.2">
      <c r="A630">
        <v>3</v>
      </c>
      <c r="B630">
        <f t="shared" si="27"/>
        <v>607</v>
      </c>
      <c r="C630">
        <v>3</v>
      </c>
      <c r="D630">
        <f t="shared" si="28"/>
        <v>658</v>
      </c>
      <c r="E630">
        <f t="shared" si="29"/>
        <v>2601</v>
      </c>
    </row>
    <row r="631" spans="1:5" x14ac:dyDescent="0.2">
      <c r="A631">
        <v>3</v>
      </c>
      <c r="B631">
        <f t="shared" si="27"/>
        <v>607</v>
      </c>
      <c r="C631">
        <v>3</v>
      </c>
      <c r="D631">
        <f t="shared" si="28"/>
        <v>658</v>
      </c>
      <c r="E631">
        <f t="shared" si="29"/>
        <v>2601</v>
      </c>
    </row>
    <row r="632" spans="1:5" x14ac:dyDescent="0.2">
      <c r="A632">
        <v>3</v>
      </c>
      <c r="B632">
        <f t="shared" si="27"/>
        <v>607</v>
      </c>
      <c r="C632">
        <v>3</v>
      </c>
      <c r="D632">
        <f t="shared" si="28"/>
        <v>658</v>
      </c>
      <c r="E632">
        <f t="shared" si="29"/>
        <v>2601</v>
      </c>
    </row>
    <row r="633" spans="1:5" x14ac:dyDescent="0.2">
      <c r="A633">
        <v>3</v>
      </c>
      <c r="B633">
        <f t="shared" si="27"/>
        <v>607</v>
      </c>
      <c r="C633">
        <v>3</v>
      </c>
      <c r="D633">
        <f t="shared" si="28"/>
        <v>658</v>
      </c>
      <c r="E633">
        <f t="shared" si="29"/>
        <v>2601</v>
      </c>
    </row>
    <row r="634" spans="1:5" x14ac:dyDescent="0.2">
      <c r="A634">
        <v>3</v>
      </c>
      <c r="B634">
        <f t="shared" si="27"/>
        <v>607</v>
      </c>
      <c r="C634">
        <v>3</v>
      </c>
      <c r="D634">
        <f t="shared" si="28"/>
        <v>658</v>
      </c>
      <c r="E634">
        <f t="shared" si="29"/>
        <v>2601</v>
      </c>
    </row>
    <row r="635" spans="1:5" x14ac:dyDescent="0.2">
      <c r="A635">
        <v>3</v>
      </c>
      <c r="B635">
        <f t="shared" si="27"/>
        <v>607</v>
      </c>
      <c r="C635">
        <v>3</v>
      </c>
      <c r="D635">
        <f t="shared" si="28"/>
        <v>658</v>
      </c>
      <c r="E635">
        <f t="shared" si="29"/>
        <v>2601</v>
      </c>
    </row>
    <row r="636" spans="1:5" x14ac:dyDescent="0.2">
      <c r="A636">
        <v>3</v>
      </c>
      <c r="B636">
        <f t="shared" si="27"/>
        <v>607</v>
      </c>
      <c r="C636">
        <v>3</v>
      </c>
      <c r="D636">
        <f t="shared" si="28"/>
        <v>658</v>
      </c>
      <c r="E636">
        <f t="shared" si="29"/>
        <v>2601</v>
      </c>
    </row>
    <row r="637" spans="1:5" x14ac:dyDescent="0.2">
      <c r="A637">
        <v>3</v>
      </c>
      <c r="B637">
        <f t="shared" si="27"/>
        <v>607</v>
      </c>
      <c r="C637">
        <v>3</v>
      </c>
      <c r="D637">
        <f t="shared" si="28"/>
        <v>658</v>
      </c>
      <c r="E637">
        <f t="shared" si="29"/>
        <v>2601</v>
      </c>
    </row>
    <row r="638" spans="1:5" x14ac:dyDescent="0.2">
      <c r="A638">
        <v>3</v>
      </c>
      <c r="B638">
        <f t="shared" si="27"/>
        <v>607</v>
      </c>
      <c r="C638">
        <v>3</v>
      </c>
      <c r="D638">
        <f t="shared" si="28"/>
        <v>658</v>
      </c>
      <c r="E638">
        <f t="shared" si="29"/>
        <v>2601</v>
      </c>
    </row>
    <row r="639" spans="1:5" x14ac:dyDescent="0.2">
      <c r="A639">
        <v>3</v>
      </c>
      <c r="B639">
        <f t="shared" si="27"/>
        <v>607</v>
      </c>
      <c r="C639">
        <v>3</v>
      </c>
      <c r="D639">
        <f t="shared" si="28"/>
        <v>658</v>
      </c>
      <c r="E639">
        <f t="shared" si="29"/>
        <v>2601</v>
      </c>
    </row>
    <row r="640" spans="1:5" x14ac:dyDescent="0.2">
      <c r="A640">
        <v>3</v>
      </c>
      <c r="B640">
        <f t="shared" si="27"/>
        <v>607</v>
      </c>
      <c r="C640">
        <v>3</v>
      </c>
      <c r="D640">
        <f t="shared" si="28"/>
        <v>658</v>
      </c>
      <c r="E640">
        <f t="shared" si="29"/>
        <v>2601</v>
      </c>
    </row>
    <row r="641" spans="1:5" x14ac:dyDescent="0.2">
      <c r="A641">
        <v>3</v>
      </c>
      <c r="B641">
        <f t="shared" si="27"/>
        <v>607</v>
      </c>
      <c r="C641">
        <v>3</v>
      </c>
      <c r="D641">
        <f t="shared" si="28"/>
        <v>658</v>
      </c>
      <c r="E641">
        <f t="shared" si="29"/>
        <v>2601</v>
      </c>
    </row>
    <row r="642" spans="1:5" x14ac:dyDescent="0.2">
      <c r="A642">
        <v>3</v>
      </c>
      <c r="B642">
        <f t="shared" si="27"/>
        <v>607</v>
      </c>
      <c r="C642">
        <v>3</v>
      </c>
      <c r="D642">
        <f t="shared" si="28"/>
        <v>658</v>
      </c>
      <c r="E642">
        <f t="shared" si="29"/>
        <v>2601</v>
      </c>
    </row>
    <row r="643" spans="1:5" x14ac:dyDescent="0.2">
      <c r="A643">
        <v>3</v>
      </c>
      <c r="B643">
        <f t="shared" si="27"/>
        <v>607</v>
      </c>
      <c r="C643">
        <v>3</v>
      </c>
      <c r="D643">
        <f t="shared" si="28"/>
        <v>658</v>
      </c>
      <c r="E643">
        <f t="shared" si="29"/>
        <v>2601</v>
      </c>
    </row>
    <row r="644" spans="1:5" x14ac:dyDescent="0.2">
      <c r="A644">
        <v>3</v>
      </c>
      <c r="B644">
        <f t="shared" si="27"/>
        <v>607</v>
      </c>
      <c r="C644">
        <v>3</v>
      </c>
      <c r="D644">
        <f t="shared" si="28"/>
        <v>658</v>
      </c>
      <c r="E644">
        <f t="shared" si="29"/>
        <v>2601</v>
      </c>
    </row>
    <row r="645" spans="1:5" x14ac:dyDescent="0.2">
      <c r="A645">
        <v>3</v>
      </c>
      <c r="B645">
        <f t="shared" si="27"/>
        <v>607</v>
      </c>
      <c r="C645">
        <v>3</v>
      </c>
      <c r="D645">
        <f t="shared" si="28"/>
        <v>658</v>
      </c>
      <c r="E645">
        <f t="shared" si="29"/>
        <v>2601</v>
      </c>
    </row>
    <row r="646" spans="1:5" x14ac:dyDescent="0.2">
      <c r="A646">
        <v>3</v>
      </c>
      <c r="B646">
        <f t="shared" si="27"/>
        <v>607</v>
      </c>
      <c r="C646">
        <v>3</v>
      </c>
      <c r="D646">
        <f t="shared" si="28"/>
        <v>658</v>
      </c>
      <c r="E646">
        <f t="shared" si="29"/>
        <v>2601</v>
      </c>
    </row>
    <row r="647" spans="1:5" x14ac:dyDescent="0.2">
      <c r="A647">
        <v>3</v>
      </c>
      <c r="B647">
        <f t="shared" si="27"/>
        <v>607</v>
      </c>
      <c r="C647">
        <v>3</v>
      </c>
      <c r="D647">
        <f t="shared" si="28"/>
        <v>658</v>
      </c>
      <c r="E647">
        <f t="shared" si="29"/>
        <v>2601</v>
      </c>
    </row>
    <row r="648" spans="1:5" x14ac:dyDescent="0.2">
      <c r="A648">
        <v>3</v>
      </c>
      <c r="B648">
        <f t="shared" si="27"/>
        <v>607</v>
      </c>
      <c r="C648">
        <v>3</v>
      </c>
      <c r="D648">
        <f t="shared" si="28"/>
        <v>658</v>
      </c>
      <c r="E648">
        <f t="shared" si="29"/>
        <v>2601</v>
      </c>
    </row>
    <row r="649" spans="1:5" x14ac:dyDescent="0.2">
      <c r="A649">
        <v>3</v>
      </c>
      <c r="B649">
        <f t="shared" si="27"/>
        <v>607</v>
      </c>
      <c r="C649">
        <v>3</v>
      </c>
      <c r="D649">
        <f t="shared" si="28"/>
        <v>658</v>
      </c>
      <c r="E649">
        <f t="shared" si="29"/>
        <v>2601</v>
      </c>
    </row>
    <row r="650" spans="1:5" x14ac:dyDescent="0.2">
      <c r="A650">
        <v>3</v>
      </c>
      <c r="B650">
        <f t="shared" si="27"/>
        <v>607</v>
      </c>
      <c r="C650">
        <v>3</v>
      </c>
      <c r="D650">
        <f t="shared" si="28"/>
        <v>658</v>
      </c>
      <c r="E650">
        <f t="shared" si="29"/>
        <v>2601</v>
      </c>
    </row>
    <row r="651" spans="1:5" x14ac:dyDescent="0.2">
      <c r="A651">
        <v>3</v>
      </c>
      <c r="B651">
        <f t="shared" si="27"/>
        <v>607</v>
      </c>
      <c r="C651">
        <v>3</v>
      </c>
      <c r="D651">
        <f t="shared" si="28"/>
        <v>658</v>
      </c>
      <c r="E651">
        <f t="shared" si="29"/>
        <v>2601</v>
      </c>
    </row>
    <row r="652" spans="1:5" x14ac:dyDescent="0.2">
      <c r="A652">
        <v>3</v>
      </c>
      <c r="B652">
        <f t="shared" si="27"/>
        <v>607</v>
      </c>
      <c r="C652">
        <v>3</v>
      </c>
      <c r="D652">
        <f t="shared" si="28"/>
        <v>658</v>
      </c>
      <c r="E652">
        <f t="shared" si="29"/>
        <v>2601</v>
      </c>
    </row>
    <row r="653" spans="1:5" x14ac:dyDescent="0.2">
      <c r="A653">
        <v>3</v>
      </c>
      <c r="B653">
        <f t="shared" si="27"/>
        <v>607</v>
      </c>
      <c r="C653">
        <v>3</v>
      </c>
      <c r="D653">
        <f t="shared" si="28"/>
        <v>658</v>
      </c>
      <c r="E653">
        <f t="shared" si="29"/>
        <v>2601</v>
      </c>
    </row>
    <row r="654" spans="1:5" x14ac:dyDescent="0.2">
      <c r="A654">
        <v>3</v>
      </c>
      <c r="B654">
        <f t="shared" si="27"/>
        <v>607</v>
      </c>
      <c r="C654">
        <v>3</v>
      </c>
      <c r="D654">
        <f t="shared" si="28"/>
        <v>658</v>
      </c>
      <c r="E654">
        <f t="shared" si="29"/>
        <v>2601</v>
      </c>
    </row>
    <row r="655" spans="1:5" x14ac:dyDescent="0.2">
      <c r="A655">
        <v>3</v>
      </c>
      <c r="B655">
        <f t="shared" si="27"/>
        <v>607</v>
      </c>
      <c r="C655">
        <v>3</v>
      </c>
      <c r="D655">
        <f t="shared" si="28"/>
        <v>658</v>
      </c>
      <c r="E655">
        <f t="shared" si="29"/>
        <v>2601</v>
      </c>
    </row>
    <row r="656" spans="1:5" x14ac:dyDescent="0.2">
      <c r="A656">
        <v>3</v>
      </c>
      <c r="B656">
        <f t="shared" si="27"/>
        <v>607</v>
      </c>
      <c r="C656">
        <v>3</v>
      </c>
      <c r="D656">
        <f t="shared" si="28"/>
        <v>658</v>
      </c>
      <c r="E656">
        <f t="shared" si="29"/>
        <v>2601</v>
      </c>
    </row>
    <row r="657" spans="1:5" x14ac:dyDescent="0.2">
      <c r="A657">
        <v>3</v>
      </c>
      <c r="B657">
        <f t="shared" si="27"/>
        <v>607</v>
      </c>
      <c r="C657">
        <v>3</v>
      </c>
      <c r="D657">
        <f t="shared" si="28"/>
        <v>658</v>
      </c>
      <c r="E657">
        <f t="shared" si="29"/>
        <v>2601</v>
      </c>
    </row>
    <row r="658" spans="1:5" x14ac:dyDescent="0.2">
      <c r="A658">
        <v>3</v>
      </c>
      <c r="B658">
        <f t="shared" si="27"/>
        <v>607</v>
      </c>
      <c r="C658">
        <v>3</v>
      </c>
      <c r="D658">
        <f t="shared" si="28"/>
        <v>658</v>
      </c>
      <c r="E658">
        <f t="shared" si="29"/>
        <v>2601</v>
      </c>
    </row>
    <row r="659" spans="1:5" x14ac:dyDescent="0.2">
      <c r="A659">
        <v>3</v>
      </c>
      <c r="B659">
        <f t="shared" si="27"/>
        <v>607</v>
      </c>
      <c r="C659">
        <v>3</v>
      </c>
      <c r="D659">
        <f t="shared" si="28"/>
        <v>658</v>
      </c>
      <c r="E659">
        <f t="shared" si="29"/>
        <v>2601</v>
      </c>
    </row>
    <row r="660" spans="1:5" x14ac:dyDescent="0.2">
      <c r="A660">
        <v>3</v>
      </c>
      <c r="B660">
        <f t="shared" si="27"/>
        <v>607</v>
      </c>
      <c r="C660">
        <v>3</v>
      </c>
      <c r="D660">
        <f t="shared" si="28"/>
        <v>658</v>
      </c>
      <c r="E660">
        <f t="shared" si="29"/>
        <v>2601</v>
      </c>
    </row>
    <row r="661" spans="1:5" x14ac:dyDescent="0.2">
      <c r="A661">
        <v>3</v>
      </c>
      <c r="B661">
        <f t="shared" si="27"/>
        <v>607</v>
      </c>
      <c r="C661">
        <v>3</v>
      </c>
      <c r="D661">
        <f t="shared" si="28"/>
        <v>658</v>
      </c>
      <c r="E661">
        <f t="shared" si="29"/>
        <v>2601</v>
      </c>
    </row>
    <row r="662" spans="1:5" x14ac:dyDescent="0.2">
      <c r="A662">
        <v>3</v>
      </c>
      <c r="B662">
        <f t="shared" si="27"/>
        <v>607</v>
      </c>
      <c r="C662">
        <v>3</v>
      </c>
      <c r="D662">
        <f t="shared" si="28"/>
        <v>658</v>
      </c>
      <c r="E662">
        <f t="shared" si="29"/>
        <v>2601</v>
      </c>
    </row>
    <row r="663" spans="1:5" x14ac:dyDescent="0.2">
      <c r="A663">
        <v>3</v>
      </c>
      <c r="B663">
        <f t="shared" si="27"/>
        <v>607</v>
      </c>
      <c r="C663">
        <v>3</v>
      </c>
      <c r="D663">
        <f t="shared" si="28"/>
        <v>658</v>
      </c>
      <c r="E663">
        <f t="shared" si="29"/>
        <v>2601</v>
      </c>
    </row>
    <row r="664" spans="1:5" x14ac:dyDescent="0.2">
      <c r="A664">
        <v>3</v>
      </c>
      <c r="B664">
        <f t="shared" ref="B664:B727" si="30">_xlfn.RANK.AVG(A664,$A$23:$A$792,1)</f>
        <v>607</v>
      </c>
      <c r="C664">
        <v>3</v>
      </c>
      <c r="D664">
        <f t="shared" ref="D664:D727" si="31">_xlfn.RANK.AVG(C664,$C$23:$C$792,1)</f>
        <v>658</v>
      </c>
      <c r="E664">
        <f t="shared" ref="E664:E727" si="32">POWER(B664-D664,2)</f>
        <v>2601</v>
      </c>
    </row>
    <row r="665" spans="1:5" x14ac:dyDescent="0.2">
      <c r="A665">
        <v>3</v>
      </c>
      <c r="B665">
        <f t="shared" si="30"/>
        <v>607</v>
      </c>
      <c r="C665">
        <v>3</v>
      </c>
      <c r="D665">
        <f t="shared" si="31"/>
        <v>658</v>
      </c>
      <c r="E665">
        <f t="shared" si="32"/>
        <v>2601</v>
      </c>
    </row>
    <row r="666" spans="1:5" x14ac:dyDescent="0.2">
      <c r="A666">
        <v>3</v>
      </c>
      <c r="B666">
        <f t="shared" si="30"/>
        <v>607</v>
      </c>
      <c r="C666">
        <v>3</v>
      </c>
      <c r="D666">
        <f t="shared" si="31"/>
        <v>658</v>
      </c>
      <c r="E666">
        <f t="shared" si="32"/>
        <v>2601</v>
      </c>
    </row>
    <row r="667" spans="1:5" x14ac:dyDescent="0.2">
      <c r="A667">
        <v>3</v>
      </c>
      <c r="B667">
        <f t="shared" si="30"/>
        <v>607</v>
      </c>
      <c r="C667">
        <v>3</v>
      </c>
      <c r="D667">
        <f t="shared" si="31"/>
        <v>658</v>
      </c>
      <c r="E667">
        <f t="shared" si="32"/>
        <v>2601</v>
      </c>
    </row>
    <row r="668" spans="1:5" x14ac:dyDescent="0.2">
      <c r="A668">
        <v>3</v>
      </c>
      <c r="B668">
        <f t="shared" si="30"/>
        <v>607</v>
      </c>
      <c r="C668">
        <v>3</v>
      </c>
      <c r="D668">
        <f t="shared" si="31"/>
        <v>658</v>
      </c>
      <c r="E668">
        <f t="shared" si="32"/>
        <v>2601</v>
      </c>
    </row>
    <row r="669" spans="1:5" x14ac:dyDescent="0.2">
      <c r="A669">
        <v>3</v>
      </c>
      <c r="B669">
        <f t="shared" si="30"/>
        <v>607</v>
      </c>
      <c r="C669">
        <v>3</v>
      </c>
      <c r="D669">
        <f t="shared" si="31"/>
        <v>658</v>
      </c>
      <c r="E669">
        <f t="shared" si="32"/>
        <v>2601</v>
      </c>
    </row>
    <row r="670" spans="1:5" x14ac:dyDescent="0.2">
      <c r="A670">
        <v>3</v>
      </c>
      <c r="B670">
        <f t="shared" si="30"/>
        <v>607</v>
      </c>
      <c r="C670">
        <v>3</v>
      </c>
      <c r="D670">
        <f t="shared" si="31"/>
        <v>658</v>
      </c>
      <c r="E670">
        <f t="shared" si="32"/>
        <v>2601</v>
      </c>
    </row>
    <row r="671" spans="1:5" x14ac:dyDescent="0.2">
      <c r="A671">
        <v>3</v>
      </c>
      <c r="B671">
        <f t="shared" si="30"/>
        <v>607</v>
      </c>
      <c r="C671">
        <v>3</v>
      </c>
      <c r="D671">
        <f t="shared" si="31"/>
        <v>658</v>
      </c>
      <c r="E671">
        <f t="shared" si="32"/>
        <v>2601</v>
      </c>
    </row>
    <row r="672" spans="1:5" x14ac:dyDescent="0.2">
      <c r="A672">
        <v>3</v>
      </c>
      <c r="B672">
        <f t="shared" si="30"/>
        <v>607</v>
      </c>
      <c r="C672">
        <v>3</v>
      </c>
      <c r="D672">
        <f t="shared" si="31"/>
        <v>658</v>
      </c>
      <c r="E672">
        <f t="shared" si="32"/>
        <v>2601</v>
      </c>
    </row>
    <row r="673" spans="1:5" x14ac:dyDescent="0.2">
      <c r="A673">
        <v>3</v>
      </c>
      <c r="B673">
        <f t="shared" si="30"/>
        <v>607</v>
      </c>
      <c r="C673">
        <v>3</v>
      </c>
      <c r="D673">
        <f t="shared" si="31"/>
        <v>658</v>
      </c>
      <c r="E673">
        <f t="shared" si="32"/>
        <v>2601</v>
      </c>
    </row>
    <row r="674" spans="1:5" x14ac:dyDescent="0.2">
      <c r="A674">
        <v>3</v>
      </c>
      <c r="B674">
        <f t="shared" si="30"/>
        <v>607</v>
      </c>
      <c r="C674">
        <v>3</v>
      </c>
      <c r="D674">
        <f t="shared" si="31"/>
        <v>658</v>
      </c>
      <c r="E674">
        <f t="shared" si="32"/>
        <v>2601</v>
      </c>
    </row>
    <row r="675" spans="1:5" x14ac:dyDescent="0.2">
      <c r="A675">
        <v>3</v>
      </c>
      <c r="B675">
        <f t="shared" si="30"/>
        <v>607</v>
      </c>
      <c r="C675">
        <v>3</v>
      </c>
      <c r="D675">
        <f t="shared" si="31"/>
        <v>658</v>
      </c>
      <c r="E675">
        <f t="shared" si="32"/>
        <v>2601</v>
      </c>
    </row>
    <row r="676" spans="1:5" x14ac:dyDescent="0.2">
      <c r="A676">
        <v>3</v>
      </c>
      <c r="B676">
        <f t="shared" si="30"/>
        <v>607</v>
      </c>
      <c r="C676">
        <v>3</v>
      </c>
      <c r="D676">
        <f t="shared" si="31"/>
        <v>658</v>
      </c>
      <c r="E676">
        <f t="shared" si="32"/>
        <v>2601</v>
      </c>
    </row>
    <row r="677" spans="1:5" x14ac:dyDescent="0.2">
      <c r="A677">
        <v>3</v>
      </c>
      <c r="B677">
        <f t="shared" si="30"/>
        <v>607</v>
      </c>
      <c r="C677">
        <v>3</v>
      </c>
      <c r="D677">
        <f t="shared" si="31"/>
        <v>658</v>
      </c>
      <c r="E677">
        <f t="shared" si="32"/>
        <v>2601</v>
      </c>
    </row>
    <row r="678" spans="1:5" x14ac:dyDescent="0.2">
      <c r="A678">
        <v>3</v>
      </c>
      <c r="B678">
        <f t="shared" si="30"/>
        <v>607</v>
      </c>
      <c r="C678">
        <v>3</v>
      </c>
      <c r="D678">
        <f t="shared" si="31"/>
        <v>658</v>
      </c>
      <c r="E678">
        <f t="shared" si="32"/>
        <v>2601</v>
      </c>
    </row>
    <row r="679" spans="1:5" x14ac:dyDescent="0.2">
      <c r="A679">
        <v>4</v>
      </c>
      <c r="B679">
        <f t="shared" si="30"/>
        <v>713.5</v>
      </c>
      <c r="C679">
        <v>3</v>
      </c>
      <c r="D679">
        <f t="shared" si="31"/>
        <v>658</v>
      </c>
      <c r="E679">
        <f t="shared" si="32"/>
        <v>3080.25</v>
      </c>
    </row>
    <row r="680" spans="1:5" x14ac:dyDescent="0.2">
      <c r="A680">
        <v>4</v>
      </c>
      <c r="B680">
        <f t="shared" si="30"/>
        <v>713.5</v>
      </c>
      <c r="C680">
        <v>3</v>
      </c>
      <c r="D680">
        <f t="shared" si="31"/>
        <v>658</v>
      </c>
      <c r="E680">
        <f t="shared" si="32"/>
        <v>3080.25</v>
      </c>
    </row>
    <row r="681" spans="1:5" x14ac:dyDescent="0.2">
      <c r="A681">
        <v>4</v>
      </c>
      <c r="B681">
        <f t="shared" si="30"/>
        <v>713.5</v>
      </c>
      <c r="C681">
        <v>3</v>
      </c>
      <c r="D681">
        <f t="shared" si="31"/>
        <v>658</v>
      </c>
      <c r="E681">
        <f t="shared" si="32"/>
        <v>3080.25</v>
      </c>
    </row>
    <row r="682" spans="1:5" x14ac:dyDescent="0.2">
      <c r="A682">
        <v>4</v>
      </c>
      <c r="B682">
        <f t="shared" si="30"/>
        <v>713.5</v>
      </c>
      <c r="C682">
        <v>3</v>
      </c>
      <c r="D682">
        <f t="shared" si="31"/>
        <v>658</v>
      </c>
      <c r="E682">
        <f t="shared" si="32"/>
        <v>3080.25</v>
      </c>
    </row>
    <row r="683" spans="1:5" x14ac:dyDescent="0.2">
      <c r="A683">
        <v>4</v>
      </c>
      <c r="B683">
        <f t="shared" si="30"/>
        <v>713.5</v>
      </c>
      <c r="C683">
        <v>3</v>
      </c>
      <c r="D683">
        <f t="shared" si="31"/>
        <v>658</v>
      </c>
      <c r="E683">
        <f t="shared" si="32"/>
        <v>3080.25</v>
      </c>
    </row>
    <row r="684" spans="1:5" x14ac:dyDescent="0.2">
      <c r="A684">
        <v>4</v>
      </c>
      <c r="B684">
        <f t="shared" si="30"/>
        <v>713.5</v>
      </c>
      <c r="C684">
        <v>3</v>
      </c>
      <c r="D684">
        <f t="shared" si="31"/>
        <v>658</v>
      </c>
      <c r="E684">
        <f t="shared" si="32"/>
        <v>3080.25</v>
      </c>
    </row>
    <row r="685" spans="1:5" x14ac:dyDescent="0.2">
      <c r="A685">
        <v>4</v>
      </c>
      <c r="B685">
        <f t="shared" si="30"/>
        <v>713.5</v>
      </c>
      <c r="C685">
        <v>3</v>
      </c>
      <c r="D685">
        <f t="shared" si="31"/>
        <v>658</v>
      </c>
      <c r="E685">
        <f t="shared" si="32"/>
        <v>3080.25</v>
      </c>
    </row>
    <row r="686" spans="1:5" x14ac:dyDescent="0.2">
      <c r="A686">
        <v>4</v>
      </c>
      <c r="B686">
        <f t="shared" si="30"/>
        <v>713.5</v>
      </c>
      <c r="C686">
        <v>3</v>
      </c>
      <c r="D686">
        <f t="shared" si="31"/>
        <v>658</v>
      </c>
      <c r="E686">
        <f t="shared" si="32"/>
        <v>3080.25</v>
      </c>
    </row>
    <row r="687" spans="1:5" x14ac:dyDescent="0.2">
      <c r="A687">
        <v>4</v>
      </c>
      <c r="B687">
        <f t="shared" si="30"/>
        <v>713.5</v>
      </c>
      <c r="C687">
        <v>3</v>
      </c>
      <c r="D687">
        <f t="shared" si="31"/>
        <v>658</v>
      </c>
      <c r="E687">
        <f t="shared" si="32"/>
        <v>3080.25</v>
      </c>
    </row>
    <row r="688" spans="1:5" x14ac:dyDescent="0.2">
      <c r="A688">
        <v>4</v>
      </c>
      <c r="B688">
        <f t="shared" si="30"/>
        <v>713.5</v>
      </c>
      <c r="C688">
        <v>3</v>
      </c>
      <c r="D688">
        <f t="shared" si="31"/>
        <v>658</v>
      </c>
      <c r="E688">
        <f t="shared" si="32"/>
        <v>3080.25</v>
      </c>
    </row>
    <row r="689" spans="1:5" x14ac:dyDescent="0.2">
      <c r="A689">
        <v>4</v>
      </c>
      <c r="B689">
        <f t="shared" si="30"/>
        <v>713.5</v>
      </c>
      <c r="C689">
        <v>3</v>
      </c>
      <c r="D689">
        <f t="shared" si="31"/>
        <v>658</v>
      </c>
      <c r="E689">
        <f t="shared" si="32"/>
        <v>3080.25</v>
      </c>
    </row>
    <row r="690" spans="1:5" x14ac:dyDescent="0.2">
      <c r="A690">
        <v>4</v>
      </c>
      <c r="B690">
        <f t="shared" si="30"/>
        <v>713.5</v>
      </c>
      <c r="C690">
        <v>3</v>
      </c>
      <c r="D690">
        <f t="shared" si="31"/>
        <v>658</v>
      </c>
      <c r="E690">
        <f t="shared" si="32"/>
        <v>3080.25</v>
      </c>
    </row>
    <row r="691" spans="1:5" x14ac:dyDescent="0.2">
      <c r="A691">
        <v>4</v>
      </c>
      <c r="B691">
        <f t="shared" si="30"/>
        <v>713.5</v>
      </c>
      <c r="C691">
        <v>3</v>
      </c>
      <c r="D691">
        <f t="shared" si="31"/>
        <v>658</v>
      </c>
      <c r="E691">
        <f t="shared" si="32"/>
        <v>3080.25</v>
      </c>
    </row>
    <row r="692" spans="1:5" x14ac:dyDescent="0.2">
      <c r="A692">
        <v>4</v>
      </c>
      <c r="B692">
        <f t="shared" si="30"/>
        <v>713.5</v>
      </c>
      <c r="C692">
        <v>3</v>
      </c>
      <c r="D692">
        <f t="shared" si="31"/>
        <v>658</v>
      </c>
      <c r="E692">
        <f t="shared" si="32"/>
        <v>3080.25</v>
      </c>
    </row>
    <row r="693" spans="1:5" x14ac:dyDescent="0.2">
      <c r="A693">
        <v>4</v>
      </c>
      <c r="B693">
        <f t="shared" si="30"/>
        <v>713.5</v>
      </c>
      <c r="C693">
        <v>3</v>
      </c>
      <c r="D693">
        <f t="shared" si="31"/>
        <v>658</v>
      </c>
      <c r="E693">
        <f t="shared" si="32"/>
        <v>3080.25</v>
      </c>
    </row>
    <row r="694" spans="1:5" x14ac:dyDescent="0.2">
      <c r="A694">
        <v>4</v>
      </c>
      <c r="B694">
        <f t="shared" si="30"/>
        <v>713.5</v>
      </c>
      <c r="C694">
        <v>3</v>
      </c>
      <c r="D694">
        <f t="shared" si="31"/>
        <v>658</v>
      </c>
      <c r="E694">
        <f t="shared" si="32"/>
        <v>3080.25</v>
      </c>
    </row>
    <row r="695" spans="1:5" x14ac:dyDescent="0.2">
      <c r="A695">
        <v>4</v>
      </c>
      <c r="B695">
        <f t="shared" si="30"/>
        <v>713.5</v>
      </c>
      <c r="C695">
        <v>3</v>
      </c>
      <c r="D695">
        <f t="shared" si="31"/>
        <v>658</v>
      </c>
      <c r="E695">
        <f t="shared" si="32"/>
        <v>3080.25</v>
      </c>
    </row>
    <row r="696" spans="1:5" x14ac:dyDescent="0.2">
      <c r="A696">
        <v>4</v>
      </c>
      <c r="B696">
        <f t="shared" si="30"/>
        <v>713.5</v>
      </c>
      <c r="C696">
        <v>3</v>
      </c>
      <c r="D696">
        <f t="shared" si="31"/>
        <v>658</v>
      </c>
      <c r="E696">
        <f t="shared" si="32"/>
        <v>3080.25</v>
      </c>
    </row>
    <row r="697" spans="1:5" x14ac:dyDescent="0.2">
      <c r="A697">
        <v>4</v>
      </c>
      <c r="B697">
        <f t="shared" si="30"/>
        <v>713.5</v>
      </c>
      <c r="C697">
        <v>3</v>
      </c>
      <c r="D697">
        <f t="shared" si="31"/>
        <v>658</v>
      </c>
      <c r="E697">
        <f t="shared" si="32"/>
        <v>3080.25</v>
      </c>
    </row>
    <row r="698" spans="1:5" x14ac:dyDescent="0.2">
      <c r="A698">
        <v>4</v>
      </c>
      <c r="B698">
        <f t="shared" si="30"/>
        <v>713.5</v>
      </c>
      <c r="C698">
        <v>3</v>
      </c>
      <c r="D698">
        <f t="shared" si="31"/>
        <v>658</v>
      </c>
      <c r="E698">
        <f t="shared" si="32"/>
        <v>3080.25</v>
      </c>
    </row>
    <row r="699" spans="1:5" x14ac:dyDescent="0.2">
      <c r="A699">
        <v>4</v>
      </c>
      <c r="B699">
        <f t="shared" si="30"/>
        <v>713.5</v>
      </c>
      <c r="C699">
        <v>3</v>
      </c>
      <c r="D699">
        <f t="shared" si="31"/>
        <v>658</v>
      </c>
      <c r="E699">
        <f t="shared" si="32"/>
        <v>3080.25</v>
      </c>
    </row>
    <row r="700" spans="1:5" x14ac:dyDescent="0.2">
      <c r="A700">
        <v>4</v>
      </c>
      <c r="B700">
        <f t="shared" si="30"/>
        <v>713.5</v>
      </c>
      <c r="C700">
        <v>3</v>
      </c>
      <c r="D700">
        <f t="shared" si="31"/>
        <v>658</v>
      </c>
      <c r="E700">
        <f t="shared" si="32"/>
        <v>3080.25</v>
      </c>
    </row>
    <row r="701" spans="1:5" x14ac:dyDescent="0.2">
      <c r="A701">
        <v>4</v>
      </c>
      <c r="B701">
        <f t="shared" si="30"/>
        <v>713.5</v>
      </c>
      <c r="C701">
        <v>3</v>
      </c>
      <c r="D701">
        <f t="shared" si="31"/>
        <v>658</v>
      </c>
      <c r="E701">
        <f t="shared" si="32"/>
        <v>3080.25</v>
      </c>
    </row>
    <row r="702" spans="1:5" x14ac:dyDescent="0.2">
      <c r="A702">
        <v>4</v>
      </c>
      <c r="B702">
        <f t="shared" si="30"/>
        <v>713.5</v>
      </c>
      <c r="C702">
        <v>3</v>
      </c>
      <c r="D702">
        <f t="shared" si="31"/>
        <v>658</v>
      </c>
      <c r="E702">
        <f t="shared" si="32"/>
        <v>3080.25</v>
      </c>
    </row>
    <row r="703" spans="1:5" x14ac:dyDescent="0.2">
      <c r="A703">
        <v>4</v>
      </c>
      <c r="B703">
        <f t="shared" si="30"/>
        <v>713.5</v>
      </c>
      <c r="C703">
        <v>3</v>
      </c>
      <c r="D703">
        <f t="shared" si="31"/>
        <v>658</v>
      </c>
      <c r="E703">
        <f t="shared" si="32"/>
        <v>3080.25</v>
      </c>
    </row>
    <row r="704" spans="1:5" x14ac:dyDescent="0.2">
      <c r="A704">
        <v>4</v>
      </c>
      <c r="B704">
        <f t="shared" si="30"/>
        <v>713.5</v>
      </c>
      <c r="C704">
        <v>3</v>
      </c>
      <c r="D704">
        <f t="shared" si="31"/>
        <v>658</v>
      </c>
      <c r="E704">
        <f t="shared" si="32"/>
        <v>3080.25</v>
      </c>
    </row>
    <row r="705" spans="1:5" x14ac:dyDescent="0.2">
      <c r="A705">
        <v>4</v>
      </c>
      <c r="B705">
        <f t="shared" si="30"/>
        <v>713.5</v>
      </c>
      <c r="C705">
        <v>3</v>
      </c>
      <c r="D705">
        <f t="shared" si="31"/>
        <v>658</v>
      </c>
      <c r="E705">
        <f t="shared" si="32"/>
        <v>3080.25</v>
      </c>
    </row>
    <row r="706" spans="1:5" x14ac:dyDescent="0.2">
      <c r="A706">
        <v>4</v>
      </c>
      <c r="B706">
        <f t="shared" si="30"/>
        <v>713.5</v>
      </c>
      <c r="C706">
        <v>3</v>
      </c>
      <c r="D706">
        <f t="shared" si="31"/>
        <v>658</v>
      </c>
      <c r="E706">
        <f t="shared" si="32"/>
        <v>3080.25</v>
      </c>
    </row>
    <row r="707" spans="1:5" x14ac:dyDescent="0.2">
      <c r="A707">
        <v>4</v>
      </c>
      <c r="B707">
        <f t="shared" si="30"/>
        <v>713.5</v>
      </c>
      <c r="C707">
        <v>3</v>
      </c>
      <c r="D707">
        <f t="shared" si="31"/>
        <v>658</v>
      </c>
      <c r="E707">
        <f t="shared" si="32"/>
        <v>3080.25</v>
      </c>
    </row>
    <row r="708" spans="1:5" x14ac:dyDescent="0.2">
      <c r="A708">
        <v>4</v>
      </c>
      <c r="B708">
        <f t="shared" si="30"/>
        <v>713.5</v>
      </c>
      <c r="C708">
        <v>3</v>
      </c>
      <c r="D708">
        <f t="shared" si="31"/>
        <v>658</v>
      </c>
      <c r="E708">
        <f t="shared" si="32"/>
        <v>3080.25</v>
      </c>
    </row>
    <row r="709" spans="1:5" x14ac:dyDescent="0.2">
      <c r="A709">
        <v>4</v>
      </c>
      <c r="B709">
        <f t="shared" si="30"/>
        <v>713.5</v>
      </c>
      <c r="C709">
        <v>3</v>
      </c>
      <c r="D709">
        <f t="shared" si="31"/>
        <v>658</v>
      </c>
      <c r="E709">
        <f t="shared" si="32"/>
        <v>3080.25</v>
      </c>
    </row>
    <row r="710" spans="1:5" x14ac:dyDescent="0.2">
      <c r="A710">
        <v>4</v>
      </c>
      <c r="B710">
        <f t="shared" si="30"/>
        <v>713.5</v>
      </c>
      <c r="C710">
        <v>3</v>
      </c>
      <c r="D710">
        <f t="shared" si="31"/>
        <v>658</v>
      </c>
      <c r="E710">
        <f t="shared" si="32"/>
        <v>3080.25</v>
      </c>
    </row>
    <row r="711" spans="1:5" x14ac:dyDescent="0.2">
      <c r="A711">
        <v>4</v>
      </c>
      <c r="B711">
        <f t="shared" si="30"/>
        <v>713.5</v>
      </c>
      <c r="C711">
        <v>3</v>
      </c>
      <c r="D711">
        <f t="shared" si="31"/>
        <v>658</v>
      </c>
      <c r="E711">
        <f t="shared" si="32"/>
        <v>3080.25</v>
      </c>
    </row>
    <row r="712" spans="1:5" x14ac:dyDescent="0.2">
      <c r="A712">
        <v>4</v>
      </c>
      <c r="B712">
        <f t="shared" si="30"/>
        <v>713.5</v>
      </c>
      <c r="C712">
        <v>3</v>
      </c>
      <c r="D712">
        <f t="shared" si="31"/>
        <v>658</v>
      </c>
      <c r="E712">
        <f t="shared" si="32"/>
        <v>3080.25</v>
      </c>
    </row>
    <row r="713" spans="1:5" x14ac:dyDescent="0.2">
      <c r="A713">
        <v>4</v>
      </c>
      <c r="B713">
        <f t="shared" si="30"/>
        <v>713.5</v>
      </c>
      <c r="C713">
        <v>3</v>
      </c>
      <c r="D713">
        <f t="shared" si="31"/>
        <v>658</v>
      </c>
      <c r="E713">
        <f t="shared" si="32"/>
        <v>3080.25</v>
      </c>
    </row>
    <row r="714" spans="1:5" x14ac:dyDescent="0.2">
      <c r="A714">
        <v>4</v>
      </c>
      <c r="B714">
        <f t="shared" si="30"/>
        <v>713.5</v>
      </c>
      <c r="C714">
        <v>3</v>
      </c>
      <c r="D714">
        <f t="shared" si="31"/>
        <v>658</v>
      </c>
      <c r="E714">
        <f t="shared" si="32"/>
        <v>3080.25</v>
      </c>
    </row>
    <row r="715" spans="1:5" x14ac:dyDescent="0.2">
      <c r="A715">
        <v>4</v>
      </c>
      <c r="B715">
        <f t="shared" si="30"/>
        <v>713.5</v>
      </c>
      <c r="C715">
        <v>3</v>
      </c>
      <c r="D715">
        <f t="shared" si="31"/>
        <v>658</v>
      </c>
      <c r="E715">
        <f t="shared" si="32"/>
        <v>3080.25</v>
      </c>
    </row>
    <row r="716" spans="1:5" x14ac:dyDescent="0.2">
      <c r="A716">
        <v>4</v>
      </c>
      <c r="B716">
        <f t="shared" si="30"/>
        <v>713.5</v>
      </c>
      <c r="C716">
        <v>3</v>
      </c>
      <c r="D716">
        <f t="shared" si="31"/>
        <v>658</v>
      </c>
      <c r="E716">
        <f t="shared" si="32"/>
        <v>3080.25</v>
      </c>
    </row>
    <row r="717" spans="1:5" x14ac:dyDescent="0.2">
      <c r="A717">
        <v>4</v>
      </c>
      <c r="B717">
        <f t="shared" si="30"/>
        <v>713.5</v>
      </c>
      <c r="C717">
        <v>3</v>
      </c>
      <c r="D717">
        <f t="shared" si="31"/>
        <v>658</v>
      </c>
      <c r="E717">
        <f t="shared" si="32"/>
        <v>3080.25</v>
      </c>
    </row>
    <row r="718" spans="1:5" x14ac:dyDescent="0.2">
      <c r="A718">
        <v>4</v>
      </c>
      <c r="B718">
        <f t="shared" si="30"/>
        <v>713.5</v>
      </c>
      <c r="C718">
        <v>3</v>
      </c>
      <c r="D718">
        <f t="shared" si="31"/>
        <v>658</v>
      </c>
      <c r="E718">
        <f t="shared" si="32"/>
        <v>3080.25</v>
      </c>
    </row>
    <row r="719" spans="1:5" x14ac:dyDescent="0.2">
      <c r="A719">
        <v>4</v>
      </c>
      <c r="B719">
        <f t="shared" si="30"/>
        <v>713.5</v>
      </c>
      <c r="C719">
        <v>3</v>
      </c>
      <c r="D719">
        <f t="shared" si="31"/>
        <v>658</v>
      </c>
      <c r="E719">
        <f t="shared" si="32"/>
        <v>3080.25</v>
      </c>
    </row>
    <row r="720" spans="1:5" x14ac:dyDescent="0.2">
      <c r="A720">
        <v>4</v>
      </c>
      <c r="B720">
        <f t="shared" si="30"/>
        <v>713.5</v>
      </c>
      <c r="C720">
        <v>3</v>
      </c>
      <c r="D720">
        <f t="shared" si="31"/>
        <v>658</v>
      </c>
      <c r="E720">
        <f t="shared" si="32"/>
        <v>3080.25</v>
      </c>
    </row>
    <row r="721" spans="1:5" x14ac:dyDescent="0.2">
      <c r="A721">
        <v>4</v>
      </c>
      <c r="B721">
        <f t="shared" si="30"/>
        <v>713.5</v>
      </c>
      <c r="C721">
        <v>3</v>
      </c>
      <c r="D721">
        <f t="shared" si="31"/>
        <v>658</v>
      </c>
      <c r="E721">
        <f t="shared" si="32"/>
        <v>3080.25</v>
      </c>
    </row>
    <row r="722" spans="1:5" x14ac:dyDescent="0.2">
      <c r="A722">
        <v>4</v>
      </c>
      <c r="B722">
        <f t="shared" si="30"/>
        <v>713.5</v>
      </c>
      <c r="C722">
        <v>3</v>
      </c>
      <c r="D722">
        <f t="shared" si="31"/>
        <v>658</v>
      </c>
      <c r="E722">
        <f t="shared" si="32"/>
        <v>3080.25</v>
      </c>
    </row>
    <row r="723" spans="1:5" x14ac:dyDescent="0.2">
      <c r="A723">
        <v>4</v>
      </c>
      <c r="B723">
        <f t="shared" si="30"/>
        <v>713.5</v>
      </c>
      <c r="C723">
        <v>3</v>
      </c>
      <c r="D723">
        <f t="shared" si="31"/>
        <v>658</v>
      </c>
      <c r="E723">
        <f t="shared" si="32"/>
        <v>3080.25</v>
      </c>
    </row>
    <row r="724" spans="1:5" x14ac:dyDescent="0.2">
      <c r="A724">
        <v>4</v>
      </c>
      <c r="B724">
        <f t="shared" si="30"/>
        <v>713.5</v>
      </c>
      <c r="C724">
        <v>3</v>
      </c>
      <c r="D724">
        <f t="shared" si="31"/>
        <v>658</v>
      </c>
      <c r="E724">
        <f t="shared" si="32"/>
        <v>3080.25</v>
      </c>
    </row>
    <row r="725" spans="1:5" x14ac:dyDescent="0.2">
      <c r="A725">
        <v>4</v>
      </c>
      <c r="B725">
        <f t="shared" si="30"/>
        <v>713.5</v>
      </c>
      <c r="C725">
        <v>3</v>
      </c>
      <c r="D725">
        <f t="shared" si="31"/>
        <v>658</v>
      </c>
      <c r="E725">
        <f t="shared" si="32"/>
        <v>3080.25</v>
      </c>
    </row>
    <row r="726" spans="1:5" x14ac:dyDescent="0.2">
      <c r="A726">
        <v>4</v>
      </c>
      <c r="B726">
        <f t="shared" si="30"/>
        <v>713.5</v>
      </c>
      <c r="C726">
        <v>3</v>
      </c>
      <c r="D726">
        <f t="shared" si="31"/>
        <v>658</v>
      </c>
      <c r="E726">
        <f t="shared" si="32"/>
        <v>3080.25</v>
      </c>
    </row>
    <row r="727" spans="1:5" x14ac:dyDescent="0.2">
      <c r="A727">
        <v>4</v>
      </c>
      <c r="B727">
        <f t="shared" si="30"/>
        <v>713.5</v>
      </c>
      <c r="C727">
        <v>3</v>
      </c>
      <c r="D727">
        <f t="shared" si="31"/>
        <v>658</v>
      </c>
      <c r="E727">
        <f t="shared" si="32"/>
        <v>3080.25</v>
      </c>
    </row>
    <row r="728" spans="1:5" x14ac:dyDescent="0.2">
      <c r="A728">
        <v>4</v>
      </c>
      <c r="B728">
        <f t="shared" ref="B728:B791" si="33">_xlfn.RANK.AVG(A728,$A$23:$A$792,1)</f>
        <v>713.5</v>
      </c>
      <c r="C728">
        <v>3</v>
      </c>
      <c r="D728">
        <f t="shared" ref="D728:D791" si="34">_xlfn.RANK.AVG(C728,$C$23:$C$792,1)</f>
        <v>658</v>
      </c>
      <c r="E728">
        <f t="shared" ref="E728:E791" si="35">POWER(B728-D728,2)</f>
        <v>3080.25</v>
      </c>
    </row>
    <row r="729" spans="1:5" x14ac:dyDescent="0.2">
      <c r="A729">
        <v>4</v>
      </c>
      <c r="B729">
        <f t="shared" si="33"/>
        <v>713.5</v>
      </c>
      <c r="C729">
        <v>3</v>
      </c>
      <c r="D729">
        <f t="shared" si="34"/>
        <v>658</v>
      </c>
      <c r="E729">
        <f t="shared" si="35"/>
        <v>3080.25</v>
      </c>
    </row>
    <row r="730" spans="1:5" x14ac:dyDescent="0.2">
      <c r="A730">
        <v>4</v>
      </c>
      <c r="B730">
        <f t="shared" si="33"/>
        <v>713.5</v>
      </c>
      <c r="C730">
        <v>3</v>
      </c>
      <c r="D730">
        <f t="shared" si="34"/>
        <v>658</v>
      </c>
      <c r="E730">
        <f t="shared" si="35"/>
        <v>3080.25</v>
      </c>
    </row>
    <row r="731" spans="1:5" x14ac:dyDescent="0.2">
      <c r="A731">
        <v>4</v>
      </c>
      <c r="B731">
        <f t="shared" si="33"/>
        <v>713.5</v>
      </c>
      <c r="C731">
        <v>3</v>
      </c>
      <c r="D731">
        <f t="shared" si="34"/>
        <v>658</v>
      </c>
      <c r="E731">
        <f t="shared" si="35"/>
        <v>3080.25</v>
      </c>
    </row>
    <row r="732" spans="1:5" x14ac:dyDescent="0.2">
      <c r="A732">
        <v>4</v>
      </c>
      <c r="B732">
        <f t="shared" si="33"/>
        <v>713.5</v>
      </c>
      <c r="C732">
        <v>3</v>
      </c>
      <c r="D732">
        <f t="shared" si="34"/>
        <v>658</v>
      </c>
      <c r="E732">
        <f t="shared" si="35"/>
        <v>3080.25</v>
      </c>
    </row>
    <row r="733" spans="1:5" x14ac:dyDescent="0.2">
      <c r="A733">
        <v>4</v>
      </c>
      <c r="B733">
        <f t="shared" si="33"/>
        <v>713.5</v>
      </c>
      <c r="C733">
        <v>3</v>
      </c>
      <c r="D733">
        <f t="shared" si="34"/>
        <v>658</v>
      </c>
      <c r="E733">
        <f t="shared" si="35"/>
        <v>3080.25</v>
      </c>
    </row>
    <row r="734" spans="1:5" x14ac:dyDescent="0.2">
      <c r="A734">
        <v>4</v>
      </c>
      <c r="B734">
        <f t="shared" si="33"/>
        <v>713.5</v>
      </c>
      <c r="C734">
        <v>3</v>
      </c>
      <c r="D734">
        <f t="shared" si="34"/>
        <v>658</v>
      </c>
      <c r="E734">
        <f t="shared" si="35"/>
        <v>3080.25</v>
      </c>
    </row>
    <row r="735" spans="1:5" x14ac:dyDescent="0.2">
      <c r="A735">
        <v>4</v>
      </c>
      <c r="B735">
        <f t="shared" si="33"/>
        <v>713.5</v>
      </c>
      <c r="C735">
        <v>3</v>
      </c>
      <c r="D735">
        <f t="shared" si="34"/>
        <v>658</v>
      </c>
      <c r="E735">
        <f t="shared" si="35"/>
        <v>3080.25</v>
      </c>
    </row>
    <row r="736" spans="1:5" x14ac:dyDescent="0.2">
      <c r="A736">
        <v>4</v>
      </c>
      <c r="B736">
        <f t="shared" si="33"/>
        <v>713.5</v>
      </c>
      <c r="C736">
        <v>3</v>
      </c>
      <c r="D736">
        <f t="shared" si="34"/>
        <v>658</v>
      </c>
      <c r="E736">
        <f t="shared" si="35"/>
        <v>3080.25</v>
      </c>
    </row>
    <row r="737" spans="1:5" x14ac:dyDescent="0.2">
      <c r="A737">
        <v>4</v>
      </c>
      <c r="B737">
        <f t="shared" si="33"/>
        <v>713.5</v>
      </c>
      <c r="C737">
        <v>4</v>
      </c>
      <c r="D737">
        <f t="shared" si="34"/>
        <v>728.5</v>
      </c>
      <c r="E737">
        <f t="shared" si="35"/>
        <v>225</v>
      </c>
    </row>
    <row r="738" spans="1:5" x14ac:dyDescent="0.2">
      <c r="A738">
        <v>4</v>
      </c>
      <c r="B738">
        <f t="shared" si="33"/>
        <v>713.5</v>
      </c>
      <c r="C738">
        <v>4</v>
      </c>
      <c r="D738">
        <f t="shared" si="34"/>
        <v>728.5</v>
      </c>
      <c r="E738">
        <f t="shared" si="35"/>
        <v>225</v>
      </c>
    </row>
    <row r="739" spans="1:5" x14ac:dyDescent="0.2">
      <c r="A739">
        <v>4</v>
      </c>
      <c r="B739">
        <f t="shared" si="33"/>
        <v>713.5</v>
      </c>
      <c r="C739">
        <v>4</v>
      </c>
      <c r="D739">
        <f t="shared" si="34"/>
        <v>728.5</v>
      </c>
      <c r="E739">
        <f t="shared" si="35"/>
        <v>225</v>
      </c>
    </row>
    <row r="740" spans="1:5" x14ac:dyDescent="0.2">
      <c r="A740">
        <v>4</v>
      </c>
      <c r="B740">
        <f t="shared" si="33"/>
        <v>713.5</v>
      </c>
      <c r="C740">
        <v>4</v>
      </c>
      <c r="D740">
        <f t="shared" si="34"/>
        <v>728.5</v>
      </c>
      <c r="E740">
        <f t="shared" si="35"/>
        <v>225</v>
      </c>
    </row>
    <row r="741" spans="1:5" x14ac:dyDescent="0.2">
      <c r="A741">
        <v>4</v>
      </c>
      <c r="B741">
        <f t="shared" si="33"/>
        <v>713.5</v>
      </c>
      <c r="C741">
        <v>4</v>
      </c>
      <c r="D741">
        <f t="shared" si="34"/>
        <v>728.5</v>
      </c>
      <c r="E741">
        <f t="shared" si="35"/>
        <v>225</v>
      </c>
    </row>
    <row r="742" spans="1:5" x14ac:dyDescent="0.2">
      <c r="A742">
        <v>4</v>
      </c>
      <c r="B742">
        <f t="shared" si="33"/>
        <v>713.5</v>
      </c>
      <c r="C742">
        <v>4</v>
      </c>
      <c r="D742">
        <f t="shared" si="34"/>
        <v>728.5</v>
      </c>
      <c r="E742">
        <f t="shared" si="35"/>
        <v>225</v>
      </c>
    </row>
    <row r="743" spans="1:5" x14ac:dyDescent="0.2">
      <c r="A743">
        <v>4</v>
      </c>
      <c r="B743">
        <f t="shared" si="33"/>
        <v>713.5</v>
      </c>
      <c r="C743">
        <v>4</v>
      </c>
      <c r="D743">
        <f t="shared" si="34"/>
        <v>728.5</v>
      </c>
      <c r="E743">
        <f t="shared" si="35"/>
        <v>225</v>
      </c>
    </row>
    <row r="744" spans="1:5" x14ac:dyDescent="0.2">
      <c r="A744">
        <v>4</v>
      </c>
      <c r="B744">
        <f t="shared" si="33"/>
        <v>713.5</v>
      </c>
      <c r="C744">
        <v>4</v>
      </c>
      <c r="D744">
        <f t="shared" si="34"/>
        <v>728.5</v>
      </c>
      <c r="E744">
        <f t="shared" si="35"/>
        <v>225</v>
      </c>
    </row>
    <row r="745" spans="1:5" x14ac:dyDescent="0.2">
      <c r="A745">
        <v>4</v>
      </c>
      <c r="B745">
        <f t="shared" si="33"/>
        <v>713.5</v>
      </c>
      <c r="C745">
        <v>4</v>
      </c>
      <c r="D745">
        <f t="shared" si="34"/>
        <v>728.5</v>
      </c>
      <c r="E745">
        <f t="shared" si="35"/>
        <v>225</v>
      </c>
    </row>
    <row r="746" spans="1:5" x14ac:dyDescent="0.2">
      <c r="A746">
        <v>4</v>
      </c>
      <c r="B746">
        <f t="shared" si="33"/>
        <v>713.5</v>
      </c>
      <c r="C746">
        <v>4</v>
      </c>
      <c r="D746">
        <f t="shared" si="34"/>
        <v>728.5</v>
      </c>
      <c r="E746">
        <f t="shared" si="35"/>
        <v>225</v>
      </c>
    </row>
    <row r="747" spans="1:5" x14ac:dyDescent="0.2">
      <c r="A747">
        <v>4</v>
      </c>
      <c r="B747">
        <f t="shared" si="33"/>
        <v>713.5</v>
      </c>
      <c r="C747">
        <v>4</v>
      </c>
      <c r="D747">
        <f t="shared" si="34"/>
        <v>728.5</v>
      </c>
      <c r="E747">
        <f t="shared" si="35"/>
        <v>225</v>
      </c>
    </row>
    <row r="748" spans="1:5" x14ac:dyDescent="0.2">
      <c r="A748">
        <v>4</v>
      </c>
      <c r="B748">
        <f t="shared" si="33"/>
        <v>713.5</v>
      </c>
      <c r="C748">
        <v>4</v>
      </c>
      <c r="D748">
        <f t="shared" si="34"/>
        <v>728.5</v>
      </c>
      <c r="E748">
        <f t="shared" si="35"/>
        <v>225</v>
      </c>
    </row>
    <row r="749" spans="1:5" x14ac:dyDescent="0.2">
      <c r="A749">
        <v>4</v>
      </c>
      <c r="B749">
        <f t="shared" si="33"/>
        <v>713.5</v>
      </c>
      <c r="C749">
        <v>4</v>
      </c>
      <c r="D749">
        <f t="shared" si="34"/>
        <v>728.5</v>
      </c>
      <c r="E749">
        <f t="shared" si="35"/>
        <v>225</v>
      </c>
    </row>
    <row r="750" spans="1:5" x14ac:dyDescent="0.2">
      <c r="A750">
        <v>4</v>
      </c>
      <c r="B750">
        <f t="shared" si="33"/>
        <v>713.5</v>
      </c>
      <c r="C750">
        <v>4</v>
      </c>
      <c r="D750">
        <f t="shared" si="34"/>
        <v>728.5</v>
      </c>
      <c r="E750">
        <f t="shared" si="35"/>
        <v>225</v>
      </c>
    </row>
    <row r="751" spans="1:5" x14ac:dyDescent="0.2">
      <c r="A751">
        <v>4</v>
      </c>
      <c r="B751">
        <f t="shared" si="33"/>
        <v>713.5</v>
      </c>
      <c r="C751">
        <v>4</v>
      </c>
      <c r="D751">
        <f t="shared" si="34"/>
        <v>728.5</v>
      </c>
      <c r="E751">
        <f t="shared" si="35"/>
        <v>225</v>
      </c>
    </row>
    <row r="752" spans="1:5" x14ac:dyDescent="0.2">
      <c r="A752">
        <v>4</v>
      </c>
      <c r="B752">
        <f t="shared" si="33"/>
        <v>713.5</v>
      </c>
      <c r="C752">
        <v>4</v>
      </c>
      <c r="D752">
        <f t="shared" si="34"/>
        <v>728.5</v>
      </c>
      <c r="E752">
        <f t="shared" si="35"/>
        <v>225</v>
      </c>
    </row>
    <row r="753" spans="1:5" x14ac:dyDescent="0.2">
      <c r="A753">
        <v>4</v>
      </c>
      <c r="B753">
        <f t="shared" si="33"/>
        <v>713.5</v>
      </c>
      <c r="C753">
        <v>4</v>
      </c>
      <c r="D753">
        <f t="shared" si="34"/>
        <v>728.5</v>
      </c>
      <c r="E753">
        <f t="shared" si="35"/>
        <v>225</v>
      </c>
    </row>
    <row r="754" spans="1:5" x14ac:dyDescent="0.2">
      <c r="A754">
        <v>4</v>
      </c>
      <c r="B754">
        <f t="shared" si="33"/>
        <v>713.5</v>
      </c>
      <c r="C754">
        <v>4</v>
      </c>
      <c r="D754">
        <f t="shared" si="34"/>
        <v>728.5</v>
      </c>
      <c r="E754">
        <f t="shared" si="35"/>
        <v>225</v>
      </c>
    </row>
    <row r="755" spans="1:5" x14ac:dyDescent="0.2">
      <c r="A755">
        <v>4</v>
      </c>
      <c r="B755">
        <f t="shared" si="33"/>
        <v>713.5</v>
      </c>
      <c r="C755">
        <v>4</v>
      </c>
      <c r="D755">
        <f t="shared" si="34"/>
        <v>728.5</v>
      </c>
      <c r="E755">
        <f t="shared" si="35"/>
        <v>225</v>
      </c>
    </row>
    <row r="756" spans="1:5" x14ac:dyDescent="0.2">
      <c r="A756">
        <v>4</v>
      </c>
      <c r="B756">
        <f t="shared" si="33"/>
        <v>713.5</v>
      </c>
      <c r="C756">
        <v>4</v>
      </c>
      <c r="D756">
        <f t="shared" si="34"/>
        <v>728.5</v>
      </c>
      <c r="E756">
        <f t="shared" si="35"/>
        <v>225</v>
      </c>
    </row>
    <row r="757" spans="1:5" x14ac:dyDescent="0.2">
      <c r="A757">
        <v>4</v>
      </c>
      <c r="B757">
        <f t="shared" si="33"/>
        <v>713.5</v>
      </c>
      <c r="C757">
        <v>4</v>
      </c>
      <c r="D757">
        <f t="shared" si="34"/>
        <v>728.5</v>
      </c>
      <c r="E757">
        <f t="shared" si="35"/>
        <v>225</v>
      </c>
    </row>
    <row r="758" spans="1:5" x14ac:dyDescent="0.2">
      <c r="A758">
        <v>4</v>
      </c>
      <c r="B758">
        <f t="shared" si="33"/>
        <v>713.5</v>
      </c>
      <c r="C758">
        <v>4</v>
      </c>
      <c r="D758">
        <f t="shared" si="34"/>
        <v>728.5</v>
      </c>
      <c r="E758">
        <f t="shared" si="35"/>
        <v>225</v>
      </c>
    </row>
    <row r="759" spans="1:5" x14ac:dyDescent="0.2">
      <c r="A759">
        <v>4</v>
      </c>
      <c r="B759">
        <f t="shared" si="33"/>
        <v>713.5</v>
      </c>
      <c r="C759">
        <v>4</v>
      </c>
      <c r="D759">
        <f t="shared" si="34"/>
        <v>728.5</v>
      </c>
      <c r="E759">
        <f t="shared" si="35"/>
        <v>225</v>
      </c>
    </row>
    <row r="760" spans="1:5" x14ac:dyDescent="0.2">
      <c r="A760">
        <v>4</v>
      </c>
      <c r="B760">
        <f t="shared" si="33"/>
        <v>713.5</v>
      </c>
      <c r="C760">
        <v>4</v>
      </c>
      <c r="D760">
        <f t="shared" si="34"/>
        <v>728.5</v>
      </c>
      <c r="E760">
        <f t="shared" si="35"/>
        <v>225</v>
      </c>
    </row>
    <row r="761" spans="1:5" x14ac:dyDescent="0.2">
      <c r="A761">
        <v>4</v>
      </c>
      <c r="B761">
        <f t="shared" si="33"/>
        <v>713.5</v>
      </c>
      <c r="C761">
        <v>4</v>
      </c>
      <c r="D761">
        <f t="shared" si="34"/>
        <v>728.5</v>
      </c>
      <c r="E761">
        <f t="shared" si="35"/>
        <v>225</v>
      </c>
    </row>
    <row r="762" spans="1:5" x14ac:dyDescent="0.2">
      <c r="A762">
        <v>4</v>
      </c>
      <c r="B762">
        <f t="shared" si="33"/>
        <v>713.5</v>
      </c>
      <c r="C762">
        <v>4</v>
      </c>
      <c r="D762">
        <f t="shared" si="34"/>
        <v>728.5</v>
      </c>
      <c r="E762">
        <f t="shared" si="35"/>
        <v>225</v>
      </c>
    </row>
    <row r="763" spans="1:5" x14ac:dyDescent="0.2">
      <c r="A763">
        <v>4</v>
      </c>
      <c r="B763">
        <f t="shared" si="33"/>
        <v>713.5</v>
      </c>
      <c r="C763">
        <v>4</v>
      </c>
      <c r="D763">
        <f t="shared" si="34"/>
        <v>728.5</v>
      </c>
      <c r="E763">
        <f t="shared" si="35"/>
        <v>225</v>
      </c>
    </row>
    <row r="764" spans="1:5" x14ac:dyDescent="0.2">
      <c r="A764">
        <v>4</v>
      </c>
      <c r="B764">
        <f t="shared" si="33"/>
        <v>713.5</v>
      </c>
      <c r="C764">
        <v>4</v>
      </c>
      <c r="D764">
        <f t="shared" si="34"/>
        <v>728.5</v>
      </c>
      <c r="E764">
        <f t="shared" si="35"/>
        <v>225</v>
      </c>
    </row>
    <row r="765" spans="1:5" x14ac:dyDescent="0.2">
      <c r="A765">
        <v>4</v>
      </c>
      <c r="B765">
        <f t="shared" si="33"/>
        <v>713.5</v>
      </c>
      <c r="C765">
        <v>5</v>
      </c>
      <c r="D765">
        <f t="shared" si="34"/>
        <v>756.5</v>
      </c>
      <c r="E765">
        <f t="shared" si="35"/>
        <v>1849</v>
      </c>
    </row>
    <row r="766" spans="1:5" x14ac:dyDescent="0.2">
      <c r="A766">
        <v>4</v>
      </c>
      <c r="B766">
        <f t="shared" si="33"/>
        <v>713.5</v>
      </c>
      <c r="C766">
        <v>5</v>
      </c>
      <c r="D766">
        <f t="shared" si="34"/>
        <v>756.5</v>
      </c>
      <c r="E766">
        <f t="shared" si="35"/>
        <v>1849</v>
      </c>
    </row>
    <row r="767" spans="1:5" x14ac:dyDescent="0.2">
      <c r="A767">
        <v>4</v>
      </c>
      <c r="B767">
        <f t="shared" si="33"/>
        <v>713.5</v>
      </c>
      <c r="C767">
        <v>5</v>
      </c>
      <c r="D767">
        <f t="shared" si="34"/>
        <v>756.5</v>
      </c>
      <c r="E767">
        <f t="shared" si="35"/>
        <v>1849</v>
      </c>
    </row>
    <row r="768" spans="1:5" x14ac:dyDescent="0.2">
      <c r="A768">
        <v>4</v>
      </c>
      <c r="B768">
        <f t="shared" si="33"/>
        <v>713.5</v>
      </c>
      <c r="C768">
        <v>5</v>
      </c>
      <c r="D768">
        <f t="shared" si="34"/>
        <v>756.5</v>
      </c>
      <c r="E768">
        <f t="shared" si="35"/>
        <v>1849</v>
      </c>
    </row>
    <row r="769" spans="1:5" x14ac:dyDescent="0.2">
      <c r="A769">
        <v>4</v>
      </c>
      <c r="B769">
        <f t="shared" si="33"/>
        <v>713.5</v>
      </c>
      <c r="C769">
        <v>5</v>
      </c>
      <c r="D769">
        <f t="shared" si="34"/>
        <v>756.5</v>
      </c>
      <c r="E769">
        <f t="shared" si="35"/>
        <v>1849</v>
      </c>
    </row>
    <row r="770" spans="1:5" x14ac:dyDescent="0.2">
      <c r="A770">
        <v>4</v>
      </c>
      <c r="B770">
        <f t="shared" si="33"/>
        <v>713.5</v>
      </c>
      <c r="C770">
        <v>5</v>
      </c>
      <c r="D770">
        <f t="shared" si="34"/>
        <v>756.5</v>
      </c>
      <c r="E770">
        <f t="shared" si="35"/>
        <v>1849</v>
      </c>
    </row>
    <row r="771" spans="1:5" x14ac:dyDescent="0.2">
      <c r="A771">
        <v>4</v>
      </c>
      <c r="B771">
        <f t="shared" si="33"/>
        <v>713.5</v>
      </c>
      <c r="C771">
        <v>5</v>
      </c>
      <c r="D771">
        <f t="shared" si="34"/>
        <v>756.5</v>
      </c>
      <c r="E771">
        <f t="shared" si="35"/>
        <v>1849</v>
      </c>
    </row>
    <row r="772" spans="1:5" x14ac:dyDescent="0.2">
      <c r="A772">
        <v>4</v>
      </c>
      <c r="B772">
        <f t="shared" si="33"/>
        <v>713.5</v>
      </c>
      <c r="C772">
        <v>5</v>
      </c>
      <c r="D772">
        <f t="shared" si="34"/>
        <v>756.5</v>
      </c>
      <c r="E772">
        <f t="shared" si="35"/>
        <v>1849</v>
      </c>
    </row>
    <row r="773" spans="1:5" x14ac:dyDescent="0.2">
      <c r="A773">
        <v>4</v>
      </c>
      <c r="B773">
        <f t="shared" si="33"/>
        <v>713.5</v>
      </c>
      <c r="C773">
        <v>5</v>
      </c>
      <c r="D773">
        <f t="shared" si="34"/>
        <v>756.5</v>
      </c>
      <c r="E773">
        <f t="shared" si="35"/>
        <v>1849</v>
      </c>
    </row>
    <row r="774" spans="1:5" x14ac:dyDescent="0.2">
      <c r="A774">
        <v>4</v>
      </c>
      <c r="B774">
        <f t="shared" si="33"/>
        <v>713.5</v>
      </c>
      <c r="C774">
        <v>5</v>
      </c>
      <c r="D774">
        <f t="shared" si="34"/>
        <v>756.5</v>
      </c>
      <c r="E774">
        <f t="shared" si="35"/>
        <v>1849</v>
      </c>
    </row>
    <row r="775" spans="1:5" x14ac:dyDescent="0.2">
      <c r="A775">
        <v>4</v>
      </c>
      <c r="B775">
        <f t="shared" si="33"/>
        <v>713.5</v>
      </c>
      <c r="C775">
        <v>5</v>
      </c>
      <c r="D775">
        <f t="shared" si="34"/>
        <v>756.5</v>
      </c>
      <c r="E775">
        <f t="shared" si="35"/>
        <v>1849</v>
      </c>
    </row>
    <row r="776" spans="1:5" x14ac:dyDescent="0.2">
      <c r="A776">
        <v>4</v>
      </c>
      <c r="B776">
        <f t="shared" si="33"/>
        <v>713.5</v>
      </c>
      <c r="C776">
        <v>5</v>
      </c>
      <c r="D776">
        <f t="shared" si="34"/>
        <v>756.5</v>
      </c>
      <c r="E776">
        <f t="shared" si="35"/>
        <v>1849</v>
      </c>
    </row>
    <row r="777" spans="1:5" x14ac:dyDescent="0.2">
      <c r="A777">
        <v>4</v>
      </c>
      <c r="B777">
        <f t="shared" si="33"/>
        <v>713.5</v>
      </c>
      <c r="C777">
        <v>5</v>
      </c>
      <c r="D777">
        <f t="shared" si="34"/>
        <v>756.5</v>
      </c>
      <c r="E777">
        <f t="shared" si="35"/>
        <v>1849</v>
      </c>
    </row>
    <row r="778" spans="1:5" x14ac:dyDescent="0.2">
      <c r="A778">
        <v>4</v>
      </c>
      <c r="B778">
        <f t="shared" si="33"/>
        <v>713.5</v>
      </c>
      <c r="C778">
        <v>5</v>
      </c>
      <c r="D778">
        <f t="shared" si="34"/>
        <v>756.5</v>
      </c>
      <c r="E778">
        <f t="shared" si="35"/>
        <v>1849</v>
      </c>
    </row>
    <row r="779" spans="1:5" x14ac:dyDescent="0.2">
      <c r="A779">
        <v>4</v>
      </c>
      <c r="B779">
        <f t="shared" si="33"/>
        <v>713.5</v>
      </c>
      <c r="C779">
        <v>5</v>
      </c>
      <c r="D779">
        <f t="shared" si="34"/>
        <v>756.5</v>
      </c>
      <c r="E779">
        <f t="shared" si="35"/>
        <v>1849</v>
      </c>
    </row>
    <row r="780" spans="1:5" x14ac:dyDescent="0.2">
      <c r="A780">
        <v>4</v>
      </c>
      <c r="B780">
        <f t="shared" si="33"/>
        <v>713.5</v>
      </c>
      <c r="C780">
        <v>5</v>
      </c>
      <c r="D780">
        <f t="shared" si="34"/>
        <v>756.5</v>
      </c>
      <c r="E780">
        <f t="shared" si="35"/>
        <v>1849</v>
      </c>
    </row>
    <row r="781" spans="1:5" x14ac:dyDescent="0.2">
      <c r="A781">
        <v>4</v>
      </c>
      <c r="B781">
        <f t="shared" si="33"/>
        <v>713.5</v>
      </c>
      <c r="C781">
        <v>5</v>
      </c>
      <c r="D781">
        <f t="shared" si="34"/>
        <v>756.5</v>
      </c>
      <c r="E781">
        <f t="shared" si="35"/>
        <v>1849</v>
      </c>
    </row>
    <row r="782" spans="1:5" x14ac:dyDescent="0.2">
      <c r="A782">
        <v>4</v>
      </c>
      <c r="B782">
        <f t="shared" si="33"/>
        <v>713.5</v>
      </c>
      <c r="C782">
        <v>5</v>
      </c>
      <c r="D782">
        <f t="shared" si="34"/>
        <v>756.5</v>
      </c>
      <c r="E782">
        <f t="shared" si="35"/>
        <v>1849</v>
      </c>
    </row>
    <row r="783" spans="1:5" x14ac:dyDescent="0.2">
      <c r="A783">
        <v>4</v>
      </c>
      <c r="B783">
        <f t="shared" si="33"/>
        <v>713.5</v>
      </c>
      <c r="C783">
        <v>5</v>
      </c>
      <c r="D783">
        <f t="shared" si="34"/>
        <v>756.5</v>
      </c>
      <c r="E783">
        <f t="shared" si="35"/>
        <v>1849</v>
      </c>
    </row>
    <row r="784" spans="1:5" x14ac:dyDescent="0.2">
      <c r="A784">
        <v>4</v>
      </c>
      <c r="B784">
        <f t="shared" si="33"/>
        <v>713.5</v>
      </c>
      <c r="C784">
        <v>5</v>
      </c>
      <c r="D784">
        <f t="shared" si="34"/>
        <v>756.5</v>
      </c>
      <c r="E784">
        <f t="shared" si="35"/>
        <v>1849</v>
      </c>
    </row>
    <row r="785" spans="1:5" x14ac:dyDescent="0.2">
      <c r="A785">
        <v>4</v>
      </c>
      <c r="B785">
        <f t="shared" si="33"/>
        <v>713.5</v>
      </c>
      <c r="C785">
        <v>5</v>
      </c>
      <c r="D785">
        <f t="shared" si="34"/>
        <v>756.5</v>
      </c>
      <c r="E785">
        <f t="shared" si="35"/>
        <v>1849</v>
      </c>
    </row>
    <row r="786" spans="1:5" x14ac:dyDescent="0.2">
      <c r="A786">
        <v>4</v>
      </c>
      <c r="B786">
        <f t="shared" si="33"/>
        <v>713.5</v>
      </c>
      <c r="C786">
        <v>5</v>
      </c>
      <c r="D786">
        <f t="shared" si="34"/>
        <v>756.5</v>
      </c>
      <c r="E786">
        <f t="shared" si="35"/>
        <v>1849</v>
      </c>
    </row>
    <row r="787" spans="1:5" x14ac:dyDescent="0.2">
      <c r="A787">
        <v>4</v>
      </c>
      <c r="B787">
        <f t="shared" si="33"/>
        <v>713.5</v>
      </c>
      <c r="C787">
        <v>5</v>
      </c>
      <c r="D787">
        <f t="shared" si="34"/>
        <v>756.5</v>
      </c>
      <c r="E787">
        <f t="shared" si="35"/>
        <v>1849</v>
      </c>
    </row>
    <row r="788" spans="1:5" x14ac:dyDescent="0.2">
      <c r="A788">
        <v>4</v>
      </c>
      <c r="B788">
        <f t="shared" si="33"/>
        <v>713.5</v>
      </c>
      <c r="C788">
        <v>5</v>
      </c>
      <c r="D788">
        <f t="shared" si="34"/>
        <v>756.5</v>
      </c>
      <c r="E788">
        <f t="shared" si="35"/>
        <v>1849</v>
      </c>
    </row>
    <row r="789" spans="1:5" x14ac:dyDescent="0.2">
      <c r="A789">
        <v>4</v>
      </c>
      <c r="B789">
        <f t="shared" si="33"/>
        <v>713.5</v>
      </c>
      <c r="C789">
        <v>5</v>
      </c>
      <c r="D789">
        <f t="shared" si="34"/>
        <v>756.5</v>
      </c>
      <c r="E789">
        <f t="shared" si="35"/>
        <v>1849</v>
      </c>
    </row>
    <row r="790" spans="1:5" x14ac:dyDescent="0.2">
      <c r="A790">
        <v>4</v>
      </c>
      <c r="B790">
        <f t="shared" si="33"/>
        <v>713.5</v>
      </c>
      <c r="C790">
        <v>5</v>
      </c>
      <c r="D790">
        <f t="shared" si="34"/>
        <v>756.5</v>
      </c>
      <c r="E790">
        <f t="shared" si="35"/>
        <v>1849</v>
      </c>
    </row>
    <row r="791" spans="1:5" x14ac:dyDescent="0.2">
      <c r="A791">
        <v>4</v>
      </c>
      <c r="B791">
        <f t="shared" si="33"/>
        <v>713.5</v>
      </c>
      <c r="C791">
        <v>5</v>
      </c>
      <c r="D791">
        <f t="shared" si="34"/>
        <v>756.5</v>
      </c>
      <c r="E791">
        <f t="shared" si="35"/>
        <v>1849</v>
      </c>
    </row>
    <row r="792" spans="1:5" x14ac:dyDescent="0.2">
      <c r="A792">
        <v>4</v>
      </c>
      <c r="B792">
        <f>_xlfn.RANK.AVG(A792,$A$23:$A$792,1)</f>
        <v>713.5</v>
      </c>
      <c r="C792">
        <v>5</v>
      </c>
      <c r="D792">
        <f>_xlfn.RANK.AVG(C792,$C$23:$C$792,1)</f>
        <v>756.5</v>
      </c>
      <c r="E792">
        <f>POWER(B792-D792,2)</f>
        <v>1849</v>
      </c>
    </row>
  </sheetData>
  <sortState xmlns:xlrd2="http://schemas.microsoft.com/office/spreadsheetml/2017/richdata2" ref="A23:A792">
    <sortCondition ref="A23:A792"/>
  </sortState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169D8-F0C3-0642-A598-D67571BA24CD}">
  <dimension ref="A1:Y825"/>
  <sheetViews>
    <sheetView tabSelected="1" topLeftCell="A73" zoomScale="108" zoomScaleNormal="118" workbookViewId="0">
      <selection activeCell="F97" sqref="F97"/>
    </sheetView>
  </sheetViews>
  <sheetFormatPr baseColWidth="10" defaultRowHeight="16" x14ac:dyDescent="0.2"/>
  <cols>
    <col min="1" max="1" width="35.1640625" bestFit="1" customWidth="1"/>
    <col min="2" max="2" width="20.5" bestFit="1" customWidth="1"/>
    <col min="3" max="3" width="3.1640625" bestFit="1" customWidth="1"/>
    <col min="4" max="4" width="4.1640625" bestFit="1" customWidth="1"/>
    <col min="5" max="9" width="11.5" bestFit="1" customWidth="1"/>
    <col min="10" max="10" width="4.33203125" customWidth="1"/>
    <col min="11" max="11" width="9" bestFit="1" customWidth="1"/>
    <col min="12" max="12" width="5.83203125" customWidth="1"/>
    <col min="13" max="13" width="9.83203125" customWidth="1"/>
    <col min="14" max="14" width="7.33203125" bestFit="1" customWidth="1"/>
    <col min="15" max="15" width="3.5" bestFit="1" customWidth="1"/>
    <col min="16" max="23" width="3.33203125" bestFit="1" customWidth="1"/>
    <col min="24" max="24" width="8" bestFit="1" customWidth="1"/>
    <col min="25" max="25" width="7.33203125" bestFit="1" customWidth="1"/>
    <col min="26" max="26" width="8.5" bestFit="1" customWidth="1"/>
    <col min="27" max="27" width="3.83203125" customWidth="1"/>
    <col min="28" max="44" width="3.33203125" bestFit="1" customWidth="1"/>
    <col min="45" max="45" width="4.33203125" bestFit="1" customWidth="1"/>
    <col min="46" max="48" width="4.83203125" bestFit="1" customWidth="1"/>
    <col min="49" max="49" width="6" bestFit="1" customWidth="1"/>
    <col min="50" max="52" width="4.83203125" bestFit="1" customWidth="1"/>
    <col min="53" max="53" width="6" bestFit="1" customWidth="1"/>
    <col min="54" max="73" width="4.83203125" bestFit="1" customWidth="1"/>
    <col min="74" max="74" width="6" bestFit="1" customWidth="1"/>
    <col min="75" max="76" width="4.83203125" bestFit="1" customWidth="1"/>
    <col min="77" max="77" width="6" bestFit="1" customWidth="1"/>
    <col min="78" max="78" width="4.83203125" bestFit="1" customWidth="1"/>
    <col min="79" max="79" width="11.5" bestFit="1" customWidth="1"/>
    <col min="80" max="80" width="4.6640625" bestFit="1" customWidth="1"/>
    <col min="81" max="81" width="5.6640625" bestFit="1" customWidth="1"/>
    <col min="82" max="97" width="4.6640625" bestFit="1" customWidth="1"/>
    <col min="98" max="99" width="5.6640625" bestFit="1" customWidth="1"/>
    <col min="100" max="102" width="4.6640625" bestFit="1" customWidth="1"/>
    <col min="103" max="103" width="5.6640625" bestFit="1" customWidth="1"/>
    <col min="104" max="104" width="4.6640625" bestFit="1" customWidth="1"/>
    <col min="105" max="105" width="11.5" bestFit="1" customWidth="1"/>
  </cols>
  <sheetData>
    <row r="1" spans="1:23" x14ac:dyDescent="0.2">
      <c r="A1" s="44" t="s">
        <v>108</v>
      </c>
      <c r="R1" s="1" t="s">
        <v>0</v>
      </c>
      <c r="S1" s="1" t="s">
        <v>2</v>
      </c>
      <c r="T1" s="1" t="s">
        <v>118</v>
      </c>
      <c r="U1" s="1" t="s">
        <v>4</v>
      </c>
      <c r="V1" s="1" t="s">
        <v>6</v>
      </c>
      <c r="W1" s="1" t="s">
        <v>9</v>
      </c>
    </row>
    <row r="2" spans="1:23" x14ac:dyDescent="0.2">
      <c r="R2" t="s">
        <v>116</v>
      </c>
      <c r="S2">
        <v>2</v>
      </c>
      <c r="T2" t="s">
        <v>119</v>
      </c>
      <c r="U2">
        <v>2</v>
      </c>
      <c r="V2" t="s">
        <v>106</v>
      </c>
      <c r="W2" s="8">
        <v>6</v>
      </c>
    </row>
    <row r="3" spans="1:23" x14ac:dyDescent="0.2">
      <c r="R3" t="s">
        <v>117</v>
      </c>
      <c r="S3">
        <v>2</v>
      </c>
      <c r="T3" t="s">
        <v>119</v>
      </c>
      <c r="U3">
        <v>1</v>
      </c>
      <c r="V3" t="s">
        <v>106</v>
      </c>
      <c r="W3" s="8">
        <v>33</v>
      </c>
    </row>
    <row r="4" spans="1:23" x14ac:dyDescent="0.2">
      <c r="R4" t="s">
        <v>116</v>
      </c>
      <c r="S4">
        <v>0</v>
      </c>
      <c r="T4" t="s">
        <v>120</v>
      </c>
      <c r="U4">
        <v>5</v>
      </c>
      <c r="V4" t="s">
        <v>106</v>
      </c>
      <c r="W4" s="8">
        <v>36.5</v>
      </c>
    </row>
    <row r="5" spans="1:23" x14ac:dyDescent="0.2">
      <c r="R5" t="s">
        <v>117</v>
      </c>
      <c r="S5">
        <v>4</v>
      </c>
      <c r="T5" t="s">
        <v>119</v>
      </c>
      <c r="U5">
        <v>2</v>
      </c>
      <c r="V5" t="s">
        <v>107</v>
      </c>
      <c r="W5" s="8">
        <v>40</v>
      </c>
    </row>
    <row r="6" spans="1:23" x14ac:dyDescent="0.2">
      <c r="R6" t="s">
        <v>117</v>
      </c>
      <c r="S6">
        <v>1</v>
      </c>
      <c r="T6" t="s">
        <v>120</v>
      </c>
      <c r="U6">
        <v>4</v>
      </c>
      <c r="V6" t="s">
        <v>106</v>
      </c>
      <c r="W6" s="8">
        <v>40</v>
      </c>
    </row>
    <row r="7" spans="1:23" x14ac:dyDescent="0.2">
      <c r="R7" t="s">
        <v>117</v>
      </c>
      <c r="S7">
        <v>4</v>
      </c>
      <c r="T7" t="s">
        <v>119</v>
      </c>
      <c r="U7">
        <v>3</v>
      </c>
      <c r="V7" t="s">
        <v>106</v>
      </c>
      <c r="W7" s="8">
        <v>40</v>
      </c>
    </row>
    <row r="8" spans="1:23" x14ac:dyDescent="0.2">
      <c r="R8" t="s">
        <v>117</v>
      </c>
      <c r="S8">
        <v>2</v>
      </c>
      <c r="T8" t="s">
        <v>120</v>
      </c>
      <c r="U8">
        <v>2</v>
      </c>
      <c r="V8" t="s">
        <v>106</v>
      </c>
      <c r="W8" s="8">
        <v>40</v>
      </c>
    </row>
    <row r="9" spans="1:23" x14ac:dyDescent="0.2">
      <c r="R9" t="s">
        <v>117</v>
      </c>
      <c r="S9">
        <v>3</v>
      </c>
      <c r="T9" t="s">
        <v>120</v>
      </c>
      <c r="U9">
        <v>3</v>
      </c>
      <c r="V9" t="s">
        <v>106</v>
      </c>
      <c r="W9" s="8">
        <v>40</v>
      </c>
    </row>
    <row r="10" spans="1:23" x14ac:dyDescent="0.2">
      <c r="R10" t="s">
        <v>117</v>
      </c>
      <c r="S10">
        <v>3</v>
      </c>
      <c r="T10" t="s">
        <v>119</v>
      </c>
      <c r="U10">
        <v>1</v>
      </c>
      <c r="V10" t="s">
        <v>106</v>
      </c>
      <c r="W10" s="8">
        <v>40</v>
      </c>
    </row>
    <row r="11" spans="1:23" x14ac:dyDescent="0.2">
      <c r="R11" t="s">
        <v>117</v>
      </c>
      <c r="S11">
        <v>1</v>
      </c>
      <c r="T11" t="s">
        <v>119</v>
      </c>
      <c r="U11">
        <v>2</v>
      </c>
      <c r="V11" t="s">
        <v>106</v>
      </c>
      <c r="W11" s="8">
        <v>42.5</v>
      </c>
    </row>
    <row r="12" spans="1:23" x14ac:dyDescent="0.2">
      <c r="R12" t="s">
        <v>117</v>
      </c>
      <c r="S12">
        <v>1</v>
      </c>
      <c r="T12" t="s">
        <v>119</v>
      </c>
      <c r="U12">
        <v>4</v>
      </c>
      <c r="V12" t="s">
        <v>106</v>
      </c>
      <c r="W12" s="8">
        <v>45</v>
      </c>
    </row>
    <row r="13" spans="1:23" x14ac:dyDescent="0.2">
      <c r="R13" t="s">
        <v>117</v>
      </c>
      <c r="S13">
        <v>2</v>
      </c>
      <c r="T13" t="s">
        <v>120</v>
      </c>
      <c r="U13">
        <v>2</v>
      </c>
      <c r="V13" t="s">
        <v>106</v>
      </c>
      <c r="W13" s="8">
        <v>45</v>
      </c>
    </row>
    <row r="14" spans="1:23" x14ac:dyDescent="0.2">
      <c r="R14" t="s">
        <v>117</v>
      </c>
      <c r="S14">
        <v>4</v>
      </c>
      <c r="T14" t="s">
        <v>119</v>
      </c>
      <c r="U14">
        <v>2</v>
      </c>
      <c r="V14" t="s">
        <v>106</v>
      </c>
      <c r="W14" s="8">
        <v>45</v>
      </c>
    </row>
    <row r="15" spans="1:23" x14ac:dyDescent="0.2">
      <c r="R15" t="s">
        <v>117</v>
      </c>
      <c r="S15">
        <v>2</v>
      </c>
      <c r="T15" t="s">
        <v>119</v>
      </c>
      <c r="U15">
        <v>2</v>
      </c>
      <c r="V15" t="s">
        <v>107</v>
      </c>
      <c r="W15" s="8">
        <v>45</v>
      </c>
    </row>
    <row r="16" spans="1:23" x14ac:dyDescent="0.2">
      <c r="R16" t="s">
        <v>117</v>
      </c>
      <c r="S16">
        <v>1</v>
      </c>
      <c r="T16" t="s">
        <v>119</v>
      </c>
      <c r="U16">
        <v>1</v>
      </c>
      <c r="V16" t="s">
        <v>106</v>
      </c>
      <c r="W16" s="8">
        <v>45</v>
      </c>
    </row>
    <row r="17" spans="1:23" x14ac:dyDescent="0.2">
      <c r="R17" t="s">
        <v>117</v>
      </c>
      <c r="S17">
        <v>1</v>
      </c>
      <c r="T17" t="s">
        <v>119</v>
      </c>
      <c r="U17">
        <v>2</v>
      </c>
      <c r="V17" t="s">
        <v>106</v>
      </c>
      <c r="W17" s="8">
        <v>45</v>
      </c>
    </row>
    <row r="18" spans="1:23" x14ac:dyDescent="0.2">
      <c r="R18" t="s">
        <v>117</v>
      </c>
      <c r="S18">
        <v>2</v>
      </c>
      <c r="T18" t="s">
        <v>120</v>
      </c>
      <c r="U18">
        <v>1</v>
      </c>
      <c r="V18" t="s">
        <v>106</v>
      </c>
      <c r="W18" s="8">
        <v>45</v>
      </c>
    </row>
    <row r="19" spans="1:23" x14ac:dyDescent="0.2">
      <c r="A19" s="44" t="s">
        <v>109</v>
      </c>
      <c r="R19" t="s">
        <v>116</v>
      </c>
      <c r="S19">
        <v>0</v>
      </c>
      <c r="T19" t="s">
        <v>119</v>
      </c>
      <c r="U19">
        <v>1</v>
      </c>
      <c r="V19" t="s">
        <v>107</v>
      </c>
      <c r="W19" s="8">
        <v>45</v>
      </c>
    </row>
    <row r="20" spans="1:23" x14ac:dyDescent="0.2">
      <c r="R20" t="s">
        <v>116</v>
      </c>
      <c r="S20">
        <v>0</v>
      </c>
      <c r="T20" t="s">
        <v>119</v>
      </c>
      <c r="U20">
        <v>3</v>
      </c>
      <c r="V20" t="s">
        <v>106</v>
      </c>
      <c r="W20" s="8">
        <v>45</v>
      </c>
    </row>
    <row r="21" spans="1:23" x14ac:dyDescent="0.2">
      <c r="R21" t="s">
        <v>116</v>
      </c>
      <c r="S21">
        <v>3</v>
      </c>
      <c r="T21" t="s">
        <v>120</v>
      </c>
      <c r="U21">
        <v>4</v>
      </c>
      <c r="V21" t="s">
        <v>107</v>
      </c>
      <c r="W21" s="8">
        <v>45</v>
      </c>
    </row>
    <row r="22" spans="1:23" x14ac:dyDescent="0.2">
      <c r="R22" t="s">
        <v>116</v>
      </c>
      <c r="S22">
        <v>1</v>
      </c>
      <c r="T22" t="s">
        <v>120</v>
      </c>
      <c r="U22">
        <v>2</v>
      </c>
      <c r="V22" t="s">
        <v>106</v>
      </c>
      <c r="W22" s="8">
        <v>46.5</v>
      </c>
    </row>
    <row r="23" spans="1:23" x14ac:dyDescent="0.2">
      <c r="R23" t="s">
        <v>117</v>
      </c>
      <c r="S23">
        <v>0</v>
      </c>
      <c r="T23" t="s">
        <v>119</v>
      </c>
      <c r="U23">
        <v>2</v>
      </c>
      <c r="V23" t="s">
        <v>107</v>
      </c>
      <c r="W23" s="8">
        <v>49.53</v>
      </c>
    </row>
    <row r="24" spans="1:23" x14ac:dyDescent="0.2">
      <c r="R24" t="s">
        <v>117</v>
      </c>
      <c r="S24">
        <v>0</v>
      </c>
      <c r="T24" t="s">
        <v>120</v>
      </c>
      <c r="U24">
        <v>5</v>
      </c>
      <c r="V24" t="s">
        <v>106</v>
      </c>
      <c r="W24" s="8">
        <v>50</v>
      </c>
    </row>
    <row r="25" spans="1:23" x14ac:dyDescent="0.2">
      <c r="R25" t="s">
        <v>117</v>
      </c>
      <c r="S25">
        <v>2</v>
      </c>
      <c r="T25" t="s">
        <v>119</v>
      </c>
      <c r="U25">
        <v>3</v>
      </c>
      <c r="V25" t="s">
        <v>106</v>
      </c>
      <c r="W25" s="8">
        <v>50</v>
      </c>
    </row>
    <row r="26" spans="1:23" x14ac:dyDescent="0.2">
      <c r="R26" t="s">
        <v>117</v>
      </c>
      <c r="S26">
        <v>4</v>
      </c>
      <c r="T26" t="s">
        <v>119</v>
      </c>
      <c r="U26">
        <v>4</v>
      </c>
      <c r="V26" t="s">
        <v>107</v>
      </c>
      <c r="W26" s="8">
        <v>50</v>
      </c>
    </row>
    <row r="27" spans="1:23" x14ac:dyDescent="0.2">
      <c r="R27" t="s">
        <v>117</v>
      </c>
      <c r="S27">
        <v>3</v>
      </c>
      <c r="T27" t="s">
        <v>120</v>
      </c>
      <c r="U27">
        <v>3</v>
      </c>
      <c r="V27" t="s">
        <v>106</v>
      </c>
      <c r="W27" s="8">
        <v>50</v>
      </c>
    </row>
    <row r="28" spans="1:23" x14ac:dyDescent="0.2">
      <c r="R28" t="s">
        <v>117</v>
      </c>
      <c r="S28">
        <v>1</v>
      </c>
      <c r="T28" t="s">
        <v>119</v>
      </c>
      <c r="U28">
        <v>2</v>
      </c>
      <c r="V28" t="s">
        <v>106</v>
      </c>
      <c r="W28" s="8">
        <v>50</v>
      </c>
    </row>
    <row r="29" spans="1:23" x14ac:dyDescent="0.2">
      <c r="R29" t="s">
        <v>117</v>
      </c>
      <c r="S29">
        <v>4</v>
      </c>
      <c r="T29" t="s">
        <v>119</v>
      </c>
      <c r="U29">
        <v>1</v>
      </c>
      <c r="V29" t="s">
        <v>106</v>
      </c>
      <c r="W29" s="8">
        <v>50</v>
      </c>
    </row>
    <row r="30" spans="1:23" x14ac:dyDescent="0.2">
      <c r="R30" t="s">
        <v>117</v>
      </c>
      <c r="S30">
        <v>1</v>
      </c>
      <c r="T30" t="s">
        <v>120</v>
      </c>
      <c r="U30">
        <v>1</v>
      </c>
      <c r="V30" t="s">
        <v>107</v>
      </c>
      <c r="W30" s="8">
        <v>50</v>
      </c>
    </row>
    <row r="31" spans="1:23" x14ac:dyDescent="0.2">
      <c r="R31" t="s">
        <v>116</v>
      </c>
      <c r="S31">
        <v>2</v>
      </c>
      <c r="T31" t="s">
        <v>119</v>
      </c>
      <c r="U31">
        <v>2</v>
      </c>
      <c r="V31" t="s">
        <v>106</v>
      </c>
      <c r="W31" s="8">
        <v>50</v>
      </c>
    </row>
    <row r="32" spans="1:23" x14ac:dyDescent="0.2">
      <c r="R32" t="s">
        <v>117</v>
      </c>
      <c r="S32">
        <v>0</v>
      </c>
      <c r="T32" t="s">
        <v>119</v>
      </c>
      <c r="U32">
        <v>1</v>
      </c>
      <c r="V32" t="s">
        <v>106</v>
      </c>
      <c r="W32" s="8">
        <v>50</v>
      </c>
    </row>
    <row r="33" spans="1:23" x14ac:dyDescent="0.2">
      <c r="R33" t="s">
        <v>117</v>
      </c>
      <c r="S33">
        <v>3</v>
      </c>
      <c r="T33" t="s">
        <v>119</v>
      </c>
      <c r="U33">
        <v>1</v>
      </c>
      <c r="V33" t="s">
        <v>106</v>
      </c>
      <c r="W33" s="8">
        <v>50</v>
      </c>
    </row>
    <row r="34" spans="1:23" x14ac:dyDescent="0.2">
      <c r="R34" t="s">
        <v>117</v>
      </c>
      <c r="S34">
        <v>1</v>
      </c>
      <c r="T34" t="s">
        <v>119</v>
      </c>
      <c r="U34">
        <v>3</v>
      </c>
      <c r="V34" t="s">
        <v>106</v>
      </c>
      <c r="W34" s="8">
        <v>50</v>
      </c>
    </row>
    <row r="35" spans="1:23" x14ac:dyDescent="0.2">
      <c r="R35" t="s">
        <v>116</v>
      </c>
      <c r="S35">
        <v>0</v>
      </c>
      <c r="T35" t="s">
        <v>119</v>
      </c>
      <c r="U35">
        <v>2</v>
      </c>
      <c r="V35" t="s">
        <v>106</v>
      </c>
      <c r="W35" s="8">
        <v>50</v>
      </c>
    </row>
    <row r="36" spans="1:23" x14ac:dyDescent="0.2">
      <c r="R36" t="s">
        <v>116</v>
      </c>
      <c r="S36">
        <v>0</v>
      </c>
      <c r="T36" t="s">
        <v>120</v>
      </c>
      <c r="U36">
        <v>1</v>
      </c>
      <c r="V36" t="s">
        <v>107</v>
      </c>
      <c r="W36" s="8">
        <v>50</v>
      </c>
    </row>
    <row r="37" spans="1:23" x14ac:dyDescent="0.2">
      <c r="R37" t="s">
        <v>116</v>
      </c>
      <c r="S37">
        <v>0</v>
      </c>
      <c r="T37" t="s">
        <v>119</v>
      </c>
      <c r="U37">
        <v>1</v>
      </c>
      <c r="V37" t="s">
        <v>106</v>
      </c>
      <c r="W37" s="8">
        <v>50</v>
      </c>
    </row>
    <row r="38" spans="1:23" x14ac:dyDescent="0.2">
      <c r="A38" s="44" t="s">
        <v>112</v>
      </c>
      <c r="R38" t="s">
        <v>116</v>
      </c>
      <c r="S38">
        <v>0</v>
      </c>
      <c r="T38" t="s">
        <v>120</v>
      </c>
      <c r="U38">
        <v>5</v>
      </c>
      <c r="V38" t="s">
        <v>106</v>
      </c>
      <c r="W38" s="8">
        <v>50</v>
      </c>
    </row>
    <row r="39" spans="1:23" x14ac:dyDescent="0.2">
      <c r="R39" t="s">
        <v>116</v>
      </c>
      <c r="S39">
        <v>1</v>
      </c>
      <c r="T39" t="s">
        <v>120</v>
      </c>
      <c r="U39">
        <v>5</v>
      </c>
      <c r="V39" t="s">
        <v>107</v>
      </c>
      <c r="W39" s="8">
        <v>50</v>
      </c>
    </row>
    <row r="40" spans="1:23" x14ac:dyDescent="0.2">
      <c r="R40" t="s">
        <v>116</v>
      </c>
      <c r="S40">
        <v>3</v>
      </c>
      <c r="T40" t="s">
        <v>119</v>
      </c>
      <c r="U40">
        <v>3</v>
      </c>
      <c r="V40" t="s">
        <v>106</v>
      </c>
      <c r="W40" s="8">
        <v>50</v>
      </c>
    </row>
    <row r="41" spans="1:23" x14ac:dyDescent="0.2">
      <c r="R41" t="s">
        <v>116</v>
      </c>
      <c r="S41">
        <v>1</v>
      </c>
      <c r="T41" t="s">
        <v>120</v>
      </c>
      <c r="U41">
        <v>4</v>
      </c>
      <c r="V41" t="s">
        <v>106</v>
      </c>
      <c r="W41" s="8">
        <v>50</v>
      </c>
    </row>
    <row r="42" spans="1:23" x14ac:dyDescent="0.2">
      <c r="R42" t="s">
        <v>116</v>
      </c>
      <c r="S42">
        <v>1</v>
      </c>
      <c r="T42" t="s">
        <v>120</v>
      </c>
      <c r="U42">
        <v>3</v>
      </c>
      <c r="V42" t="s">
        <v>106</v>
      </c>
      <c r="W42" s="8">
        <v>50</v>
      </c>
    </row>
    <row r="43" spans="1:23" x14ac:dyDescent="0.2">
      <c r="R43" t="s">
        <v>116</v>
      </c>
      <c r="S43">
        <v>1</v>
      </c>
      <c r="T43" t="s">
        <v>119</v>
      </c>
      <c r="U43">
        <v>2</v>
      </c>
      <c r="V43" t="s">
        <v>107</v>
      </c>
      <c r="W43" s="8">
        <v>50</v>
      </c>
    </row>
    <row r="44" spans="1:23" x14ac:dyDescent="0.2">
      <c r="R44" t="s">
        <v>116</v>
      </c>
      <c r="S44">
        <v>2</v>
      </c>
      <c r="T44" t="s">
        <v>119</v>
      </c>
      <c r="U44">
        <v>2</v>
      </c>
      <c r="V44" t="s">
        <v>106</v>
      </c>
      <c r="W44" s="8">
        <v>50.6</v>
      </c>
    </row>
    <row r="45" spans="1:23" x14ac:dyDescent="0.2">
      <c r="R45" t="s">
        <v>116</v>
      </c>
      <c r="S45">
        <v>2</v>
      </c>
      <c r="T45" t="s">
        <v>120</v>
      </c>
      <c r="U45">
        <v>4</v>
      </c>
      <c r="V45" t="s">
        <v>107</v>
      </c>
      <c r="W45" s="8">
        <v>52</v>
      </c>
    </row>
    <row r="46" spans="1:23" x14ac:dyDescent="0.2">
      <c r="R46" t="s">
        <v>116</v>
      </c>
      <c r="S46">
        <v>3</v>
      </c>
      <c r="T46" t="s">
        <v>119</v>
      </c>
      <c r="U46">
        <v>5</v>
      </c>
      <c r="V46" t="s">
        <v>106</v>
      </c>
      <c r="W46" s="8">
        <v>53</v>
      </c>
    </row>
    <row r="47" spans="1:23" x14ac:dyDescent="0.2">
      <c r="R47" t="s">
        <v>116</v>
      </c>
      <c r="S47">
        <v>1</v>
      </c>
      <c r="T47" t="s">
        <v>119</v>
      </c>
      <c r="U47">
        <v>2</v>
      </c>
      <c r="V47" t="s">
        <v>106</v>
      </c>
      <c r="W47" s="8">
        <v>53</v>
      </c>
    </row>
    <row r="48" spans="1:23" x14ac:dyDescent="0.2">
      <c r="R48" t="s">
        <v>117</v>
      </c>
      <c r="S48">
        <v>0</v>
      </c>
      <c r="T48" t="s">
        <v>119</v>
      </c>
      <c r="U48">
        <v>2</v>
      </c>
      <c r="V48" t="s">
        <v>106</v>
      </c>
      <c r="W48" s="8">
        <v>55</v>
      </c>
    </row>
    <row r="49" spans="1:23" x14ac:dyDescent="0.2">
      <c r="R49" t="s">
        <v>117</v>
      </c>
      <c r="S49">
        <v>0</v>
      </c>
      <c r="T49" t="s">
        <v>120</v>
      </c>
      <c r="U49">
        <v>2</v>
      </c>
      <c r="V49" t="s">
        <v>107</v>
      </c>
      <c r="W49" s="8">
        <v>55</v>
      </c>
    </row>
    <row r="50" spans="1:23" x14ac:dyDescent="0.2">
      <c r="R50" t="s">
        <v>117</v>
      </c>
      <c r="S50">
        <v>3</v>
      </c>
      <c r="T50" t="s">
        <v>120</v>
      </c>
      <c r="U50">
        <v>3</v>
      </c>
      <c r="V50" t="s">
        <v>106</v>
      </c>
      <c r="W50" s="8">
        <v>55</v>
      </c>
    </row>
    <row r="51" spans="1:23" x14ac:dyDescent="0.2">
      <c r="R51" t="s">
        <v>117</v>
      </c>
      <c r="S51">
        <v>4</v>
      </c>
      <c r="T51" t="s">
        <v>120</v>
      </c>
      <c r="U51">
        <v>2</v>
      </c>
      <c r="V51" t="s">
        <v>107</v>
      </c>
      <c r="W51" s="8">
        <v>55</v>
      </c>
    </row>
    <row r="52" spans="1:23" x14ac:dyDescent="0.2">
      <c r="R52" t="s">
        <v>117</v>
      </c>
      <c r="S52">
        <v>1</v>
      </c>
      <c r="T52" t="s">
        <v>119</v>
      </c>
      <c r="U52">
        <v>1</v>
      </c>
      <c r="V52" t="s">
        <v>106</v>
      </c>
      <c r="W52" s="8">
        <v>55</v>
      </c>
    </row>
    <row r="53" spans="1:23" x14ac:dyDescent="0.2">
      <c r="R53" t="s">
        <v>117</v>
      </c>
      <c r="S53">
        <v>4</v>
      </c>
      <c r="T53" t="s">
        <v>120</v>
      </c>
      <c r="U53">
        <v>1</v>
      </c>
      <c r="V53" t="s">
        <v>106</v>
      </c>
      <c r="W53" s="8">
        <v>55</v>
      </c>
    </row>
    <row r="54" spans="1:23" x14ac:dyDescent="0.2">
      <c r="R54" t="s">
        <v>117</v>
      </c>
      <c r="S54">
        <v>4</v>
      </c>
      <c r="T54" t="s">
        <v>120</v>
      </c>
      <c r="U54">
        <v>3</v>
      </c>
      <c r="V54" t="s">
        <v>106</v>
      </c>
      <c r="W54" s="8">
        <v>55</v>
      </c>
    </row>
    <row r="55" spans="1:23" x14ac:dyDescent="0.2">
      <c r="R55" t="s">
        <v>117</v>
      </c>
      <c r="S55">
        <v>1</v>
      </c>
      <c r="T55" t="s">
        <v>120</v>
      </c>
      <c r="U55">
        <v>3</v>
      </c>
      <c r="V55" t="s">
        <v>106</v>
      </c>
      <c r="W55" s="8">
        <v>55</v>
      </c>
    </row>
    <row r="56" spans="1:23" x14ac:dyDescent="0.2">
      <c r="R56" t="s">
        <v>117</v>
      </c>
      <c r="S56">
        <v>2</v>
      </c>
      <c r="T56" t="s">
        <v>119</v>
      </c>
      <c r="U56">
        <v>3</v>
      </c>
      <c r="V56" t="s">
        <v>106</v>
      </c>
      <c r="W56" s="8">
        <v>55</v>
      </c>
    </row>
    <row r="57" spans="1:23" x14ac:dyDescent="0.2">
      <c r="A57" s="44" t="s">
        <v>114</v>
      </c>
      <c r="R57" t="s">
        <v>117</v>
      </c>
      <c r="S57">
        <v>4</v>
      </c>
      <c r="T57" t="s">
        <v>120</v>
      </c>
      <c r="U57">
        <v>3</v>
      </c>
      <c r="V57" t="s">
        <v>106</v>
      </c>
      <c r="W57" s="8">
        <v>55</v>
      </c>
    </row>
    <row r="58" spans="1:23" x14ac:dyDescent="0.2">
      <c r="R58" t="s">
        <v>117</v>
      </c>
      <c r="S58">
        <v>2</v>
      </c>
      <c r="T58" t="s">
        <v>119</v>
      </c>
      <c r="U58">
        <v>1</v>
      </c>
      <c r="V58" t="s">
        <v>106</v>
      </c>
      <c r="W58" s="8">
        <v>55</v>
      </c>
    </row>
    <row r="59" spans="1:23" x14ac:dyDescent="0.2">
      <c r="A59" s="5" t="s">
        <v>95</v>
      </c>
      <c r="B59" s="5" t="s">
        <v>94</v>
      </c>
      <c r="R59" t="s">
        <v>117</v>
      </c>
      <c r="S59">
        <v>1</v>
      </c>
      <c r="T59" t="s">
        <v>119</v>
      </c>
      <c r="U59">
        <v>1</v>
      </c>
      <c r="V59" t="s">
        <v>106</v>
      </c>
      <c r="W59" s="8">
        <v>55</v>
      </c>
    </row>
    <row r="60" spans="1:23" x14ac:dyDescent="0.2">
      <c r="B60" t="s">
        <v>122</v>
      </c>
      <c r="E60" t="s">
        <v>123</v>
      </c>
      <c r="H60" t="s">
        <v>20</v>
      </c>
      <c r="R60" t="s">
        <v>117</v>
      </c>
      <c r="S60">
        <v>2</v>
      </c>
      <c r="T60" t="s">
        <v>119</v>
      </c>
      <c r="U60">
        <v>1</v>
      </c>
      <c r="V60" t="s">
        <v>106</v>
      </c>
      <c r="W60" s="8">
        <v>55</v>
      </c>
    </row>
    <row r="61" spans="1:23" x14ac:dyDescent="0.2">
      <c r="A61" s="5" t="s">
        <v>19</v>
      </c>
      <c r="B61">
        <v>0</v>
      </c>
      <c r="C61">
        <v>1</v>
      </c>
      <c r="D61">
        <v>2</v>
      </c>
      <c r="E61">
        <v>3</v>
      </c>
      <c r="F61">
        <v>4</v>
      </c>
      <c r="G61">
        <v>5</v>
      </c>
      <c r="R61" t="s">
        <v>117</v>
      </c>
      <c r="S61">
        <v>4</v>
      </c>
      <c r="T61" t="s">
        <v>119</v>
      </c>
      <c r="U61">
        <v>1</v>
      </c>
      <c r="V61" t="s">
        <v>107</v>
      </c>
      <c r="W61" s="8">
        <v>55</v>
      </c>
    </row>
    <row r="62" spans="1:23" x14ac:dyDescent="0.2">
      <c r="A62" s="6">
        <v>1</v>
      </c>
      <c r="B62">
        <v>26</v>
      </c>
      <c r="C62">
        <v>17</v>
      </c>
      <c r="D62">
        <v>16</v>
      </c>
      <c r="E62">
        <v>14</v>
      </c>
      <c r="F62">
        <v>18</v>
      </c>
      <c r="G62">
        <v>21</v>
      </c>
      <c r="H62">
        <v>112</v>
      </c>
      <c r="R62" t="s">
        <v>117</v>
      </c>
      <c r="S62">
        <v>3</v>
      </c>
      <c r="T62" t="s">
        <v>120</v>
      </c>
      <c r="U62">
        <v>2</v>
      </c>
      <c r="V62" t="s">
        <v>106</v>
      </c>
      <c r="W62" s="8">
        <v>55</v>
      </c>
    </row>
    <row r="63" spans="1:23" x14ac:dyDescent="0.2">
      <c r="A63" s="6">
        <v>2</v>
      </c>
      <c r="B63">
        <v>12</v>
      </c>
      <c r="C63">
        <v>18</v>
      </c>
      <c r="D63">
        <v>12</v>
      </c>
      <c r="E63">
        <v>23</v>
      </c>
      <c r="F63">
        <v>15</v>
      </c>
      <c r="G63">
        <v>26</v>
      </c>
      <c r="H63">
        <v>106</v>
      </c>
      <c r="R63" t="s">
        <v>117</v>
      </c>
      <c r="S63">
        <v>4</v>
      </c>
      <c r="T63" t="s">
        <v>119</v>
      </c>
      <c r="U63">
        <v>1</v>
      </c>
      <c r="V63" t="s">
        <v>106</v>
      </c>
      <c r="W63" s="8">
        <v>55</v>
      </c>
    </row>
    <row r="64" spans="1:23" x14ac:dyDescent="0.2">
      <c r="A64" s="6">
        <v>4</v>
      </c>
      <c r="B64">
        <v>38</v>
      </c>
      <c r="C64">
        <v>30</v>
      </c>
      <c r="D64">
        <v>11</v>
      </c>
      <c r="E64">
        <v>23</v>
      </c>
      <c r="F64">
        <v>11</v>
      </c>
      <c r="G64">
        <v>35</v>
      </c>
      <c r="H64">
        <v>148</v>
      </c>
      <c r="R64" t="s">
        <v>117</v>
      </c>
      <c r="S64">
        <v>1</v>
      </c>
      <c r="T64" t="s">
        <v>119</v>
      </c>
      <c r="U64">
        <v>2</v>
      </c>
      <c r="V64" t="s">
        <v>107</v>
      </c>
      <c r="W64" s="8">
        <v>55</v>
      </c>
    </row>
    <row r="65" spans="1:23" x14ac:dyDescent="0.2">
      <c r="A65" s="6">
        <v>8</v>
      </c>
      <c r="B65">
        <v>56</v>
      </c>
      <c r="C65">
        <v>23</v>
      </c>
      <c r="D65">
        <v>10</v>
      </c>
      <c r="E65">
        <v>17</v>
      </c>
      <c r="F65">
        <v>16</v>
      </c>
      <c r="G65">
        <v>18</v>
      </c>
      <c r="H65">
        <v>140</v>
      </c>
      <c r="R65" t="s">
        <v>117</v>
      </c>
      <c r="S65">
        <v>3</v>
      </c>
      <c r="T65" t="s">
        <v>120</v>
      </c>
      <c r="U65">
        <v>3</v>
      </c>
      <c r="V65" t="s">
        <v>106</v>
      </c>
      <c r="W65" s="8">
        <v>55.5</v>
      </c>
    </row>
    <row r="66" spans="1:23" x14ac:dyDescent="0.2">
      <c r="A66" s="6" t="s">
        <v>20</v>
      </c>
      <c r="B66">
        <v>132</v>
      </c>
      <c r="C66">
        <v>88</v>
      </c>
      <c r="D66">
        <v>49</v>
      </c>
      <c r="E66">
        <v>77</v>
      </c>
      <c r="F66">
        <v>60</v>
      </c>
      <c r="G66">
        <v>100</v>
      </c>
      <c r="H66">
        <v>506</v>
      </c>
      <c r="R66" t="s">
        <v>117</v>
      </c>
      <c r="S66">
        <v>4</v>
      </c>
      <c r="T66" t="s">
        <v>120</v>
      </c>
      <c r="U66">
        <v>2</v>
      </c>
      <c r="V66" t="s">
        <v>107</v>
      </c>
      <c r="W66" s="8">
        <v>55.5</v>
      </c>
    </row>
    <row r="67" spans="1:23" x14ac:dyDescent="0.2">
      <c r="R67" t="s">
        <v>117</v>
      </c>
      <c r="S67">
        <v>3</v>
      </c>
      <c r="T67" t="s">
        <v>119</v>
      </c>
      <c r="U67">
        <v>1</v>
      </c>
      <c r="V67" t="s">
        <v>106</v>
      </c>
      <c r="W67" s="8">
        <v>56</v>
      </c>
    </row>
    <row r="68" spans="1:23" x14ac:dyDescent="0.2">
      <c r="R68" t="s">
        <v>117</v>
      </c>
      <c r="S68">
        <v>2</v>
      </c>
      <c r="T68" t="s">
        <v>119</v>
      </c>
      <c r="U68">
        <v>2</v>
      </c>
      <c r="V68" t="s">
        <v>107</v>
      </c>
      <c r="W68" s="8">
        <v>56.5</v>
      </c>
    </row>
    <row r="69" spans="1:23" x14ac:dyDescent="0.2">
      <c r="R69" t="s">
        <v>117</v>
      </c>
      <c r="S69">
        <v>3</v>
      </c>
      <c r="T69" t="s">
        <v>119</v>
      </c>
      <c r="U69">
        <v>1</v>
      </c>
      <c r="V69" t="s">
        <v>107</v>
      </c>
      <c r="W69" s="8">
        <v>57</v>
      </c>
    </row>
    <row r="70" spans="1:23" x14ac:dyDescent="0.2">
      <c r="R70" t="s">
        <v>117</v>
      </c>
      <c r="S70">
        <v>1</v>
      </c>
      <c r="T70" t="s">
        <v>120</v>
      </c>
      <c r="U70">
        <v>2</v>
      </c>
      <c r="V70" t="s">
        <v>106</v>
      </c>
      <c r="W70" s="8">
        <v>57.75</v>
      </c>
    </row>
    <row r="71" spans="1:23" x14ac:dyDescent="0.2">
      <c r="R71" t="s">
        <v>117</v>
      </c>
      <c r="S71">
        <v>1</v>
      </c>
      <c r="T71" t="s">
        <v>120</v>
      </c>
      <c r="U71">
        <v>2</v>
      </c>
      <c r="V71" t="s">
        <v>106</v>
      </c>
      <c r="W71" s="8">
        <v>60</v>
      </c>
    </row>
    <row r="72" spans="1:23" x14ac:dyDescent="0.2">
      <c r="R72" t="s">
        <v>117</v>
      </c>
      <c r="S72">
        <v>1</v>
      </c>
      <c r="T72" t="s">
        <v>119</v>
      </c>
      <c r="U72">
        <v>3</v>
      </c>
      <c r="V72" t="s">
        <v>106</v>
      </c>
      <c r="W72" s="8">
        <v>60</v>
      </c>
    </row>
    <row r="73" spans="1:23" x14ac:dyDescent="0.2">
      <c r="R73" t="s">
        <v>116</v>
      </c>
      <c r="S73">
        <v>1</v>
      </c>
      <c r="T73" t="s">
        <v>120</v>
      </c>
      <c r="U73">
        <v>2</v>
      </c>
      <c r="V73" t="s">
        <v>106</v>
      </c>
      <c r="W73" s="8">
        <v>60</v>
      </c>
    </row>
    <row r="74" spans="1:23" x14ac:dyDescent="0.2">
      <c r="R74" t="s">
        <v>117</v>
      </c>
      <c r="S74">
        <v>3</v>
      </c>
      <c r="T74" t="s">
        <v>119</v>
      </c>
      <c r="U74">
        <v>1</v>
      </c>
      <c r="V74" t="s">
        <v>106</v>
      </c>
      <c r="W74" s="8">
        <v>60</v>
      </c>
    </row>
    <row r="75" spans="1:23" x14ac:dyDescent="0.2">
      <c r="R75" t="s">
        <v>116</v>
      </c>
      <c r="S75">
        <v>0</v>
      </c>
      <c r="T75" t="s">
        <v>120</v>
      </c>
      <c r="U75">
        <v>4</v>
      </c>
      <c r="V75" t="s">
        <v>106</v>
      </c>
      <c r="W75" s="8">
        <v>60</v>
      </c>
    </row>
    <row r="76" spans="1:23" x14ac:dyDescent="0.2">
      <c r="R76" t="s">
        <v>116</v>
      </c>
      <c r="S76">
        <v>1</v>
      </c>
      <c r="T76" t="s">
        <v>120</v>
      </c>
      <c r="U76">
        <v>3</v>
      </c>
      <c r="V76" t="s">
        <v>106</v>
      </c>
      <c r="W76" s="8">
        <v>60</v>
      </c>
    </row>
    <row r="77" spans="1:23" x14ac:dyDescent="0.2">
      <c r="R77" t="s">
        <v>116</v>
      </c>
      <c r="S77">
        <v>1</v>
      </c>
      <c r="T77" t="s">
        <v>119</v>
      </c>
      <c r="U77">
        <v>4</v>
      </c>
      <c r="V77" t="s">
        <v>106</v>
      </c>
      <c r="W77" s="8">
        <v>60</v>
      </c>
    </row>
    <row r="78" spans="1:23" x14ac:dyDescent="0.2">
      <c r="R78" t="s">
        <v>116</v>
      </c>
      <c r="S78">
        <v>0</v>
      </c>
      <c r="T78" t="s">
        <v>120</v>
      </c>
      <c r="U78">
        <v>2</v>
      </c>
      <c r="V78" t="s">
        <v>106</v>
      </c>
      <c r="W78" s="8">
        <v>60</v>
      </c>
    </row>
    <row r="79" spans="1:23" x14ac:dyDescent="0.2">
      <c r="R79" t="s">
        <v>116</v>
      </c>
      <c r="S79">
        <v>0</v>
      </c>
      <c r="T79" t="s">
        <v>119</v>
      </c>
      <c r="U79">
        <v>1</v>
      </c>
      <c r="V79" t="s">
        <v>106</v>
      </c>
      <c r="W79" s="8">
        <v>60</v>
      </c>
    </row>
    <row r="80" spans="1:23" x14ac:dyDescent="0.2">
      <c r="R80" t="s">
        <v>116</v>
      </c>
      <c r="S80">
        <v>0</v>
      </c>
      <c r="T80" t="s">
        <v>119</v>
      </c>
      <c r="U80">
        <v>2</v>
      </c>
      <c r="V80" t="s">
        <v>107</v>
      </c>
      <c r="W80" s="8">
        <v>60</v>
      </c>
    </row>
    <row r="81" spans="1:23" x14ac:dyDescent="0.2">
      <c r="R81" t="s">
        <v>116</v>
      </c>
      <c r="S81">
        <v>0</v>
      </c>
      <c r="T81" t="s">
        <v>119</v>
      </c>
      <c r="U81">
        <v>2</v>
      </c>
      <c r="V81" t="s">
        <v>107</v>
      </c>
      <c r="W81" s="8">
        <v>60</v>
      </c>
    </row>
    <row r="82" spans="1:23" x14ac:dyDescent="0.2">
      <c r="R82" t="s">
        <v>116</v>
      </c>
      <c r="S82">
        <v>0</v>
      </c>
      <c r="T82" t="s">
        <v>119</v>
      </c>
      <c r="U82">
        <v>1</v>
      </c>
      <c r="V82" t="s">
        <v>106</v>
      </c>
      <c r="W82" s="8">
        <v>60</v>
      </c>
    </row>
    <row r="83" spans="1:23" x14ac:dyDescent="0.2">
      <c r="R83" t="s">
        <v>116</v>
      </c>
      <c r="S83">
        <v>3</v>
      </c>
      <c r="T83" t="s">
        <v>120</v>
      </c>
      <c r="U83">
        <v>3</v>
      </c>
      <c r="V83" t="s">
        <v>107</v>
      </c>
      <c r="W83" s="8">
        <v>60</v>
      </c>
    </row>
    <row r="84" spans="1:23" x14ac:dyDescent="0.2">
      <c r="R84" t="s">
        <v>116</v>
      </c>
      <c r="S84">
        <v>3</v>
      </c>
      <c r="T84" t="s">
        <v>119</v>
      </c>
      <c r="U84">
        <v>1</v>
      </c>
      <c r="V84" t="s">
        <v>107</v>
      </c>
      <c r="W84" s="8">
        <v>60</v>
      </c>
    </row>
    <row r="85" spans="1:23" x14ac:dyDescent="0.2">
      <c r="A85" s="44" t="s">
        <v>121</v>
      </c>
      <c r="R85" t="s">
        <v>116</v>
      </c>
      <c r="S85">
        <v>1</v>
      </c>
      <c r="T85" t="s">
        <v>119</v>
      </c>
      <c r="U85">
        <v>2</v>
      </c>
      <c r="V85" t="s">
        <v>107</v>
      </c>
      <c r="W85" s="8">
        <v>60</v>
      </c>
    </row>
    <row r="86" spans="1:23" x14ac:dyDescent="0.2">
      <c r="R86" t="s">
        <v>116</v>
      </c>
      <c r="S86">
        <v>1</v>
      </c>
      <c r="T86" t="s">
        <v>120</v>
      </c>
      <c r="U86">
        <v>2</v>
      </c>
      <c r="V86" t="s">
        <v>107</v>
      </c>
      <c r="W86" s="8">
        <v>60</v>
      </c>
    </row>
    <row r="87" spans="1:23" x14ac:dyDescent="0.2">
      <c r="R87" t="s">
        <v>116</v>
      </c>
      <c r="S87">
        <v>2</v>
      </c>
      <c r="T87" t="s">
        <v>120</v>
      </c>
      <c r="U87">
        <v>1</v>
      </c>
      <c r="V87" t="s">
        <v>106</v>
      </c>
      <c r="W87" s="8">
        <v>60</v>
      </c>
    </row>
    <row r="88" spans="1:23" x14ac:dyDescent="0.2">
      <c r="R88" t="s">
        <v>116</v>
      </c>
      <c r="S88">
        <v>3</v>
      </c>
      <c r="T88" t="s">
        <v>120</v>
      </c>
      <c r="U88">
        <v>2</v>
      </c>
      <c r="V88" t="s">
        <v>107</v>
      </c>
      <c r="W88" s="8">
        <v>60</v>
      </c>
    </row>
    <row r="89" spans="1:23" x14ac:dyDescent="0.2">
      <c r="R89" t="s">
        <v>116</v>
      </c>
      <c r="S89">
        <v>4</v>
      </c>
      <c r="T89" t="s">
        <v>119</v>
      </c>
      <c r="U89">
        <v>1</v>
      </c>
      <c r="V89" t="s">
        <v>106</v>
      </c>
      <c r="W89" s="8">
        <v>60</v>
      </c>
    </row>
    <row r="90" spans="1:23" x14ac:dyDescent="0.2">
      <c r="R90" t="s">
        <v>117</v>
      </c>
      <c r="S90">
        <v>2</v>
      </c>
      <c r="T90" t="s">
        <v>119</v>
      </c>
      <c r="U90">
        <v>3</v>
      </c>
      <c r="V90" t="s">
        <v>107</v>
      </c>
      <c r="W90" s="8">
        <v>60</v>
      </c>
    </row>
    <row r="91" spans="1:23" x14ac:dyDescent="0.2">
      <c r="R91" t="s">
        <v>117</v>
      </c>
      <c r="S91">
        <v>4</v>
      </c>
      <c r="T91" t="s">
        <v>119</v>
      </c>
      <c r="U91">
        <v>3</v>
      </c>
      <c r="V91" t="s">
        <v>106</v>
      </c>
      <c r="W91" s="8">
        <v>60</v>
      </c>
    </row>
    <row r="92" spans="1:23" x14ac:dyDescent="0.2">
      <c r="R92" t="s">
        <v>117</v>
      </c>
      <c r="S92">
        <v>1</v>
      </c>
      <c r="T92" t="s">
        <v>120</v>
      </c>
      <c r="U92">
        <v>3</v>
      </c>
      <c r="V92" t="s">
        <v>106</v>
      </c>
      <c r="W92" s="8">
        <v>60.5</v>
      </c>
    </row>
    <row r="93" spans="1:23" x14ac:dyDescent="0.2">
      <c r="R93" t="s">
        <v>117</v>
      </c>
      <c r="S93">
        <v>4</v>
      </c>
      <c r="T93" t="s">
        <v>120</v>
      </c>
      <c r="U93">
        <v>3</v>
      </c>
      <c r="V93" t="s">
        <v>106</v>
      </c>
      <c r="W93" s="8">
        <v>60.5</v>
      </c>
    </row>
    <row r="94" spans="1:23" x14ac:dyDescent="0.2">
      <c r="R94" t="s">
        <v>117</v>
      </c>
      <c r="S94">
        <v>4</v>
      </c>
      <c r="T94" t="s">
        <v>119</v>
      </c>
      <c r="U94">
        <v>1</v>
      </c>
      <c r="V94" t="s">
        <v>106</v>
      </c>
      <c r="W94" s="8">
        <v>61</v>
      </c>
    </row>
    <row r="95" spans="1:23" x14ac:dyDescent="0.2">
      <c r="R95" t="s">
        <v>117</v>
      </c>
      <c r="S95">
        <v>1</v>
      </c>
      <c r="T95" t="s">
        <v>119</v>
      </c>
      <c r="U95">
        <v>1</v>
      </c>
      <c r="V95" t="s">
        <v>107</v>
      </c>
      <c r="W95" s="8">
        <v>62</v>
      </c>
    </row>
    <row r="96" spans="1:23" x14ac:dyDescent="0.2">
      <c r="A96" t="s">
        <v>107</v>
      </c>
      <c r="B96">
        <v>123</v>
      </c>
      <c r="R96" t="s">
        <v>117</v>
      </c>
      <c r="S96">
        <v>4</v>
      </c>
      <c r="T96" t="s">
        <v>119</v>
      </c>
      <c r="U96">
        <v>2</v>
      </c>
      <c r="V96" t="s">
        <v>106</v>
      </c>
      <c r="W96" s="8">
        <v>62</v>
      </c>
    </row>
    <row r="97" spans="1:23" x14ac:dyDescent="0.2">
      <c r="A97" t="s">
        <v>106</v>
      </c>
      <c r="B97">
        <v>93</v>
      </c>
      <c r="R97" t="s">
        <v>117</v>
      </c>
      <c r="S97">
        <v>1</v>
      </c>
      <c r="T97" t="s">
        <v>119</v>
      </c>
      <c r="U97">
        <v>2</v>
      </c>
      <c r="V97" t="s">
        <v>106</v>
      </c>
      <c r="W97" s="8">
        <v>62</v>
      </c>
    </row>
    <row r="98" spans="1:23" x14ac:dyDescent="0.2">
      <c r="R98" t="s">
        <v>117</v>
      </c>
      <c r="S98">
        <v>2</v>
      </c>
      <c r="T98" t="s">
        <v>119</v>
      </c>
      <c r="U98">
        <v>2</v>
      </c>
      <c r="V98" t="s">
        <v>106</v>
      </c>
      <c r="W98" s="8">
        <v>62</v>
      </c>
    </row>
    <row r="99" spans="1:23" x14ac:dyDescent="0.2">
      <c r="R99" t="s">
        <v>117</v>
      </c>
      <c r="S99">
        <v>1</v>
      </c>
      <c r="T99" t="s">
        <v>119</v>
      </c>
      <c r="U99">
        <v>1</v>
      </c>
      <c r="V99" t="s">
        <v>106</v>
      </c>
      <c r="W99" s="8">
        <v>63</v>
      </c>
    </row>
    <row r="100" spans="1:23" x14ac:dyDescent="0.2">
      <c r="R100" t="s">
        <v>117</v>
      </c>
      <c r="S100">
        <v>1</v>
      </c>
      <c r="T100" t="s">
        <v>119</v>
      </c>
      <c r="U100">
        <v>1</v>
      </c>
      <c r="V100" t="s">
        <v>107</v>
      </c>
      <c r="W100" s="8">
        <v>63</v>
      </c>
    </row>
    <row r="101" spans="1:23" x14ac:dyDescent="0.2">
      <c r="R101" t="s">
        <v>117</v>
      </c>
      <c r="S101">
        <v>3</v>
      </c>
      <c r="T101" t="s">
        <v>119</v>
      </c>
      <c r="U101">
        <v>2</v>
      </c>
      <c r="V101" t="s">
        <v>107</v>
      </c>
      <c r="W101" s="8">
        <v>63</v>
      </c>
    </row>
    <row r="102" spans="1:23" x14ac:dyDescent="0.2">
      <c r="R102" t="s">
        <v>117</v>
      </c>
      <c r="S102">
        <v>1</v>
      </c>
      <c r="T102" t="s">
        <v>120</v>
      </c>
      <c r="U102">
        <v>3</v>
      </c>
      <c r="V102" t="s">
        <v>106</v>
      </c>
      <c r="W102" s="8">
        <v>63</v>
      </c>
    </row>
    <row r="103" spans="1:23" x14ac:dyDescent="0.2">
      <c r="R103" t="s">
        <v>117</v>
      </c>
      <c r="S103">
        <v>2</v>
      </c>
      <c r="T103" t="s">
        <v>119</v>
      </c>
      <c r="U103">
        <v>2</v>
      </c>
      <c r="V103" t="s">
        <v>107</v>
      </c>
      <c r="W103" s="8">
        <v>64</v>
      </c>
    </row>
    <row r="104" spans="1:23" x14ac:dyDescent="0.2">
      <c r="R104" t="s">
        <v>116</v>
      </c>
      <c r="S104">
        <v>4</v>
      </c>
      <c r="T104" t="s">
        <v>119</v>
      </c>
      <c r="U104">
        <v>1</v>
      </c>
      <c r="V104" t="s">
        <v>106</v>
      </c>
      <c r="W104" s="8">
        <v>65</v>
      </c>
    </row>
    <row r="105" spans="1:23" x14ac:dyDescent="0.2">
      <c r="R105" t="s">
        <v>116</v>
      </c>
      <c r="S105">
        <v>3</v>
      </c>
      <c r="T105" t="s">
        <v>120</v>
      </c>
      <c r="U105">
        <v>3</v>
      </c>
      <c r="V105" t="s">
        <v>107</v>
      </c>
      <c r="W105" s="8">
        <v>65</v>
      </c>
    </row>
    <row r="106" spans="1:23" x14ac:dyDescent="0.2">
      <c r="R106" t="s">
        <v>117</v>
      </c>
      <c r="S106">
        <v>3</v>
      </c>
      <c r="T106" t="s">
        <v>120</v>
      </c>
      <c r="U106">
        <v>2</v>
      </c>
      <c r="V106" t="s">
        <v>107</v>
      </c>
      <c r="W106" s="8">
        <v>65</v>
      </c>
    </row>
    <row r="107" spans="1:23" x14ac:dyDescent="0.2">
      <c r="R107" t="s">
        <v>116</v>
      </c>
      <c r="S107">
        <v>1</v>
      </c>
      <c r="T107" t="s">
        <v>120</v>
      </c>
      <c r="U107">
        <v>2</v>
      </c>
      <c r="V107" t="s">
        <v>106</v>
      </c>
      <c r="W107" s="8">
        <v>65</v>
      </c>
    </row>
    <row r="108" spans="1:23" x14ac:dyDescent="0.2">
      <c r="R108" t="s">
        <v>117</v>
      </c>
      <c r="S108">
        <v>1</v>
      </c>
      <c r="T108" t="s">
        <v>120</v>
      </c>
      <c r="U108">
        <v>4</v>
      </c>
      <c r="V108" t="s">
        <v>106</v>
      </c>
      <c r="W108" s="8">
        <v>65</v>
      </c>
    </row>
    <row r="109" spans="1:23" x14ac:dyDescent="0.2">
      <c r="R109" t="s">
        <v>117</v>
      </c>
      <c r="S109">
        <v>2</v>
      </c>
      <c r="T109" t="s">
        <v>120</v>
      </c>
      <c r="U109">
        <v>2</v>
      </c>
      <c r="V109" t="s">
        <v>106</v>
      </c>
      <c r="W109" s="8">
        <v>65</v>
      </c>
    </row>
    <row r="110" spans="1:23" x14ac:dyDescent="0.2">
      <c r="R110" t="s">
        <v>116</v>
      </c>
      <c r="S110">
        <v>3</v>
      </c>
      <c r="T110" t="s">
        <v>120</v>
      </c>
      <c r="U110">
        <v>4</v>
      </c>
      <c r="V110" t="s">
        <v>106</v>
      </c>
      <c r="W110" s="8">
        <v>65</v>
      </c>
    </row>
    <row r="111" spans="1:23" x14ac:dyDescent="0.2">
      <c r="R111" t="s">
        <v>117</v>
      </c>
      <c r="S111">
        <v>3</v>
      </c>
      <c r="T111" t="s">
        <v>119</v>
      </c>
      <c r="U111">
        <v>1</v>
      </c>
      <c r="V111" t="s">
        <v>107</v>
      </c>
      <c r="W111" s="8">
        <v>65</v>
      </c>
    </row>
    <row r="112" spans="1:23" x14ac:dyDescent="0.2">
      <c r="R112" t="s">
        <v>116</v>
      </c>
      <c r="S112">
        <v>1</v>
      </c>
      <c r="T112" t="s">
        <v>120</v>
      </c>
      <c r="U112">
        <v>2</v>
      </c>
      <c r="V112" t="s">
        <v>106</v>
      </c>
      <c r="W112" s="8">
        <v>65</v>
      </c>
    </row>
    <row r="113" spans="18:23" x14ac:dyDescent="0.2">
      <c r="R113" t="s">
        <v>116</v>
      </c>
      <c r="S113">
        <v>0</v>
      </c>
      <c r="T113" t="s">
        <v>120</v>
      </c>
      <c r="U113">
        <v>5</v>
      </c>
      <c r="V113" t="s">
        <v>106</v>
      </c>
      <c r="W113" s="8">
        <v>65</v>
      </c>
    </row>
    <row r="114" spans="18:23" x14ac:dyDescent="0.2">
      <c r="R114" t="s">
        <v>117</v>
      </c>
      <c r="S114">
        <v>0</v>
      </c>
      <c r="T114" t="s">
        <v>120</v>
      </c>
      <c r="U114">
        <v>5</v>
      </c>
      <c r="V114" t="s">
        <v>106</v>
      </c>
      <c r="W114" s="8">
        <v>65</v>
      </c>
    </row>
    <row r="115" spans="18:23" x14ac:dyDescent="0.2">
      <c r="R115" t="s">
        <v>116</v>
      </c>
      <c r="S115">
        <v>0</v>
      </c>
      <c r="T115" t="s">
        <v>119</v>
      </c>
      <c r="U115">
        <v>2</v>
      </c>
      <c r="V115" t="s">
        <v>107</v>
      </c>
      <c r="W115" s="8">
        <v>65</v>
      </c>
    </row>
    <row r="116" spans="18:23" x14ac:dyDescent="0.2">
      <c r="R116" t="s">
        <v>116</v>
      </c>
      <c r="S116">
        <v>0</v>
      </c>
      <c r="T116" t="s">
        <v>119</v>
      </c>
      <c r="U116">
        <v>3</v>
      </c>
      <c r="V116" t="s">
        <v>106</v>
      </c>
      <c r="W116" s="8">
        <v>65</v>
      </c>
    </row>
    <row r="117" spans="18:23" x14ac:dyDescent="0.2">
      <c r="R117" t="s">
        <v>116</v>
      </c>
      <c r="S117">
        <v>1</v>
      </c>
      <c r="T117" t="s">
        <v>119</v>
      </c>
      <c r="U117">
        <v>1</v>
      </c>
      <c r="V117" t="s">
        <v>106</v>
      </c>
      <c r="W117" s="8">
        <v>65</v>
      </c>
    </row>
    <row r="118" spans="18:23" x14ac:dyDescent="0.2">
      <c r="R118" t="s">
        <v>116</v>
      </c>
      <c r="S118">
        <v>2</v>
      </c>
      <c r="T118" t="s">
        <v>119</v>
      </c>
      <c r="U118">
        <v>1</v>
      </c>
      <c r="V118" t="s">
        <v>107</v>
      </c>
      <c r="W118" s="8">
        <v>65</v>
      </c>
    </row>
    <row r="119" spans="18:23" x14ac:dyDescent="0.2">
      <c r="R119" t="s">
        <v>116</v>
      </c>
      <c r="S119">
        <v>2</v>
      </c>
      <c r="T119" t="s">
        <v>119</v>
      </c>
      <c r="U119">
        <v>2</v>
      </c>
      <c r="V119" t="s">
        <v>107</v>
      </c>
      <c r="W119" s="8">
        <v>65</v>
      </c>
    </row>
    <row r="120" spans="18:23" x14ac:dyDescent="0.2">
      <c r="R120" t="s">
        <v>116</v>
      </c>
      <c r="S120">
        <v>2</v>
      </c>
      <c r="T120" t="s">
        <v>120</v>
      </c>
      <c r="U120">
        <v>5</v>
      </c>
      <c r="V120" t="s">
        <v>106</v>
      </c>
      <c r="W120" s="8">
        <v>65</v>
      </c>
    </row>
    <row r="121" spans="18:23" x14ac:dyDescent="0.2">
      <c r="R121" t="s">
        <v>116</v>
      </c>
      <c r="S121">
        <v>1</v>
      </c>
      <c r="T121" t="s">
        <v>119</v>
      </c>
      <c r="U121">
        <v>1</v>
      </c>
      <c r="V121" t="s">
        <v>106</v>
      </c>
      <c r="W121" s="8">
        <v>65.5</v>
      </c>
    </row>
    <row r="122" spans="18:23" x14ac:dyDescent="0.2">
      <c r="R122" t="s">
        <v>116</v>
      </c>
      <c r="S122">
        <v>1</v>
      </c>
      <c r="T122" t="s">
        <v>120</v>
      </c>
      <c r="U122">
        <v>4</v>
      </c>
      <c r="V122" t="s">
        <v>106</v>
      </c>
      <c r="W122" s="8">
        <v>65.5</v>
      </c>
    </row>
    <row r="123" spans="18:23" x14ac:dyDescent="0.2">
      <c r="R123" t="s">
        <v>116</v>
      </c>
      <c r="S123">
        <v>2</v>
      </c>
      <c r="T123" t="s">
        <v>119</v>
      </c>
      <c r="U123">
        <v>2</v>
      </c>
      <c r="V123" t="s">
        <v>106</v>
      </c>
      <c r="W123" s="8">
        <v>66</v>
      </c>
    </row>
    <row r="124" spans="18:23" x14ac:dyDescent="0.2">
      <c r="R124" t="s">
        <v>116</v>
      </c>
      <c r="S124">
        <v>3</v>
      </c>
      <c r="T124" t="s">
        <v>120</v>
      </c>
      <c r="U124">
        <v>2</v>
      </c>
      <c r="V124" t="s">
        <v>106</v>
      </c>
      <c r="W124" s="8">
        <v>66</v>
      </c>
    </row>
    <row r="125" spans="18:23" x14ac:dyDescent="0.2">
      <c r="R125" t="s">
        <v>116</v>
      </c>
      <c r="S125">
        <v>1</v>
      </c>
      <c r="T125" t="s">
        <v>119</v>
      </c>
      <c r="U125">
        <v>1</v>
      </c>
      <c r="V125" t="s">
        <v>106</v>
      </c>
      <c r="W125" s="8">
        <v>67</v>
      </c>
    </row>
    <row r="126" spans="18:23" x14ac:dyDescent="0.2">
      <c r="R126" t="s">
        <v>116</v>
      </c>
      <c r="S126">
        <v>2</v>
      </c>
      <c r="T126" t="s">
        <v>119</v>
      </c>
      <c r="U126">
        <v>2</v>
      </c>
      <c r="V126" t="s">
        <v>106</v>
      </c>
      <c r="W126" s="8">
        <v>67</v>
      </c>
    </row>
    <row r="127" spans="18:23" x14ac:dyDescent="0.2">
      <c r="R127" t="s">
        <v>117</v>
      </c>
      <c r="S127">
        <v>0</v>
      </c>
      <c r="T127" t="s">
        <v>119</v>
      </c>
      <c r="U127">
        <v>1</v>
      </c>
      <c r="V127" t="s">
        <v>106</v>
      </c>
      <c r="W127" s="8">
        <v>67</v>
      </c>
    </row>
    <row r="128" spans="18:23" x14ac:dyDescent="0.2">
      <c r="R128" t="s">
        <v>117</v>
      </c>
      <c r="S128">
        <v>0</v>
      </c>
      <c r="T128" t="s">
        <v>120</v>
      </c>
      <c r="U128">
        <v>1</v>
      </c>
      <c r="V128" t="s">
        <v>107</v>
      </c>
      <c r="W128" s="8">
        <v>67</v>
      </c>
    </row>
    <row r="129" spans="18:23" x14ac:dyDescent="0.2">
      <c r="R129" t="s">
        <v>117</v>
      </c>
      <c r="S129">
        <v>0</v>
      </c>
      <c r="T129" t="s">
        <v>119</v>
      </c>
      <c r="U129">
        <v>1</v>
      </c>
      <c r="V129" t="s">
        <v>107</v>
      </c>
      <c r="W129" s="8">
        <v>67.5</v>
      </c>
    </row>
    <row r="130" spans="18:23" x14ac:dyDescent="0.2">
      <c r="R130" t="s">
        <v>117</v>
      </c>
      <c r="S130">
        <v>0</v>
      </c>
      <c r="T130" t="s">
        <v>120</v>
      </c>
      <c r="U130">
        <v>2</v>
      </c>
      <c r="V130" t="s">
        <v>106</v>
      </c>
      <c r="W130" s="8">
        <v>67.5</v>
      </c>
    </row>
    <row r="131" spans="18:23" x14ac:dyDescent="0.2">
      <c r="R131" t="s">
        <v>117</v>
      </c>
      <c r="S131">
        <v>0</v>
      </c>
      <c r="T131" t="s">
        <v>119</v>
      </c>
      <c r="U131">
        <v>2</v>
      </c>
      <c r="V131" t="s">
        <v>107</v>
      </c>
      <c r="W131" s="8">
        <v>68</v>
      </c>
    </row>
    <row r="132" spans="18:23" x14ac:dyDescent="0.2">
      <c r="R132" t="s">
        <v>117</v>
      </c>
      <c r="S132">
        <v>0</v>
      </c>
      <c r="T132" t="s">
        <v>119</v>
      </c>
      <c r="U132">
        <v>2</v>
      </c>
      <c r="V132" t="s">
        <v>107</v>
      </c>
      <c r="W132" s="8">
        <v>68</v>
      </c>
    </row>
    <row r="133" spans="18:23" x14ac:dyDescent="0.2">
      <c r="R133" t="s">
        <v>117</v>
      </c>
      <c r="S133">
        <v>3</v>
      </c>
      <c r="T133" t="s">
        <v>119</v>
      </c>
      <c r="U133">
        <v>3</v>
      </c>
      <c r="V133" t="s">
        <v>107</v>
      </c>
      <c r="W133" s="8">
        <v>68</v>
      </c>
    </row>
    <row r="134" spans="18:23" x14ac:dyDescent="0.2">
      <c r="R134" t="s">
        <v>117</v>
      </c>
      <c r="S134">
        <v>4</v>
      </c>
      <c r="T134" t="s">
        <v>119</v>
      </c>
      <c r="U134">
        <v>3</v>
      </c>
      <c r="V134" t="s">
        <v>106</v>
      </c>
      <c r="W134" s="8">
        <v>70</v>
      </c>
    </row>
    <row r="135" spans="18:23" x14ac:dyDescent="0.2">
      <c r="R135" t="s">
        <v>117</v>
      </c>
      <c r="S135">
        <v>4</v>
      </c>
      <c r="T135" t="s">
        <v>119</v>
      </c>
      <c r="U135">
        <v>3</v>
      </c>
      <c r="V135" t="s">
        <v>106</v>
      </c>
      <c r="W135" s="8">
        <v>70</v>
      </c>
    </row>
    <row r="136" spans="18:23" x14ac:dyDescent="0.2">
      <c r="R136" t="s">
        <v>117</v>
      </c>
      <c r="S136">
        <v>3</v>
      </c>
      <c r="T136" t="s">
        <v>120</v>
      </c>
      <c r="U136">
        <v>3</v>
      </c>
      <c r="V136" t="s">
        <v>106</v>
      </c>
      <c r="W136" s="8">
        <v>70</v>
      </c>
    </row>
    <row r="137" spans="18:23" x14ac:dyDescent="0.2">
      <c r="R137" t="s">
        <v>117</v>
      </c>
      <c r="S137">
        <v>4</v>
      </c>
      <c r="T137" t="s">
        <v>119</v>
      </c>
      <c r="U137">
        <v>1</v>
      </c>
      <c r="V137" t="s">
        <v>106</v>
      </c>
      <c r="W137" s="8">
        <v>70</v>
      </c>
    </row>
    <row r="138" spans="18:23" x14ac:dyDescent="0.2">
      <c r="R138" t="s">
        <v>117</v>
      </c>
      <c r="S138">
        <v>3</v>
      </c>
      <c r="T138" t="s">
        <v>119</v>
      </c>
      <c r="U138">
        <v>1</v>
      </c>
      <c r="V138" t="s">
        <v>106</v>
      </c>
      <c r="W138" s="8">
        <v>70</v>
      </c>
    </row>
    <row r="139" spans="18:23" x14ac:dyDescent="0.2">
      <c r="R139" t="s">
        <v>117</v>
      </c>
      <c r="S139">
        <v>2</v>
      </c>
      <c r="T139" t="s">
        <v>119</v>
      </c>
      <c r="U139">
        <v>2</v>
      </c>
      <c r="V139" t="s">
        <v>107</v>
      </c>
      <c r="W139" s="8">
        <v>70</v>
      </c>
    </row>
    <row r="140" spans="18:23" x14ac:dyDescent="0.2">
      <c r="R140" t="s">
        <v>117</v>
      </c>
      <c r="S140">
        <v>4</v>
      </c>
      <c r="T140" t="s">
        <v>119</v>
      </c>
      <c r="U140">
        <v>3</v>
      </c>
      <c r="V140" t="s">
        <v>106</v>
      </c>
      <c r="W140" s="8">
        <v>70</v>
      </c>
    </row>
    <row r="141" spans="18:23" x14ac:dyDescent="0.2">
      <c r="R141" t="s">
        <v>117</v>
      </c>
      <c r="S141">
        <v>4</v>
      </c>
      <c r="T141" t="s">
        <v>119</v>
      </c>
      <c r="U141">
        <v>1</v>
      </c>
      <c r="V141" t="s">
        <v>107</v>
      </c>
      <c r="W141" s="8">
        <v>70</v>
      </c>
    </row>
    <row r="142" spans="18:23" x14ac:dyDescent="0.2">
      <c r="R142" t="s">
        <v>117</v>
      </c>
      <c r="S142">
        <v>4</v>
      </c>
      <c r="T142" t="s">
        <v>120</v>
      </c>
      <c r="U142">
        <v>1</v>
      </c>
      <c r="V142" t="s">
        <v>106</v>
      </c>
      <c r="W142" s="8">
        <v>70</v>
      </c>
    </row>
    <row r="143" spans="18:23" x14ac:dyDescent="0.2">
      <c r="R143" t="s">
        <v>117</v>
      </c>
      <c r="S143">
        <v>1</v>
      </c>
      <c r="T143" t="s">
        <v>119</v>
      </c>
      <c r="U143">
        <v>1</v>
      </c>
      <c r="V143" t="s">
        <v>106</v>
      </c>
      <c r="W143" s="8">
        <v>70</v>
      </c>
    </row>
    <row r="144" spans="18:23" x14ac:dyDescent="0.2">
      <c r="R144" t="s">
        <v>117</v>
      </c>
      <c r="S144">
        <v>2</v>
      </c>
      <c r="T144" t="s">
        <v>119</v>
      </c>
      <c r="U144">
        <v>2</v>
      </c>
      <c r="V144" t="s">
        <v>106</v>
      </c>
      <c r="W144" s="8">
        <v>70</v>
      </c>
    </row>
    <row r="145" spans="18:23" x14ac:dyDescent="0.2">
      <c r="R145" t="s">
        <v>117</v>
      </c>
      <c r="S145">
        <v>2</v>
      </c>
      <c r="T145" t="s">
        <v>119</v>
      </c>
      <c r="U145">
        <v>1</v>
      </c>
      <c r="V145" t="s">
        <v>106</v>
      </c>
      <c r="W145" s="8">
        <v>70</v>
      </c>
    </row>
    <row r="146" spans="18:23" x14ac:dyDescent="0.2">
      <c r="R146" t="s">
        <v>117</v>
      </c>
      <c r="S146">
        <v>1</v>
      </c>
      <c r="T146" t="s">
        <v>119</v>
      </c>
      <c r="U146">
        <v>1</v>
      </c>
      <c r="V146" t="s">
        <v>106</v>
      </c>
      <c r="W146" s="8">
        <v>70</v>
      </c>
    </row>
    <row r="147" spans="18:23" x14ac:dyDescent="0.2">
      <c r="R147" t="s">
        <v>117</v>
      </c>
      <c r="S147">
        <v>1</v>
      </c>
      <c r="T147" t="s">
        <v>120</v>
      </c>
      <c r="U147">
        <v>3</v>
      </c>
      <c r="V147" t="s">
        <v>106</v>
      </c>
      <c r="W147" s="8">
        <v>70</v>
      </c>
    </row>
    <row r="148" spans="18:23" x14ac:dyDescent="0.2">
      <c r="R148" t="s">
        <v>117</v>
      </c>
      <c r="S148">
        <v>3</v>
      </c>
      <c r="T148" t="s">
        <v>120</v>
      </c>
      <c r="U148">
        <v>1</v>
      </c>
      <c r="V148" t="s">
        <v>106</v>
      </c>
      <c r="W148" s="8">
        <v>70</v>
      </c>
    </row>
    <row r="149" spans="18:23" x14ac:dyDescent="0.2">
      <c r="R149" t="s">
        <v>117</v>
      </c>
      <c r="S149">
        <v>2</v>
      </c>
      <c r="T149" t="s">
        <v>120</v>
      </c>
      <c r="U149">
        <v>2</v>
      </c>
      <c r="V149" t="s">
        <v>106</v>
      </c>
      <c r="W149" s="8">
        <v>70</v>
      </c>
    </row>
    <row r="150" spans="18:23" x14ac:dyDescent="0.2">
      <c r="R150" t="s">
        <v>116</v>
      </c>
      <c r="S150">
        <v>4</v>
      </c>
      <c r="T150" t="s">
        <v>119</v>
      </c>
      <c r="U150">
        <v>1</v>
      </c>
      <c r="V150" t="s">
        <v>106</v>
      </c>
      <c r="W150" s="8">
        <v>70</v>
      </c>
    </row>
    <row r="151" spans="18:23" x14ac:dyDescent="0.2">
      <c r="R151" t="s">
        <v>116</v>
      </c>
      <c r="S151">
        <v>1</v>
      </c>
      <c r="T151" t="s">
        <v>120</v>
      </c>
      <c r="U151">
        <v>3</v>
      </c>
      <c r="V151" t="s">
        <v>106</v>
      </c>
      <c r="W151" s="8">
        <v>70</v>
      </c>
    </row>
    <row r="152" spans="18:23" x14ac:dyDescent="0.2">
      <c r="R152" t="s">
        <v>116</v>
      </c>
      <c r="S152">
        <v>4</v>
      </c>
      <c r="T152" t="s">
        <v>120</v>
      </c>
      <c r="U152">
        <v>3</v>
      </c>
      <c r="V152" t="s">
        <v>106</v>
      </c>
      <c r="W152" s="8">
        <v>70</v>
      </c>
    </row>
    <row r="153" spans="18:23" x14ac:dyDescent="0.2">
      <c r="R153" t="s">
        <v>117</v>
      </c>
      <c r="S153">
        <v>2</v>
      </c>
      <c r="T153" t="s">
        <v>119</v>
      </c>
      <c r="U153">
        <v>1</v>
      </c>
      <c r="V153" t="s">
        <v>107</v>
      </c>
      <c r="W153" s="8">
        <v>70</v>
      </c>
    </row>
    <row r="154" spans="18:23" x14ac:dyDescent="0.2">
      <c r="R154" t="s">
        <v>116</v>
      </c>
      <c r="S154">
        <v>0</v>
      </c>
      <c r="T154" t="s">
        <v>119</v>
      </c>
      <c r="U154">
        <v>1</v>
      </c>
      <c r="V154" t="s">
        <v>106</v>
      </c>
      <c r="W154" s="8">
        <v>70</v>
      </c>
    </row>
    <row r="155" spans="18:23" x14ac:dyDescent="0.2">
      <c r="R155" t="s">
        <v>116</v>
      </c>
      <c r="S155">
        <v>0</v>
      </c>
      <c r="T155" t="s">
        <v>119</v>
      </c>
      <c r="U155">
        <v>2</v>
      </c>
      <c r="V155" t="s">
        <v>107</v>
      </c>
      <c r="W155" s="8">
        <v>70</v>
      </c>
    </row>
    <row r="156" spans="18:23" x14ac:dyDescent="0.2">
      <c r="R156" t="s">
        <v>116</v>
      </c>
      <c r="S156">
        <v>1</v>
      </c>
      <c r="T156" t="s">
        <v>119</v>
      </c>
      <c r="U156">
        <v>2</v>
      </c>
      <c r="V156" t="s">
        <v>107</v>
      </c>
      <c r="W156" s="8">
        <v>70</v>
      </c>
    </row>
    <row r="157" spans="18:23" x14ac:dyDescent="0.2">
      <c r="R157" t="s">
        <v>116</v>
      </c>
      <c r="S157">
        <v>1</v>
      </c>
      <c r="T157" t="s">
        <v>120</v>
      </c>
      <c r="U157">
        <v>3</v>
      </c>
      <c r="V157" t="s">
        <v>107</v>
      </c>
      <c r="W157" s="8">
        <v>70</v>
      </c>
    </row>
    <row r="158" spans="18:23" x14ac:dyDescent="0.2">
      <c r="R158" t="s">
        <v>117</v>
      </c>
      <c r="S158">
        <v>3</v>
      </c>
      <c r="T158" t="s">
        <v>119</v>
      </c>
      <c r="U158">
        <v>2</v>
      </c>
      <c r="V158" t="s">
        <v>107</v>
      </c>
      <c r="W158" s="8">
        <v>70</v>
      </c>
    </row>
    <row r="159" spans="18:23" x14ac:dyDescent="0.2">
      <c r="R159" t="s">
        <v>117</v>
      </c>
      <c r="S159">
        <v>2</v>
      </c>
      <c r="T159" t="s">
        <v>120</v>
      </c>
      <c r="U159">
        <v>1</v>
      </c>
      <c r="V159" t="s">
        <v>106</v>
      </c>
      <c r="W159" s="8">
        <v>70</v>
      </c>
    </row>
    <row r="160" spans="18:23" x14ac:dyDescent="0.2">
      <c r="R160" t="s">
        <v>116</v>
      </c>
      <c r="S160">
        <v>0</v>
      </c>
      <c r="T160" t="s">
        <v>120</v>
      </c>
      <c r="U160">
        <v>2</v>
      </c>
      <c r="V160" t="s">
        <v>106</v>
      </c>
      <c r="W160" s="8">
        <v>70</v>
      </c>
    </row>
    <row r="161" spans="18:23" x14ac:dyDescent="0.2">
      <c r="R161" t="s">
        <v>117</v>
      </c>
      <c r="S161">
        <v>4</v>
      </c>
      <c r="T161" t="s">
        <v>119</v>
      </c>
      <c r="U161">
        <v>3</v>
      </c>
      <c r="V161" t="s">
        <v>106</v>
      </c>
      <c r="W161" s="8">
        <v>70</v>
      </c>
    </row>
    <row r="162" spans="18:23" x14ac:dyDescent="0.2">
      <c r="R162" t="s">
        <v>117</v>
      </c>
      <c r="S162">
        <v>2</v>
      </c>
      <c r="T162" t="s">
        <v>120</v>
      </c>
      <c r="U162">
        <v>2</v>
      </c>
      <c r="V162" t="s">
        <v>106</v>
      </c>
      <c r="W162" s="8">
        <v>70</v>
      </c>
    </row>
    <row r="163" spans="18:23" x14ac:dyDescent="0.2">
      <c r="R163" t="s">
        <v>117</v>
      </c>
      <c r="S163">
        <v>1</v>
      </c>
      <c r="T163" t="s">
        <v>119</v>
      </c>
      <c r="U163">
        <v>2</v>
      </c>
      <c r="V163" t="s">
        <v>107</v>
      </c>
      <c r="W163" s="8">
        <v>70</v>
      </c>
    </row>
    <row r="164" spans="18:23" x14ac:dyDescent="0.2">
      <c r="R164" t="s">
        <v>117</v>
      </c>
      <c r="S164">
        <v>2</v>
      </c>
      <c r="T164" t="s">
        <v>120</v>
      </c>
      <c r="U164">
        <v>5</v>
      </c>
      <c r="V164" t="s">
        <v>107</v>
      </c>
      <c r="W164" s="8">
        <v>70</v>
      </c>
    </row>
    <row r="165" spans="18:23" x14ac:dyDescent="0.2">
      <c r="R165" t="s">
        <v>117</v>
      </c>
      <c r="S165">
        <v>1</v>
      </c>
      <c r="T165" t="s">
        <v>119</v>
      </c>
      <c r="U165">
        <v>1</v>
      </c>
      <c r="V165" t="s">
        <v>106</v>
      </c>
      <c r="W165" s="8">
        <v>70</v>
      </c>
    </row>
    <row r="166" spans="18:23" x14ac:dyDescent="0.2">
      <c r="R166" t="s">
        <v>117</v>
      </c>
      <c r="S166">
        <v>2</v>
      </c>
      <c r="T166" t="s">
        <v>119</v>
      </c>
      <c r="U166">
        <v>1</v>
      </c>
      <c r="V166" t="s">
        <v>107</v>
      </c>
      <c r="W166" s="8">
        <v>70</v>
      </c>
    </row>
    <row r="167" spans="18:23" x14ac:dyDescent="0.2">
      <c r="R167" t="s">
        <v>117</v>
      </c>
      <c r="S167">
        <v>0</v>
      </c>
      <c r="T167" t="s">
        <v>119</v>
      </c>
      <c r="U167">
        <v>2</v>
      </c>
      <c r="V167" t="s">
        <v>106</v>
      </c>
      <c r="W167" s="8">
        <v>70</v>
      </c>
    </row>
    <row r="168" spans="18:23" x14ac:dyDescent="0.2">
      <c r="R168" t="s">
        <v>116</v>
      </c>
      <c r="S168">
        <v>0</v>
      </c>
      <c r="T168" t="s">
        <v>119</v>
      </c>
      <c r="U168">
        <v>2</v>
      </c>
      <c r="V168" t="s">
        <v>107</v>
      </c>
      <c r="W168" s="8">
        <v>70</v>
      </c>
    </row>
    <row r="169" spans="18:23" x14ac:dyDescent="0.2">
      <c r="R169" t="s">
        <v>116</v>
      </c>
      <c r="S169">
        <v>0</v>
      </c>
      <c r="T169" t="s">
        <v>120</v>
      </c>
      <c r="U169">
        <v>5</v>
      </c>
      <c r="V169" t="s">
        <v>106</v>
      </c>
      <c r="W169" s="8">
        <v>70</v>
      </c>
    </row>
    <row r="170" spans="18:23" x14ac:dyDescent="0.2">
      <c r="R170" t="s">
        <v>116</v>
      </c>
      <c r="S170">
        <v>0</v>
      </c>
      <c r="T170" t="s">
        <v>119</v>
      </c>
      <c r="U170">
        <v>2</v>
      </c>
      <c r="V170" t="s">
        <v>107</v>
      </c>
      <c r="W170" s="8">
        <v>70</v>
      </c>
    </row>
    <row r="171" spans="18:23" x14ac:dyDescent="0.2">
      <c r="R171" t="s">
        <v>116</v>
      </c>
      <c r="S171">
        <v>0</v>
      </c>
      <c r="T171" t="s">
        <v>120</v>
      </c>
      <c r="U171">
        <v>1</v>
      </c>
      <c r="V171" t="s">
        <v>107</v>
      </c>
      <c r="W171" s="8">
        <v>70</v>
      </c>
    </row>
    <row r="172" spans="18:23" x14ac:dyDescent="0.2">
      <c r="R172" t="s">
        <v>116</v>
      </c>
      <c r="S172">
        <v>3</v>
      </c>
      <c r="T172" t="s">
        <v>120</v>
      </c>
      <c r="U172">
        <v>1</v>
      </c>
      <c r="V172" t="s">
        <v>107</v>
      </c>
      <c r="W172" s="8">
        <v>70</v>
      </c>
    </row>
    <row r="173" spans="18:23" x14ac:dyDescent="0.2">
      <c r="R173" t="s">
        <v>116</v>
      </c>
      <c r="S173">
        <v>1</v>
      </c>
      <c r="T173" t="s">
        <v>119</v>
      </c>
      <c r="U173">
        <v>2</v>
      </c>
      <c r="V173" t="s">
        <v>107</v>
      </c>
      <c r="W173" s="8">
        <v>71</v>
      </c>
    </row>
    <row r="174" spans="18:23" x14ac:dyDescent="0.2">
      <c r="R174" t="s">
        <v>116</v>
      </c>
      <c r="S174">
        <v>1</v>
      </c>
      <c r="T174" t="s">
        <v>119</v>
      </c>
      <c r="U174">
        <v>1</v>
      </c>
      <c r="V174" t="s">
        <v>107</v>
      </c>
      <c r="W174" s="8">
        <v>71</v>
      </c>
    </row>
    <row r="175" spans="18:23" x14ac:dyDescent="0.2">
      <c r="R175" t="s">
        <v>116</v>
      </c>
      <c r="S175">
        <v>2</v>
      </c>
      <c r="T175" t="s">
        <v>119</v>
      </c>
      <c r="U175">
        <v>2</v>
      </c>
      <c r="V175" t="s">
        <v>106</v>
      </c>
      <c r="W175" s="8">
        <v>72</v>
      </c>
    </row>
    <row r="176" spans="18:23" x14ac:dyDescent="0.2">
      <c r="R176" t="s">
        <v>116</v>
      </c>
      <c r="S176">
        <v>2</v>
      </c>
      <c r="T176" t="s">
        <v>119</v>
      </c>
      <c r="U176">
        <v>4</v>
      </c>
      <c r="V176" t="s">
        <v>107</v>
      </c>
      <c r="W176" s="8">
        <v>72</v>
      </c>
    </row>
    <row r="177" spans="18:23" x14ac:dyDescent="0.2">
      <c r="R177" t="s">
        <v>116</v>
      </c>
      <c r="S177">
        <v>1</v>
      </c>
      <c r="T177" t="s">
        <v>119</v>
      </c>
      <c r="U177">
        <v>2</v>
      </c>
      <c r="V177" t="s">
        <v>106</v>
      </c>
      <c r="W177" s="8">
        <v>72.5</v>
      </c>
    </row>
    <row r="178" spans="18:23" x14ac:dyDescent="0.2">
      <c r="R178" t="s">
        <v>116</v>
      </c>
      <c r="S178">
        <v>4</v>
      </c>
      <c r="T178" t="s">
        <v>119</v>
      </c>
      <c r="U178">
        <v>2</v>
      </c>
      <c r="V178" t="s">
        <v>107</v>
      </c>
      <c r="W178" s="8">
        <v>72.5</v>
      </c>
    </row>
    <row r="179" spans="18:23" x14ac:dyDescent="0.2">
      <c r="R179" t="s">
        <v>116</v>
      </c>
      <c r="S179">
        <v>2</v>
      </c>
      <c r="T179" t="s">
        <v>119</v>
      </c>
      <c r="U179">
        <v>2</v>
      </c>
      <c r="V179" t="s">
        <v>107</v>
      </c>
      <c r="W179" s="8">
        <v>74</v>
      </c>
    </row>
    <row r="180" spans="18:23" x14ac:dyDescent="0.2">
      <c r="R180" t="s">
        <v>116</v>
      </c>
      <c r="S180">
        <v>2</v>
      </c>
      <c r="T180" t="s">
        <v>119</v>
      </c>
      <c r="U180">
        <v>1</v>
      </c>
      <c r="V180" t="s">
        <v>106</v>
      </c>
      <c r="W180" s="8">
        <v>75</v>
      </c>
    </row>
    <row r="181" spans="18:23" x14ac:dyDescent="0.2">
      <c r="R181" t="s">
        <v>116</v>
      </c>
      <c r="S181">
        <v>1</v>
      </c>
      <c r="T181" t="s">
        <v>119</v>
      </c>
      <c r="U181">
        <v>2</v>
      </c>
      <c r="V181" t="s">
        <v>106</v>
      </c>
      <c r="W181" s="8">
        <v>75</v>
      </c>
    </row>
    <row r="182" spans="18:23" x14ac:dyDescent="0.2">
      <c r="R182" t="s">
        <v>116</v>
      </c>
      <c r="S182">
        <v>1</v>
      </c>
      <c r="T182" t="s">
        <v>120</v>
      </c>
      <c r="U182">
        <v>3</v>
      </c>
      <c r="V182" t="s">
        <v>107</v>
      </c>
      <c r="W182" s="8">
        <v>75</v>
      </c>
    </row>
    <row r="183" spans="18:23" x14ac:dyDescent="0.2">
      <c r="R183" t="s">
        <v>116</v>
      </c>
      <c r="S183">
        <v>4</v>
      </c>
      <c r="T183" t="s">
        <v>119</v>
      </c>
      <c r="U183">
        <v>3</v>
      </c>
      <c r="V183" t="s">
        <v>107</v>
      </c>
      <c r="W183" s="8">
        <v>75</v>
      </c>
    </row>
    <row r="184" spans="18:23" x14ac:dyDescent="0.2">
      <c r="R184" t="s">
        <v>117</v>
      </c>
      <c r="S184">
        <v>0</v>
      </c>
      <c r="T184" t="s">
        <v>119</v>
      </c>
      <c r="U184">
        <v>1</v>
      </c>
      <c r="V184" t="s">
        <v>107</v>
      </c>
      <c r="W184" s="8">
        <v>75</v>
      </c>
    </row>
    <row r="185" spans="18:23" x14ac:dyDescent="0.2">
      <c r="R185" t="s">
        <v>117</v>
      </c>
      <c r="S185">
        <v>0</v>
      </c>
      <c r="T185" t="s">
        <v>119</v>
      </c>
      <c r="U185">
        <v>2</v>
      </c>
      <c r="V185" t="s">
        <v>107</v>
      </c>
      <c r="W185" s="8">
        <v>75</v>
      </c>
    </row>
    <row r="186" spans="18:23" x14ac:dyDescent="0.2">
      <c r="R186" t="s">
        <v>117</v>
      </c>
      <c r="S186">
        <v>0</v>
      </c>
      <c r="T186" t="s">
        <v>119</v>
      </c>
      <c r="U186">
        <v>3</v>
      </c>
      <c r="V186" t="s">
        <v>107</v>
      </c>
      <c r="W186" s="8">
        <v>75</v>
      </c>
    </row>
    <row r="187" spans="18:23" x14ac:dyDescent="0.2">
      <c r="R187" t="s">
        <v>117</v>
      </c>
      <c r="S187">
        <v>0</v>
      </c>
      <c r="T187" t="s">
        <v>119</v>
      </c>
      <c r="U187">
        <v>2</v>
      </c>
      <c r="V187" t="s">
        <v>107</v>
      </c>
      <c r="W187" s="8">
        <v>75</v>
      </c>
    </row>
    <row r="188" spans="18:23" x14ac:dyDescent="0.2">
      <c r="R188" t="s">
        <v>117</v>
      </c>
      <c r="S188">
        <v>4</v>
      </c>
      <c r="T188" t="s">
        <v>119</v>
      </c>
      <c r="U188">
        <v>1</v>
      </c>
      <c r="V188" t="s">
        <v>106</v>
      </c>
      <c r="W188" s="8">
        <v>75</v>
      </c>
    </row>
    <row r="189" spans="18:23" x14ac:dyDescent="0.2">
      <c r="R189" t="s">
        <v>117</v>
      </c>
      <c r="S189">
        <v>4</v>
      </c>
      <c r="T189" t="s">
        <v>119</v>
      </c>
      <c r="U189">
        <v>1</v>
      </c>
      <c r="V189" t="s">
        <v>106</v>
      </c>
      <c r="W189" s="8">
        <v>75</v>
      </c>
    </row>
    <row r="190" spans="18:23" x14ac:dyDescent="0.2">
      <c r="R190" t="s">
        <v>117</v>
      </c>
      <c r="S190">
        <v>1</v>
      </c>
      <c r="T190" t="s">
        <v>120</v>
      </c>
      <c r="U190">
        <v>3</v>
      </c>
      <c r="V190" t="s">
        <v>107</v>
      </c>
      <c r="W190" s="8">
        <v>75</v>
      </c>
    </row>
    <row r="191" spans="18:23" x14ac:dyDescent="0.2">
      <c r="R191" t="s">
        <v>117</v>
      </c>
      <c r="S191">
        <v>4</v>
      </c>
      <c r="T191" t="s">
        <v>120</v>
      </c>
      <c r="U191">
        <v>2</v>
      </c>
      <c r="V191" t="s">
        <v>107</v>
      </c>
      <c r="W191" s="8">
        <v>75</v>
      </c>
    </row>
    <row r="192" spans="18:23" x14ac:dyDescent="0.2">
      <c r="R192" t="s">
        <v>117</v>
      </c>
      <c r="S192">
        <v>3</v>
      </c>
      <c r="T192" t="s">
        <v>119</v>
      </c>
      <c r="U192">
        <v>1</v>
      </c>
      <c r="V192" t="s">
        <v>107</v>
      </c>
      <c r="W192" s="8">
        <v>75</v>
      </c>
    </row>
    <row r="193" spans="18:23" x14ac:dyDescent="0.2">
      <c r="R193" t="s">
        <v>117</v>
      </c>
      <c r="S193">
        <v>2</v>
      </c>
      <c r="T193" t="s">
        <v>119</v>
      </c>
      <c r="U193">
        <v>1</v>
      </c>
      <c r="V193" t="s">
        <v>106</v>
      </c>
      <c r="W193" s="8">
        <v>75</v>
      </c>
    </row>
    <row r="194" spans="18:23" x14ac:dyDescent="0.2">
      <c r="R194" t="s">
        <v>117</v>
      </c>
      <c r="S194">
        <v>1</v>
      </c>
      <c r="T194" t="s">
        <v>119</v>
      </c>
      <c r="U194">
        <v>3</v>
      </c>
      <c r="V194" t="s">
        <v>106</v>
      </c>
      <c r="W194" s="8">
        <v>75</v>
      </c>
    </row>
    <row r="195" spans="18:23" x14ac:dyDescent="0.2">
      <c r="R195" t="s">
        <v>117</v>
      </c>
      <c r="S195">
        <v>2</v>
      </c>
      <c r="T195" t="s">
        <v>119</v>
      </c>
      <c r="U195">
        <v>2</v>
      </c>
      <c r="V195" t="s">
        <v>106</v>
      </c>
      <c r="W195" s="8">
        <v>75</v>
      </c>
    </row>
    <row r="196" spans="18:23" x14ac:dyDescent="0.2">
      <c r="R196" t="s">
        <v>117</v>
      </c>
      <c r="S196">
        <v>2</v>
      </c>
      <c r="T196" t="s">
        <v>119</v>
      </c>
      <c r="U196">
        <v>1</v>
      </c>
      <c r="V196" t="s">
        <v>107</v>
      </c>
      <c r="W196" s="8">
        <v>75</v>
      </c>
    </row>
    <row r="197" spans="18:23" x14ac:dyDescent="0.2">
      <c r="R197" t="s">
        <v>117</v>
      </c>
      <c r="S197">
        <v>3</v>
      </c>
      <c r="T197" t="s">
        <v>119</v>
      </c>
      <c r="U197">
        <v>1</v>
      </c>
      <c r="V197" t="s">
        <v>107</v>
      </c>
      <c r="W197" s="8">
        <v>75</v>
      </c>
    </row>
    <row r="198" spans="18:23" x14ac:dyDescent="0.2">
      <c r="R198" t="s">
        <v>117</v>
      </c>
      <c r="S198">
        <v>1</v>
      </c>
      <c r="T198" t="s">
        <v>119</v>
      </c>
      <c r="U198">
        <v>1</v>
      </c>
      <c r="V198" t="s">
        <v>107</v>
      </c>
      <c r="W198" s="8">
        <v>75</v>
      </c>
    </row>
    <row r="199" spans="18:23" x14ac:dyDescent="0.2">
      <c r="R199" t="s">
        <v>117</v>
      </c>
      <c r="S199">
        <v>4</v>
      </c>
      <c r="T199" t="s">
        <v>119</v>
      </c>
      <c r="U199">
        <v>1</v>
      </c>
      <c r="V199" t="s">
        <v>106</v>
      </c>
      <c r="W199" s="8">
        <v>75</v>
      </c>
    </row>
    <row r="200" spans="18:23" x14ac:dyDescent="0.2">
      <c r="R200" t="s">
        <v>117</v>
      </c>
      <c r="S200">
        <v>4</v>
      </c>
      <c r="T200" t="s">
        <v>119</v>
      </c>
      <c r="U200">
        <v>1</v>
      </c>
      <c r="V200" t="s">
        <v>107</v>
      </c>
      <c r="W200" s="8">
        <v>75</v>
      </c>
    </row>
    <row r="201" spans="18:23" x14ac:dyDescent="0.2">
      <c r="R201" t="s">
        <v>117</v>
      </c>
      <c r="S201">
        <v>1</v>
      </c>
      <c r="T201" t="s">
        <v>119</v>
      </c>
      <c r="U201">
        <v>1</v>
      </c>
      <c r="V201" t="s">
        <v>106</v>
      </c>
      <c r="W201" s="8">
        <v>75</v>
      </c>
    </row>
    <row r="202" spans="18:23" x14ac:dyDescent="0.2">
      <c r="R202" t="s">
        <v>117</v>
      </c>
      <c r="S202">
        <v>3</v>
      </c>
      <c r="T202" t="s">
        <v>120</v>
      </c>
      <c r="U202">
        <v>5</v>
      </c>
      <c r="V202" t="s">
        <v>107</v>
      </c>
      <c r="W202" s="8">
        <v>75</v>
      </c>
    </row>
    <row r="203" spans="18:23" x14ac:dyDescent="0.2">
      <c r="R203" t="s">
        <v>117</v>
      </c>
      <c r="S203">
        <v>1</v>
      </c>
      <c r="T203" t="s">
        <v>119</v>
      </c>
      <c r="U203">
        <v>3</v>
      </c>
      <c r="V203" t="s">
        <v>107</v>
      </c>
      <c r="W203" s="8">
        <v>75</v>
      </c>
    </row>
    <row r="204" spans="18:23" x14ac:dyDescent="0.2">
      <c r="R204" t="s">
        <v>117</v>
      </c>
      <c r="S204">
        <v>4</v>
      </c>
      <c r="T204" t="s">
        <v>120</v>
      </c>
      <c r="U204">
        <v>2</v>
      </c>
      <c r="V204" t="s">
        <v>106</v>
      </c>
      <c r="W204" s="8">
        <v>75</v>
      </c>
    </row>
    <row r="205" spans="18:23" x14ac:dyDescent="0.2">
      <c r="R205" t="s">
        <v>117</v>
      </c>
      <c r="S205">
        <v>2</v>
      </c>
      <c r="T205" t="s">
        <v>120</v>
      </c>
      <c r="U205">
        <v>5</v>
      </c>
      <c r="V205" t="s">
        <v>106</v>
      </c>
      <c r="W205" s="8">
        <v>75.5</v>
      </c>
    </row>
    <row r="206" spans="18:23" x14ac:dyDescent="0.2">
      <c r="R206" t="s">
        <v>116</v>
      </c>
      <c r="S206">
        <v>1</v>
      </c>
      <c r="T206" t="s">
        <v>120</v>
      </c>
      <c r="U206">
        <v>5</v>
      </c>
      <c r="V206" t="s">
        <v>107</v>
      </c>
      <c r="W206" s="8">
        <v>75.599999999999994</v>
      </c>
    </row>
    <row r="207" spans="18:23" x14ac:dyDescent="0.2">
      <c r="R207" t="s">
        <v>116</v>
      </c>
      <c r="S207">
        <v>2</v>
      </c>
      <c r="T207" t="s">
        <v>120</v>
      </c>
      <c r="U207">
        <v>2</v>
      </c>
      <c r="V207" t="s">
        <v>107</v>
      </c>
      <c r="W207" s="8">
        <v>76</v>
      </c>
    </row>
    <row r="208" spans="18:23" x14ac:dyDescent="0.2">
      <c r="R208" t="s">
        <v>116</v>
      </c>
      <c r="S208">
        <v>1</v>
      </c>
      <c r="T208" t="s">
        <v>120</v>
      </c>
      <c r="U208">
        <v>2</v>
      </c>
      <c r="V208" t="s">
        <v>106</v>
      </c>
      <c r="W208" s="8">
        <v>76</v>
      </c>
    </row>
    <row r="209" spans="18:23" x14ac:dyDescent="0.2">
      <c r="R209" t="s">
        <v>117</v>
      </c>
      <c r="S209">
        <v>4</v>
      </c>
      <c r="T209" t="s">
        <v>119</v>
      </c>
      <c r="U209">
        <v>1</v>
      </c>
      <c r="V209" t="s">
        <v>107</v>
      </c>
      <c r="W209" s="8">
        <v>76</v>
      </c>
    </row>
    <row r="210" spans="18:23" x14ac:dyDescent="0.2">
      <c r="R210" t="s">
        <v>116</v>
      </c>
      <c r="S210">
        <v>0</v>
      </c>
      <c r="T210" t="s">
        <v>120</v>
      </c>
      <c r="U210">
        <v>2</v>
      </c>
      <c r="V210" t="s">
        <v>107</v>
      </c>
      <c r="W210" s="8">
        <v>77</v>
      </c>
    </row>
    <row r="211" spans="18:23" x14ac:dyDescent="0.2">
      <c r="R211" t="s">
        <v>116</v>
      </c>
      <c r="S211">
        <v>0</v>
      </c>
      <c r="T211" t="s">
        <v>119</v>
      </c>
      <c r="U211">
        <v>1</v>
      </c>
      <c r="V211" t="s">
        <v>106</v>
      </c>
      <c r="W211" s="8">
        <v>77</v>
      </c>
    </row>
    <row r="212" spans="18:23" x14ac:dyDescent="0.2">
      <c r="R212" t="s">
        <v>116</v>
      </c>
      <c r="S212">
        <v>2</v>
      </c>
      <c r="T212" t="s">
        <v>119</v>
      </c>
      <c r="U212">
        <v>3</v>
      </c>
      <c r="V212" t="s">
        <v>107</v>
      </c>
      <c r="W212" s="8">
        <v>77.5</v>
      </c>
    </row>
    <row r="213" spans="18:23" x14ac:dyDescent="0.2">
      <c r="R213" t="s">
        <v>116</v>
      </c>
      <c r="S213">
        <v>4</v>
      </c>
      <c r="T213" t="s">
        <v>119</v>
      </c>
      <c r="U213">
        <v>2</v>
      </c>
      <c r="V213" t="s">
        <v>106</v>
      </c>
      <c r="W213" s="8">
        <v>78.5</v>
      </c>
    </row>
    <row r="214" spans="18:23" x14ac:dyDescent="0.2">
      <c r="R214" t="s">
        <v>116</v>
      </c>
      <c r="S214">
        <v>4</v>
      </c>
      <c r="T214" t="s">
        <v>119</v>
      </c>
      <c r="U214">
        <v>3</v>
      </c>
      <c r="V214" t="s">
        <v>107</v>
      </c>
      <c r="W214" s="8">
        <v>79</v>
      </c>
    </row>
    <row r="215" spans="18:23" x14ac:dyDescent="0.2">
      <c r="R215" t="s">
        <v>117</v>
      </c>
      <c r="S215">
        <v>0</v>
      </c>
      <c r="T215" t="s">
        <v>120</v>
      </c>
      <c r="U215">
        <v>4</v>
      </c>
      <c r="V215" t="s">
        <v>107</v>
      </c>
      <c r="W215" s="8">
        <v>79.8</v>
      </c>
    </row>
    <row r="216" spans="18:23" x14ac:dyDescent="0.2">
      <c r="R216" t="s">
        <v>117</v>
      </c>
      <c r="S216">
        <v>1</v>
      </c>
      <c r="T216" t="s">
        <v>120</v>
      </c>
      <c r="U216">
        <v>3</v>
      </c>
      <c r="V216" t="s">
        <v>107</v>
      </c>
      <c r="W216" s="8">
        <v>80</v>
      </c>
    </row>
    <row r="217" spans="18:23" x14ac:dyDescent="0.2">
      <c r="R217" t="s">
        <v>116</v>
      </c>
      <c r="S217">
        <v>1</v>
      </c>
      <c r="T217" t="s">
        <v>119</v>
      </c>
      <c r="U217">
        <v>1</v>
      </c>
      <c r="V217" t="s">
        <v>107</v>
      </c>
      <c r="W217" s="8">
        <v>80</v>
      </c>
    </row>
    <row r="218" spans="18:23" x14ac:dyDescent="0.2">
      <c r="R218" t="s">
        <v>116</v>
      </c>
      <c r="S218">
        <v>2</v>
      </c>
      <c r="T218" t="s">
        <v>120</v>
      </c>
      <c r="U218">
        <v>3</v>
      </c>
      <c r="V218" t="s">
        <v>106</v>
      </c>
      <c r="W218" s="8">
        <v>80</v>
      </c>
    </row>
    <row r="219" spans="18:23" x14ac:dyDescent="0.2">
      <c r="R219" t="s">
        <v>117</v>
      </c>
      <c r="S219">
        <v>0</v>
      </c>
      <c r="T219" t="s">
        <v>119</v>
      </c>
      <c r="U219">
        <v>1</v>
      </c>
      <c r="V219" t="s">
        <v>106</v>
      </c>
      <c r="W219" s="8">
        <v>80</v>
      </c>
    </row>
    <row r="220" spans="18:23" x14ac:dyDescent="0.2">
      <c r="R220" t="s">
        <v>117</v>
      </c>
      <c r="S220">
        <v>1</v>
      </c>
      <c r="T220" t="s">
        <v>119</v>
      </c>
      <c r="U220">
        <v>2</v>
      </c>
      <c r="V220" t="s">
        <v>106</v>
      </c>
      <c r="W220" s="8">
        <v>80</v>
      </c>
    </row>
    <row r="221" spans="18:23" x14ac:dyDescent="0.2">
      <c r="R221" t="s">
        <v>116</v>
      </c>
      <c r="S221">
        <v>0</v>
      </c>
      <c r="T221" t="s">
        <v>120</v>
      </c>
      <c r="U221">
        <v>1</v>
      </c>
      <c r="V221" t="s">
        <v>107</v>
      </c>
      <c r="W221" s="8">
        <v>80</v>
      </c>
    </row>
    <row r="222" spans="18:23" x14ac:dyDescent="0.2">
      <c r="R222" t="s">
        <v>116</v>
      </c>
      <c r="S222">
        <v>1</v>
      </c>
      <c r="T222" t="s">
        <v>119</v>
      </c>
      <c r="U222">
        <v>2</v>
      </c>
      <c r="V222" t="s">
        <v>107</v>
      </c>
      <c r="W222" s="8">
        <v>80</v>
      </c>
    </row>
    <row r="223" spans="18:23" x14ac:dyDescent="0.2">
      <c r="R223" t="s">
        <v>117</v>
      </c>
      <c r="S223">
        <v>1</v>
      </c>
      <c r="T223" t="s">
        <v>119</v>
      </c>
      <c r="U223">
        <v>1</v>
      </c>
      <c r="V223" t="s">
        <v>107</v>
      </c>
      <c r="W223" s="8">
        <v>80</v>
      </c>
    </row>
    <row r="224" spans="18:23" x14ac:dyDescent="0.2">
      <c r="R224" t="s">
        <v>117</v>
      </c>
      <c r="S224">
        <v>1</v>
      </c>
      <c r="T224" t="s">
        <v>119</v>
      </c>
      <c r="U224">
        <v>1</v>
      </c>
      <c r="V224" t="s">
        <v>106</v>
      </c>
      <c r="W224" s="8">
        <v>80</v>
      </c>
    </row>
    <row r="225" spans="18:23" x14ac:dyDescent="0.2">
      <c r="R225" t="s">
        <v>117</v>
      </c>
      <c r="S225">
        <v>1</v>
      </c>
      <c r="T225" t="s">
        <v>120</v>
      </c>
      <c r="U225">
        <v>5</v>
      </c>
      <c r="V225" t="s">
        <v>106</v>
      </c>
      <c r="W225" s="8">
        <v>80</v>
      </c>
    </row>
    <row r="226" spans="18:23" x14ac:dyDescent="0.2">
      <c r="R226" t="s">
        <v>117</v>
      </c>
      <c r="S226">
        <v>1</v>
      </c>
      <c r="T226" t="s">
        <v>119</v>
      </c>
      <c r="U226">
        <v>2</v>
      </c>
      <c r="V226" t="s">
        <v>107</v>
      </c>
      <c r="W226" s="8">
        <v>80</v>
      </c>
    </row>
    <row r="227" spans="18:23" x14ac:dyDescent="0.2">
      <c r="R227" t="s">
        <v>117</v>
      </c>
      <c r="S227">
        <v>4</v>
      </c>
      <c r="T227" t="s">
        <v>120</v>
      </c>
      <c r="U227">
        <v>3</v>
      </c>
      <c r="V227" t="s">
        <v>106</v>
      </c>
      <c r="W227" s="8">
        <v>80</v>
      </c>
    </row>
    <row r="228" spans="18:23" x14ac:dyDescent="0.2">
      <c r="R228" t="s">
        <v>116</v>
      </c>
      <c r="S228">
        <v>0</v>
      </c>
      <c r="T228" t="s">
        <v>120</v>
      </c>
      <c r="U228">
        <v>5</v>
      </c>
      <c r="V228" t="s">
        <v>107</v>
      </c>
      <c r="W228" s="8">
        <v>80</v>
      </c>
    </row>
    <row r="229" spans="18:23" x14ac:dyDescent="0.2">
      <c r="R229" t="s">
        <v>116</v>
      </c>
      <c r="S229">
        <v>0</v>
      </c>
      <c r="T229" t="s">
        <v>119</v>
      </c>
      <c r="U229">
        <v>3</v>
      </c>
      <c r="V229" t="s">
        <v>106</v>
      </c>
      <c r="W229" s="8">
        <v>80</v>
      </c>
    </row>
    <row r="230" spans="18:23" x14ac:dyDescent="0.2">
      <c r="R230" t="s">
        <v>116</v>
      </c>
      <c r="S230">
        <v>0</v>
      </c>
      <c r="T230" t="s">
        <v>119</v>
      </c>
      <c r="U230">
        <v>4</v>
      </c>
      <c r="V230" t="s">
        <v>107</v>
      </c>
      <c r="W230" s="8">
        <v>80</v>
      </c>
    </row>
    <row r="231" spans="18:23" x14ac:dyDescent="0.2">
      <c r="R231" t="s">
        <v>116</v>
      </c>
      <c r="S231">
        <v>0</v>
      </c>
      <c r="T231" t="s">
        <v>120</v>
      </c>
      <c r="U231">
        <v>2</v>
      </c>
      <c r="V231" t="s">
        <v>106</v>
      </c>
      <c r="W231" s="8">
        <v>80</v>
      </c>
    </row>
    <row r="232" spans="18:23" x14ac:dyDescent="0.2">
      <c r="R232" t="s">
        <v>116</v>
      </c>
      <c r="S232">
        <v>0</v>
      </c>
      <c r="T232" t="s">
        <v>119</v>
      </c>
      <c r="U232">
        <v>2</v>
      </c>
      <c r="V232" t="s">
        <v>106</v>
      </c>
      <c r="W232" s="8">
        <v>80</v>
      </c>
    </row>
    <row r="233" spans="18:23" x14ac:dyDescent="0.2">
      <c r="R233" t="s">
        <v>116</v>
      </c>
      <c r="S233">
        <v>0</v>
      </c>
      <c r="T233" t="s">
        <v>119</v>
      </c>
      <c r="U233">
        <v>2</v>
      </c>
      <c r="V233" t="s">
        <v>106</v>
      </c>
      <c r="W233" s="8">
        <v>80</v>
      </c>
    </row>
    <row r="234" spans="18:23" x14ac:dyDescent="0.2">
      <c r="R234" t="s">
        <v>116</v>
      </c>
      <c r="S234">
        <v>0</v>
      </c>
      <c r="T234" t="s">
        <v>120</v>
      </c>
      <c r="U234">
        <v>2</v>
      </c>
      <c r="V234" t="s">
        <v>106</v>
      </c>
      <c r="W234" s="8">
        <v>80</v>
      </c>
    </row>
    <row r="235" spans="18:23" x14ac:dyDescent="0.2">
      <c r="R235" t="s">
        <v>116</v>
      </c>
      <c r="S235">
        <v>0</v>
      </c>
      <c r="T235" t="s">
        <v>119</v>
      </c>
      <c r="U235">
        <v>2</v>
      </c>
      <c r="V235" t="s">
        <v>107</v>
      </c>
      <c r="W235" s="8">
        <v>80</v>
      </c>
    </row>
    <row r="236" spans="18:23" x14ac:dyDescent="0.2">
      <c r="R236" t="s">
        <v>116</v>
      </c>
      <c r="S236">
        <v>0</v>
      </c>
      <c r="T236" t="s">
        <v>119</v>
      </c>
      <c r="U236">
        <v>1</v>
      </c>
      <c r="V236" t="s">
        <v>107</v>
      </c>
      <c r="W236" s="8">
        <v>80</v>
      </c>
    </row>
    <row r="237" spans="18:23" x14ac:dyDescent="0.2">
      <c r="R237" t="s">
        <v>116</v>
      </c>
      <c r="S237">
        <v>0</v>
      </c>
      <c r="T237" t="s">
        <v>119</v>
      </c>
      <c r="U237">
        <v>2</v>
      </c>
      <c r="V237" t="s">
        <v>107</v>
      </c>
      <c r="W237" s="8">
        <v>80</v>
      </c>
    </row>
    <row r="238" spans="18:23" x14ac:dyDescent="0.2">
      <c r="R238" t="s">
        <v>116</v>
      </c>
      <c r="S238">
        <v>2</v>
      </c>
      <c r="T238" t="s">
        <v>119</v>
      </c>
      <c r="U238">
        <v>2</v>
      </c>
      <c r="V238" t="s">
        <v>106</v>
      </c>
      <c r="W238" s="8">
        <v>80</v>
      </c>
    </row>
    <row r="239" spans="18:23" x14ac:dyDescent="0.2">
      <c r="R239" t="s">
        <v>116</v>
      </c>
      <c r="S239">
        <v>2</v>
      </c>
      <c r="T239" t="s">
        <v>120</v>
      </c>
      <c r="U239">
        <v>3</v>
      </c>
      <c r="V239" t="s">
        <v>106</v>
      </c>
      <c r="W239" s="8">
        <v>80</v>
      </c>
    </row>
    <row r="240" spans="18:23" x14ac:dyDescent="0.2">
      <c r="R240" t="s">
        <v>116</v>
      </c>
      <c r="S240">
        <v>2</v>
      </c>
      <c r="T240" t="s">
        <v>119</v>
      </c>
      <c r="U240">
        <v>3</v>
      </c>
      <c r="V240" t="s">
        <v>106</v>
      </c>
      <c r="W240" s="8">
        <v>80</v>
      </c>
    </row>
    <row r="241" spans="18:23" x14ac:dyDescent="0.2">
      <c r="R241" t="s">
        <v>116</v>
      </c>
      <c r="S241">
        <v>2</v>
      </c>
      <c r="T241" t="s">
        <v>119</v>
      </c>
      <c r="U241">
        <v>2</v>
      </c>
      <c r="V241" t="s">
        <v>107</v>
      </c>
      <c r="W241" s="8">
        <v>80</v>
      </c>
    </row>
    <row r="242" spans="18:23" x14ac:dyDescent="0.2">
      <c r="R242" t="s">
        <v>116</v>
      </c>
      <c r="S242">
        <v>2</v>
      </c>
      <c r="T242" t="s">
        <v>120</v>
      </c>
      <c r="U242">
        <v>2</v>
      </c>
      <c r="V242" t="s">
        <v>107</v>
      </c>
      <c r="W242" s="8">
        <v>80</v>
      </c>
    </row>
    <row r="243" spans="18:23" x14ac:dyDescent="0.2">
      <c r="R243" t="s">
        <v>116</v>
      </c>
      <c r="S243">
        <v>1</v>
      </c>
      <c r="T243" t="s">
        <v>119</v>
      </c>
      <c r="U243">
        <v>3</v>
      </c>
      <c r="V243" t="s">
        <v>107</v>
      </c>
      <c r="W243" s="8">
        <v>80.5</v>
      </c>
    </row>
    <row r="244" spans="18:23" x14ac:dyDescent="0.2">
      <c r="R244" t="s">
        <v>116</v>
      </c>
      <c r="S244">
        <v>2</v>
      </c>
      <c r="T244" t="s">
        <v>119</v>
      </c>
      <c r="U244">
        <v>1</v>
      </c>
      <c r="V244" t="s">
        <v>106</v>
      </c>
      <c r="W244" s="8">
        <v>81</v>
      </c>
    </row>
    <row r="245" spans="18:23" x14ac:dyDescent="0.2">
      <c r="R245" t="s">
        <v>116</v>
      </c>
      <c r="S245">
        <v>4</v>
      </c>
      <c r="T245" t="s">
        <v>119</v>
      </c>
      <c r="U245">
        <v>2</v>
      </c>
      <c r="V245" t="s">
        <v>106</v>
      </c>
      <c r="W245" s="8">
        <v>83</v>
      </c>
    </row>
    <row r="246" spans="18:23" x14ac:dyDescent="0.2">
      <c r="R246" t="s">
        <v>116</v>
      </c>
      <c r="S246">
        <v>3</v>
      </c>
      <c r="T246" t="s">
        <v>119</v>
      </c>
      <c r="U246">
        <v>1</v>
      </c>
      <c r="V246" t="s">
        <v>106</v>
      </c>
      <c r="W246" s="8">
        <v>83</v>
      </c>
    </row>
    <row r="247" spans="18:23" x14ac:dyDescent="0.2">
      <c r="R247" t="s">
        <v>116</v>
      </c>
      <c r="S247">
        <v>1</v>
      </c>
      <c r="T247" t="s">
        <v>119</v>
      </c>
      <c r="U247">
        <v>3</v>
      </c>
      <c r="V247" t="s">
        <v>107</v>
      </c>
      <c r="W247" s="8">
        <v>83.5</v>
      </c>
    </row>
    <row r="248" spans="18:23" x14ac:dyDescent="0.2">
      <c r="R248" t="s">
        <v>116</v>
      </c>
      <c r="S248">
        <v>1</v>
      </c>
      <c r="T248" t="s">
        <v>119</v>
      </c>
      <c r="U248">
        <v>3</v>
      </c>
      <c r="V248" t="s">
        <v>107</v>
      </c>
      <c r="W248" s="8">
        <v>83.5</v>
      </c>
    </row>
    <row r="249" spans="18:23" x14ac:dyDescent="0.2">
      <c r="R249" t="s">
        <v>116</v>
      </c>
      <c r="S249">
        <v>1</v>
      </c>
      <c r="T249" t="s">
        <v>119</v>
      </c>
      <c r="U249">
        <v>1</v>
      </c>
      <c r="V249" t="s">
        <v>106</v>
      </c>
      <c r="W249" s="8">
        <v>85</v>
      </c>
    </row>
    <row r="250" spans="18:23" x14ac:dyDescent="0.2">
      <c r="R250" t="s">
        <v>116</v>
      </c>
      <c r="S250">
        <v>2</v>
      </c>
      <c r="T250" t="s">
        <v>119</v>
      </c>
      <c r="U250">
        <v>2</v>
      </c>
      <c r="V250" t="s">
        <v>106</v>
      </c>
      <c r="W250" s="8">
        <v>85</v>
      </c>
    </row>
    <row r="251" spans="18:23" x14ac:dyDescent="0.2">
      <c r="R251" t="s">
        <v>116</v>
      </c>
      <c r="S251">
        <v>1</v>
      </c>
      <c r="T251" t="s">
        <v>119</v>
      </c>
      <c r="U251">
        <v>2</v>
      </c>
      <c r="V251" t="s">
        <v>106</v>
      </c>
      <c r="W251" s="8">
        <v>85</v>
      </c>
    </row>
    <row r="252" spans="18:23" x14ac:dyDescent="0.2">
      <c r="R252" t="s">
        <v>116</v>
      </c>
      <c r="S252">
        <v>1</v>
      </c>
      <c r="T252" t="s">
        <v>119</v>
      </c>
      <c r="U252">
        <v>1</v>
      </c>
      <c r="V252" t="s">
        <v>106</v>
      </c>
      <c r="W252" s="8">
        <v>85</v>
      </c>
    </row>
    <row r="253" spans="18:23" x14ac:dyDescent="0.2">
      <c r="R253" t="s">
        <v>116</v>
      </c>
      <c r="S253">
        <v>1</v>
      </c>
      <c r="T253" t="s">
        <v>119</v>
      </c>
      <c r="U253">
        <v>2</v>
      </c>
      <c r="V253" t="s">
        <v>106</v>
      </c>
      <c r="W253" s="8">
        <v>85</v>
      </c>
    </row>
    <row r="254" spans="18:23" x14ac:dyDescent="0.2">
      <c r="R254" t="s">
        <v>116</v>
      </c>
      <c r="S254">
        <v>2</v>
      </c>
      <c r="T254" t="s">
        <v>119</v>
      </c>
      <c r="U254">
        <v>1</v>
      </c>
      <c r="V254" t="s">
        <v>107</v>
      </c>
      <c r="W254" s="8">
        <v>85</v>
      </c>
    </row>
    <row r="255" spans="18:23" x14ac:dyDescent="0.2">
      <c r="R255" t="s">
        <v>116</v>
      </c>
      <c r="S255">
        <v>1</v>
      </c>
      <c r="T255" t="s">
        <v>119</v>
      </c>
      <c r="U255">
        <v>1</v>
      </c>
      <c r="V255" t="s">
        <v>106</v>
      </c>
      <c r="W255" s="8">
        <v>85</v>
      </c>
    </row>
    <row r="256" spans="18:23" x14ac:dyDescent="0.2">
      <c r="R256" t="s">
        <v>116</v>
      </c>
      <c r="S256">
        <v>1</v>
      </c>
      <c r="T256" t="s">
        <v>119</v>
      </c>
      <c r="U256">
        <v>1</v>
      </c>
      <c r="V256" t="s">
        <v>106</v>
      </c>
      <c r="W256" s="8">
        <v>85</v>
      </c>
    </row>
    <row r="257" spans="18:23" x14ac:dyDescent="0.2">
      <c r="R257" t="s">
        <v>117</v>
      </c>
      <c r="S257">
        <v>0</v>
      </c>
      <c r="T257" t="s">
        <v>119</v>
      </c>
      <c r="U257">
        <v>4</v>
      </c>
      <c r="V257" t="s">
        <v>106</v>
      </c>
      <c r="W257" s="8">
        <v>85</v>
      </c>
    </row>
    <row r="258" spans="18:23" x14ac:dyDescent="0.2">
      <c r="R258" t="s">
        <v>117</v>
      </c>
      <c r="S258">
        <v>0</v>
      </c>
      <c r="T258" t="s">
        <v>120</v>
      </c>
      <c r="U258">
        <v>3</v>
      </c>
      <c r="V258" t="s">
        <v>106</v>
      </c>
      <c r="W258" s="8">
        <v>85</v>
      </c>
    </row>
    <row r="259" spans="18:23" x14ac:dyDescent="0.2">
      <c r="R259" t="s">
        <v>117</v>
      </c>
      <c r="S259">
        <v>0</v>
      </c>
      <c r="T259" t="s">
        <v>120</v>
      </c>
      <c r="U259">
        <v>3</v>
      </c>
      <c r="V259" t="s">
        <v>107</v>
      </c>
      <c r="W259" s="8">
        <v>85</v>
      </c>
    </row>
    <row r="260" spans="18:23" x14ac:dyDescent="0.2">
      <c r="R260" t="s">
        <v>117</v>
      </c>
      <c r="S260">
        <v>0</v>
      </c>
      <c r="T260" t="s">
        <v>120</v>
      </c>
      <c r="U260">
        <v>3</v>
      </c>
      <c r="V260" t="s">
        <v>106</v>
      </c>
      <c r="W260" s="8">
        <v>85</v>
      </c>
    </row>
    <row r="261" spans="18:23" x14ac:dyDescent="0.2">
      <c r="R261" t="s">
        <v>117</v>
      </c>
      <c r="S261">
        <v>4</v>
      </c>
      <c r="T261" t="s">
        <v>120</v>
      </c>
      <c r="U261">
        <v>3</v>
      </c>
      <c r="V261" t="s">
        <v>107</v>
      </c>
      <c r="W261" s="8">
        <v>85</v>
      </c>
    </row>
    <row r="262" spans="18:23" x14ac:dyDescent="0.2">
      <c r="R262" t="s">
        <v>117</v>
      </c>
      <c r="S262">
        <v>2</v>
      </c>
      <c r="T262" t="s">
        <v>119</v>
      </c>
      <c r="U262">
        <v>3</v>
      </c>
      <c r="V262" t="s">
        <v>107</v>
      </c>
      <c r="W262" s="8">
        <v>85</v>
      </c>
    </row>
    <row r="263" spans="18:23" x14ac:dyDescent="0.2">
      <c r="R263" t="s">
        <v>117</v>
      </c>
      <c r="S263">
        <v>3</v>
      </c>
      <c r="T263" t="s">
        <v>119</v>
      </c>
      <c r="U263">
        <v>1</v>
      </c>
      <c r="V263" t="s">
        <v>107</v>
      </c>
      <c r="W263" s="8">
        <v>85</v>
      </c>
    </row>
    <row r="264" spans="18:23" x14ac:dyDescent="0.2">
      <c r="R264" t="s">
        <v>117</v>
      </c>
      <c r="S264">
        <v>4</v>
      </c>
      <c r="T264" t="s">
        <v>119</v>
      </c>
      <c r="U264">
        <v>2</v>
      </c>
      <c r="V264" t="s">
        <v>107</v>
      </c>
      <c r="W264" s="8">
        <v>85</v>
      </c>
    </row>
    <row r="265" spans="18:23" x14ac:dyDescent="0.2">
      <c r="R265" t="s">
        <v>117</v>
      </c>
      <c r="S265">
        <v>3</v>
      </c>
      <c r="T265" t="s">
        <v>120</v>
      </c>
      <c r="U265">
        <v>3</v>
      </c>
      <c r="V265" t="s">
        <v>106</v>
      </c>
      <c r="W265" s="8">
        <v>85</v>
      </c>
    </row>
    <row r="266" spans="18:23" x14ac:dyDescent="0.2">
      <c r="R266" t="s">
        <v>117</v>
      </c>
      <c r="S266">
        <v>4</v>
      </c>
      <c r="T266" t="s">
        <v>119</v>
      </c>
      <c r="U266">
        <v>1</v>
      </c>
      <c r="V266" t="s">
        <v>106</v>
      </c>
      <c r="W266" s="8">
        <v>85</v>
      </c>
    </row>
    <row r="267" spans="18:23" x14ac:dyDescent="0.2">
      <c r="R267" t="s">
        <v>117</v>
      </c>
      <c r="S267">
        <v>4</v>
      </c>
      <c r="T267" t="s">
        <v>120</v>
      </c>
      <c r="U267">
        <v>3</v>
      </c>
      <c r="V267" t="s">
        <v>106</v>
      </c>
      <c r="W267" s="8">
        <v>85</v>
      </c>
    </row>
    <row r="268" spans="18:23" x14ac:dyDescent="0.2">
      <c r="R268" t="s">
        <v>117</v>
      </c>
      <c r="S268">
        <v>1</v>
      </c>
      <c r="T268" t="s">
        <v>119</v>
      </c>
      <c r="U268">
        <v>3</v>
      </c>
      <c r="V268" t="s">
        <v>107</v>
      </c>
      <c r="W268" s="8">
        <v>85</v>
      </c>
    </row>
    <row r="269" spans="18:23" x14ac:dyDescent="0.2">
      <c r="R269" t="s">
        <v>117</v>
      </c>
      <c r="S269">
        <v>3</v>
      </c>
      <c r="T269" t="s">
        <v>119</v>
      </c>
      <c r="U269">
        <v>1</v>
      </c>
      <c r="V269" t="s">
        <v>106</v>
      </c>
      <c r="W269" s="8">
        <v>85</v>
      </c>
    </row>
    <row r="270" spans="18:23" x14ac:dyDescent="0.2">
      <c r="R270" t="s">
        <v>117</v>
      </c>
      <c r="S270">
        <v>2</v>
      </c>
      <c r="T270" t="s">
        <v>120</v>
      </c>
      <c r="U270">
        <v>2</v>
      </c>
      <c r="V270" t="s">
        <v>107</v>
      </c>
      <c r="W270" s="8">
        <v>85</v>
      </c>
    </row>
    <row r="271" spans="18:23" x14ac:dyDescent="0.2">
      <c r="R271" t="s">
        <v>117</v>
      </c>
      <c r="S271">
        <v>1</v>
      </c>
      <c r="T271" t="s">
        <v>119</v>
      </c>
      <c r="U271">
        <v>1</v>
      </c>
      <c r="V271" t="s">
        <v>107</v>
      </c>
      <c r="W271" s="8">
        <v>85</v>
      </c>
    </row>
    <row r="272" spans="18:23" x14ac:dyDescent="0.2">
      <c r="R272" t="s">
        <v>117</v>
      </c>
      <c r="S272">
        <v>1</v>
      </c>
      <c r="T272" t="s">
        <v>119</v>
      </c>
      <c r="U272">
        <v>2</v>
      </c>
      <c r="V272" t="s">
        <v>107</v>
      </c>
      <c r="W272" s="8">
        <v>85</v>
      </c>
    </row>
    <row r="273" spans="18:23" x14ac:dyDescent="0.2">
      <c r="R273" t="s">
        <v>117</v>
      </c>
      <c r="S273">
        <v>2</v>
      </c>
      <c r="T273" t="s">
        <v>119</v>
      </c>
      <c r="U273">
        <v>1</v>
      </c>
      <c r="V273" t="s">
        <v>107</v>
      </c>
      <c r="W273" s="8">
        <v>85</v>
      </c>
    </row>
    <row r="274" spans="18:23" x14ac:dyDescent="0.2">
      <c r="R274" t="s">
        <v>117</v>
      </c>
      <c r="S274">
        <v>4</v>
      </c>
      <c r="T274" t="s">
        <v>119</v>
      </c>
      <c r="U274">
        <v>1</v>
      </c>
      <c r="V274" t="s">
        <v>106</v>
      </c>
      <c r="W274" s="8">
        <v>85</v>
      </c>
    </row>
    <row r="275" spans="18:23" x14ac:dyDescent="0.2">
      <c r="R275" t="s">
        <v>117</v>
      </c>
      <c r="S275">
        <v>4</v>
      </c>
      <c r="T275" t="s">
        <v>119</v>
      </c>
      <c r="U275">
        <v>2</v>
      </c>
      <c r="V275" t="s">
        <v>106</v>
      </c>
      <c r="W275" s="8">
        <v>85.3</v>
      </c>
    </row>
    <row r="276" spans="18:23" x14ac:dyDescent="0.2">
      <c r="R276" t="s">
        <v>117</v>
      </c>
      <c r="S276">
        <v>1</v>
      </c>
      <c r="T276" t="s">
        <v>119</v>
      </c>
      <c r="U276">
        <v>1</v>
      </c>
      <c r="V276" t="s">
        <v>106</v>
      </c>
      <c r="W276" s="8">
        <v>85.5</v>
      </c>
    </row>
    <row r="277" spans="18:23" x14ac:dyDescent="0.2">
      <c r="R277" t="s">
        <v>117</v>
      </c>
      <c r="S277">
        <v>4</v>
      </c>
      <c r="T277" t="s">
        <v>120</v>
      </c>
      <c r="U277">
        <v>1</v>
      </c>
      <c r="V277" t="s">
        <v>106</v>
      </c>
      <c r="W277" s="8">
        <v>86</v>
      </c>
    </row>
    <row r="278" spans="18:23" x14ac:dyDescent="0.2">
      <c r="R278" t="s">
        <v>117</v>
      </c>
      <c r="S278">
        <v>1</v>
      </c>
      <c r="T278" t="s">
        <v>119</v>
      </c>
      <c r="U278">
        <v>1</v>
      </c>
      <c r="V278" t="s">
        <v>107</v>
      </c>
      <c r="W278" s="8">
        <v>86</v>
      </c>
    </row>
    <row r="279" spans="18:23" x14ac:dyDescent="0.2">
      <c r="R279" t="s">
        <v>117</v>
      </c>
      <c r="S279">
        <v>1</v>
      </c>
      <c r="T279" t="s">
        <v>120</v>
      </c>
      <c r="U279">
        <v>2</v>
      </c>
      <c r="V279" t="s">
        <v>107</v>
      </c>
      <c r="W279" s="8">
        <v>86</v>
      </c>
    </row>
    <row r="280" spans="18:23" x14ac:dyDescent="0.2">
      <c r="R280" t="s">
        <v>117</v>
      </c>
      <c r="S280">
        <v>3</v>
      </c>
      <c r="T280" t="s">
        <v>120</v>
      </c>
      <c r="U280">
        <v>3</v>
      </c>
      <c r="V280" t="s">
        <v>106</v>
      </c>
      <c r="W280" s="8">
        <v>86</v>
      </c>
    </row>
    <row r="281" spans="18:23" x14ac:dyDescent="0.2">
      <c r="R281" t="s">
        <v>117</v>
      </c>
      <c r="S281">
        <v>1</v>
      </c>
      <c r="T281" t="s">
        <v>119</v>
      </c>
      <c r="U281">
        <v>3</v>
      </c>
      <c r="V281" t="s">
        <v>106</v>
      </c>
      <c r="W281" s="8">
        <v>86</v>
      </c>
    </row>
    <row r="282" spans="18:23" x14ac:dyDescent="0.2">
      <c r="R282" t="s">
        <v>117</v>
      </c>
      <c r="S282">
        <v>1</v>
      </c>
      <c r="T282" t="s">
        <v>119</v>
      </c>
      <c r="U282">
        <v>1</v>
      </c>
      <c r="V282" t="s">
        <v>107</v>
      </c>
      <c r="W282" s="8">
        <v>86</v>
      </c>
    </row>
    <row r="283" spans="18:23" x14ac:dyDescent="0.2">
      <c r="R283" t="s">
        <v>117</v>
      </c>
      <c r="S283">
        <v>1</v>
      </c>
      <c r="T283" t="s">
        <v>120</v>
      </c>
      <c r="U283">
        <v>2</v>
      </c>
      <c r="V283" t="s">
        <v>107</v>
      </c>
      <c r="W283" s="8">
        <v>86.7</v>
      </c>
    </row>
    <row r="284" spans="18:23" x14ac:dyDescent="0.2">
      <c r="R284" t="s">
        <v>117</v>
      </c>
      <c r="S284">
        <v>4</v>
      </c>
      <c r="T284" t="s">
        <v>120</v>
      </c>
      <c r="U284">
        <v>2</v>
      </c>
      <c r="V284" t="s">
        <v>107</v>
      </c>
      <c r="W284" s="8">
        <v>87</v>
      </c>
    </row>
    <row r="285" spans="18:23" x14ac:dyDescent="0.2">
      <c r="R285" t="s">
        <v>117</v>
      </c>
      <c r="S285">
        <v>2</v>
      </c>
      <c r="T285" t="s">
        <v>119</v>
      </c>
      <c r="U285">
        <v>1</v>
      </c>
      <c r="V285" t="s">
        <v>106</v>
      </c>
      <c r="W285" s="8">
        <v>87</v>
      </c>
    </row>
    <row r="286" spans="18:23" x14ac:dyDescent="0.2">
      <c r="R286" t="s">
        <v>117</v>
      </c>
      <c r="S286">
        <v>4</v>
      </c>
      <c r="T286" t="s">
        <v>119</v>
      </c>
      <c r="U286">
        <v>2</v>
      </c>
      <c r="V286" t="s">
        <v>107</v>
      </c>
      <c r="W286" s="8">
        <v>87</v>
      </c>
    </row>
    <row r="287" spans="18:23" x14ac:dyDescent="0.2">
      <c r="R287" t="s">
        <v>117</v>
      </c>
      <c r="S287">
        <v>4</v>
      </c>
      <c r="T287" t="s">
        <v>119</v>
      </c>
      <c r="U287">
        <v>1</v>
      </c>
      <c r="V287" t="s">
        <v>106</v>
      </c>
      <c r="W287" s="8">
        <v>87.5</v>
      </c>
    </row>
    <row r="288" spans="18:23" x14ac:dyDescent="0.2">
      <c r="R288" t="s">
        <v>117</v>
      </c>
      <c r="S288">
        <v>1</v>
      </c>
      <c r="T288" t="s">
        <v>120</v>
      </c>
      <c r="U288">
        <v>1</v>
      </c>
      <c r="V288" t="s">
        <v>107</v>
      </c>
      <c r="W288" s="8">
        <v>87.5</v>
      </c>
    </row>
    <row r="289" spans="18:23" x14ac:dyDescent="0.2">
      <c r="R289" t="s">
        <v>116</v>
      </c>
      <c r="S289">
        <v>0</v>
      </c>
      <c r="T289" t="s">
        <v>119</v>
      </c>
      <c r="U289">
        <v>1</v>
      </c>
      <c r="V289" t="s">
        <v>106</v>
      </c>
      <c r="W289" s="8">
        <v>88</v>
      </c>
    </row>
    <row r="290" spans="18:23" x14ac:dyDescent="0.2">
      <c r="R290" t="s">
        <v>116</v>
      </c>
      <c r="S290">
        <v>0</v>
      </c>
      <c r="T290" t="s">
        <v>120</v>
      </c>
      <c r="U290">
        <v>3</v>
      </c>
      <c r="V290" t="s">
        <v>107</v>
      </c>
      <c r="W290" s="8">
        <v>88</v>
      </c>
    </row>
    <row r="291" spans="18:23" x14ac:dyDescent="0.2">
      <c r="R291" t="s">
        <v>116</v>
      </c>
      <c r="S291">
        <v>2</v>
      </c>
      <c r="T291" t="s">
        <v>119</v>
      </c>
      <c r="U291">
        <v>2</v>
      </c>
      <c r="V291" t="s">
        <v>106</v>
      </c>
      <c r="W291" s="8">
        <v>88</v>
      </c>
    </row>
    <row r="292" spans="18:23" x14ac:dyDescent="0.2">
      <c r="R292" t="s">
        <v>116</v>
      </c>
      <c r="S292">
        <v>4</v>
      </c>
      <c r="T292" t="s">
        <v>119</v>
      </c>
      <c r="U292">
        <v>3</v>
      </c>
      <c r="V292" t="s">
        <v>106</v>
      </c>
      <c r="W292" s="8">
        <v>88</v>
      </c>
    </row>
    <row r="293" spans="18:23" x14ac:dyDescent="0.2">
      <c r="R293" t="s">
        <v>117</v>
      </c>
      <c r="S293">
        <v>2</v>
      </c>
      <c r="T293" t="s">
        <v>120</v>
      </c>
      <c r="U293">
        <v>2</v>
      </c>
      <c r="V293" t="s">
        <v>107</v>
      </c>
      <c r="W293" s="8">
        <v>88</v>
      </c>
    </row>
    <row r="294" spans="18:23" x14ac:dyDescent="0.2">
      <c r="R294" t="s">
        <v>116</v>
      </c>
      <c r="S294">
        <v>0</v>
      </c>
      <c r="T294" t="s">
        <v>120</v>
      </c>
      <c r="U294">
        <v>3</v>
      </c>
      <c r="V294" t="s">
        <v>107</v>
      </c>
      <c r="W294" s="8">
        <v>89.5</v>
      </c>
    </row>
    <row r="295" spans="18:23" x14ac:dyDescent="0.2">
      <c r="R295" t="s">
        <v>116</v>
      </c>
      <c r="S295">
        <v>0</v>
      </c>
      <c r="T295" t="s">
        <v>120</v>
      </c>
      <c r="U295">
        <v>5</v>
      </c>
      <c r="V295" t="s">
        <v>106</v>
      </c>
      <c r="W295" s="8">
        <v>90</v>
      </c>
    </row>
    <row r="296" spans="18:23" x14ac:dyDescent="0.2">
      <c r="R296" t="s">
        <v>116</v>
      </c>
      <c r="S296">
        <v>1</v>
      </c>
      <c r="T296" t="s">
        <v>119</v>
      </c>
      <c r="U296">
        <v>3</v>
      </c>
      <c r="V296" t="s">
        <v>106</v>
      </c>
      <c r="W296" s="8">
        <v>90</v>
      </c>
    </row>
    <row r="297" spans="18:23" x14ac:dyDescent="0.2">
      <c r="R297" t="s">
        <v>117</v>
      </c>
      <c r="S297">
        <v>3</v>
      </c>
      <c r="T297" t="s">
        <v>120</v>
      </c>
      <c r="U297">
        <v>2</v>
      </c>
      <c r="V297" t="s">
        <v>107</v>
      </c>
      <c r="W297" s="8">
        <v>90</v>
      </c>
    </row>
    <row r="298" spans="18:23" x14ac:dyDescent="0.2">
      <c r="R298" t="s">
        <v>117</v>
      </c>
      <c r="S298">
        <v>2</v>
      </c>
      <c r="T298" t="s">
        <v>120</v>
      </c>
      <c r="U298">
        <v>3</v>
      </c>
      <c r="V298" t="s">
        <v>106</v>
      </c>
      <c r="W298" s="8">
        <v>90</v>
      </c>
    </row>
    <row r="299" spans="18:23" x14ac:dyDescent="0.2">
      <c r="R299" t="s">
        <v>116</v>
      </c>
      <c r="S299">
        <v>0</v>
      </c>
      <c r="T299" t="s">
        <v>119</v>
      </c>
      <c r="U299">
        <v>1</v>
      </c>
      <c r="V299" t="s">
        <v>106</v>
      </c>
      <c r="W299" s="8">
        <v>90</v>
      </c>
    </row>
    <row r="300" spans="18:23" x14ac:dyDescent="0.2">
      <c r="R300" t="s">
        <v>116</v>
      </c>
      <c r="S300">
        <v>1</v>
      </c>
      <c r="T300" t="s">
        <v>120</v>
      </c>
      <c r="U300">
        <v>1</v>
      </c>
      <c r="V300" t="s">
        <v>106</v>
      </c>
      <c r="W300" s="8">
        <v>90</v>
      </c>
    </row>
    <row r="301" spans="18:23" x14ac:dyDescent="0.2">
      <c r="R301" t="s">
        <v>117</v>
      </c>
      <c r="S301">
        <v>1</v>
      </c>
      <c r="T301" t="s">
        <v>120</v>
      </c>
      <c r="U301">
        <v>3</v>
      </c>
      <c r="V301" t="s">
        <v>107</v>
      </c>
      <c r="W301" s="8">
        <v>90</v>
      </c>
    </row>
    <row r="302" spans="18:23" x14ac:dyDescent="0.2">
      <c r="R302" t="s">
        <v>117</v>
      </c>
      <c r="S302">
        <v>2</v>
      </c>
      <c r="T302" t="s">
        <v>119</v>
      </c>
      <c r="U302">
        <v>1</v>
      </c>
      <c r="V302" t="s">
        <v>107</v>
      </c>
      <c r="W302" s="8">
        <v>90</v>
      </c>
    </row>
    <row r="303" spans="18:23" x14ac:dyDescent="0.2">
      <c r="R303" t="s">
        <v>116</v>
      </c>
      <c r="S303">
        <v>4</v>
      </c>
      <c r="T303" t="s">
        <v>119</v>
      </c>
      <c r="U303">
        <v>1</v>
      </c>
      <c r="V303" t="s">
        <v>107</v>
      </c>
      <c r="W303" s="8">
        <v>90</v>
      </c>
    </row>
    <row r="304" spans="18:23" x14ac:dyDescent="0.2">
      <c r="R304" t="s">
        <v>116</v>
      </c>
      <c r="S304">
        <v>1</v>
      </c>
      <c r="T304" t="s">
        <v>119</v>
      </c>
      <c r="U304">
        <v>1</v>
      </c>
      <c r="V304" t="s">
        <v>106</v>
      </c>
      <c r="W304" s="8">
        <v>90</v>
      </c>
    </row>
    <row r="305" spans="18:23" x14ac:dyDescent="0.2">
      <c r="R305" t="s">
        <v>116</v>
      </c>
      <c r="S305">
        <v>1</v>
      </c>
      <c r="T305" t="s">
        <v>120</v>
      </c>
      <c r="U305">
        <v>2</v>
      </c>
      <c r="V305" t="s">
        <v>106</v>
      </c>
      <c r="W305" s="8">
        <v>90</v>
      </c>
    </row>
    <row r="306" spans="18:23" x14ac:dyDescent="0.2">
      <c r="R306" t="s">
        <v>117</v>
      </c>
      <c r="S306">
        <v>0</v>
      </c>
      <c r="T306" t="s">
        <v>119</v>
      </c>
      <c r="U306">
        <v>1</v>
      </c>
      <c r="V306" t="s">
        <v>107</v>
      </c>
      <c r="W306" s="8">
        <v>90</v>
      </c>
    </row>
    <row r="307" spans="18:23" x14ac:dyDescent="0.2">
      <c r="R307" t="s">
        <v>117</v>
      </c>
      <c r="S307">
        <v>4</v>
      </c>
      <c r="T307" t="s">
        <v>119</v>
      </c>
      <c r="U307">
        <v>1</v>
      </c>
      <c r="V307" t="s">
        <v>107</v>
      </c>
      <c r="W307" s="8">
        <v>90</v>
      </c>
    </row>
    <row r="308" spans="18:23" x14ac:dyDescent="0.2">
      <c r="R308" t="s">
        <v>116</v>
      </c>
      <c r="S308">
        <v>0</v>
      </c>
      <c r="T308" t="s">
        <v>119</v>
      </c>
      <c r="U308">
        <v>1</v>
      </c>
      <c r="V308" t="s">
        <v>107</v>
      </c>
      <c r="W308" s="8">
        <v>90</v>
      </c>
    </row>
    <row r="309" spans="18:23" x14ac:dyDescent="0.2">
      <c r="R309" t="s">
        <v>116</v>
      </c>
      <c r="S309">
        <v>0</v>
      </c>
      <c r="T309" t="s">
        <v>119</v>
      </c>
      <c r="U309">
        <v>2</v>
      </c>
      <c r="V309" t="s">
        <v>106</v>
      </c>
      <c r="W309" s="8">
        <v>90</v>
      </c>
    </row>
    <row r="310" spans="18:23" x14ac:dyDescent="0.2">
      <c r="R310" t="s">
        <v>116</v>
      </c>
      <c r="S310">
        <v>0</v>
      </c>
      <c r="T310" t="s">
        <v>119</v>
      </c>
      <c r="U310">
        <v>2</v>
      </c>
      <c r="V310" t="s">
        <v>106</v>
      </c>
      <c r="W310" s="8">
        <v>90</v>
      </c>
    </row>
    <row r="311" spans="18:23" x14ac:dyDescent="0.2">
      <c r="R311" t="s">
        <v>116</v>
      </c>
      <c r="S311">
        <v>0</v>
      </c>
      <c r="T311" t="s">
        <v>119</v>
      </c>
      <c r="U311">
        <v>4</v>
      </c>
      <c r="V311" t="s">
        <v>107</v>
      </c>
      <c r="W311" s="8">
        <v>90</v>
      </c>
    </row>
    <row r="312" spans="18:23" x14ac:dyDescent="0.2">
      <c r="R312" t="s">
        <v>116</v>
      </c>
      <c r="S312">
        <v>0</v>
      </c>
      <c r="T312" t="s">
        <v>120</v>
      </c>
      <c r="U312">
        <v>1</v>
      </c>
      <c r="V312" t="s">
        <v>106</v>
      </c>
      <c r="W312" s="8">
        <v>90</v>
      </c>
    </row>
    <row r="313" spans="18:23" x14ac:dyDescent="0.2">
      <c r="R313" t="s">
        <v>116</v>
      </c>
      <c r="S313">
        <v>0</v>
      </c>
      <c r="T313" t="s">
        <v>120</v>
      </c>
      <c r="U313">
        <v>5</v>
      </c>
      <c r="V313" t="s">
        <v>107</v>
      </c>
      <c r="W313" s="8">
        <v>90</v>
      </c>
    </row>
    <row r="314" spans="18:23" x14ac:dyDescent="0.2">
      <c r="R314" t="s">
        <v>116</v>
      </c>
      <c r="S314">
        <v>0</v>
      </c>
      <c r="T314" t="s">
        <v>120</v>
      </c>
      <c r="U314">
        <v>4</v>
      </c>
      <c r="V314" t="s">
        <v>106</v>
      </c>
      <c r="W314" s="8">
        <v>90</v>
      </c>
    </row>
    <row r="315" spans="18:23" x14ac:dyDescent="0.2">
      <c r="R315" t="s">
        <v>116</v>
      </c>
      <c r="S315">
        <v>0</v>
      </c>
      <c r="T315" t="s">
        <v>120</v>
      </c>
      <c r="U315">
        <v>5</v>
      </c>
      <c r="V315" t="s">
        <v>107</v>
      </c>
      <c r="W315" s="8">
        <v>90</v>
      </c>
    </row>
    <row r="316" spans="18:23" x14ac:dyDescent="0.2">
      <c r="R316" t="s">
        <v>116</v>
      </c>
      <c r="S316">
        <v>0</v>
      </c>
      <c r="T316" t="s">
        <v>120</v>
      </c>
      <c r="U316">
        <v>3</v>
      </c>
      <c r="V316" t="s">
        <v>107</v>
      </c>
      <c r="W316" s="8">
        <v>90</v>
      </c>
    </row>
    <row r="317" spans="18:23" x14ac:dyDescent="0.2">
      <c r="R317" t="s">
        <v>116</v>
      </c>
      <c r="S317">
        <v>0</v>
      </c>
      <c r="T317" t="s">
        <v>120</v>
      </c>
      <c r="U317">
        <v>3</v>
      </c>
      <c r="V317" t="s">
        <v>106</v>
      </c>
      <c r="W317" s="8">
        <v>90</v>
      </c>
    </row>
    <row r="318" spans="18:23" x14ac:dyDescent="0.2">
      <c r="R318" t="s">
        <v>116</v>
      </c>
      <c r="S318">
        <v>0</v>
      </c>
      <c r="T318" t="s">
        <v>120</v>
      </c>
      <c r="U318">
        <v>1</v>
      </c>
      <c r="V318" t="s">
        <v>107</v>
      </c>
      <c r="W318" s="8">
        <v>90</v>
      </c>
    </row>
    <row r="319" spans="18:23" x14ac:dyDescent="0.2">
      <c r="R319" t="s">
        <v>116</v>
      </c>
      <c r="S319">
        <v>0</v>
      </c>
      <c r="T319" t="s">
        <v>120</v>
      </c>
      <c r="U319">
        <v>3</v>
      </c>
      <c r="V319" t="s">
        <v>106</v>
      </c>
      <c r="W319" s="8">
        <v>90</v>
      </c>
    </row>
    <row r="320" spans="18:23" x14ac:dyDescent="0.2">
      <c r="R320" t="s">
        <v>116</v>
      </c>
      <c r="S320">
        <v>0</v>
      </c>
      <c r="T320" t="s">
        <v>119</v>
      </c>
      <c r="U320">
        <v>2</v>
      </c>
      <c r="V320" t="s">
        <v>106</v>
      </c>
      <c r="W320" s="8">
        <v>90</v>
      </c>
    </row>
    <row r="321" spans="18:23" x14ac:dyDescent="0.2">
      <c r="R321" t="s">
        <v>116</v>
      </c>
      <c r="S321">
        <v>2</v>
      </c>
      <c r="T321" t="s">
        <v>119</v>
      </c>
      <c r="U321">
        <v>1</v>
      </c>
      <c r="V321" t="s">
        <v>107</v>
      </c>
      <c r="W321" s="8">
        <v>90</v>
      </c>
    </row>
    <row r="322" spans="18:23" x14ac:dyDescent="0.2">
      <c r="R322" t="s">
        <v>116</v>
      </c>
      <c r="S322">
        <v>2</v>
      </c>
      <c r="T322" t="s">
        <v>119</v>
      </c>
      <c r="U322">
        <v>1</v>
      </c>
      <c r="V322" t="s">
        <v>106</v>
      </c>
      <c r="W322" s="8">
        <v>90</v>
      </c>
    </row>
    <row r="323" spans="18:23" x14ac:dyDescent="0.2">
      <c r="R323" t="s">
        <v>116</v>
      </c>
      <c r="S323">
        <v>2</v>
      </c>
      <c r="T323" t="s">
        <v>119</v>
      </c>
      <c r="U323">
        <v>1</v>
      </c>
      <c r="V323" t="s">
        <v>107</v>
      </c>
      <c r="W323" s="8">
        <v>90</v>
      </c>
    </row>
    <row r="324" spans="18:23" x14ac:dyDescent="0.2">
      <c r="R324" t="s">
        <v>116</v>
      </c>
      <c r="S324">
        <v>2</v>
      </c>
      <c r="T324" t="s">
        <v>120</v>
      </c>
      <c r="U324">
        <v>3</v>
      </c>
      <c r="V324" t="s">
        <v>106</v>
      </c>
      <c r="W324" s="8">
        <v>90</v>
      </c>
    </row>
    <row r="325" spans="18:23" x14ac:dyDescent="0.2">
      <c r="R325" t="s">
        <v>116</v>
      </c>
      <c r="S325">
        <v>1</v>
      </c>
      <c r="T325" t="s">
        <v>119</v>
      </c>
      <c r="U325">
        <v>2</v>
      </c>
      <c r="V325" t="s">
        <v>106</v>
      </c>
      <c r="W325" s="8">
        <v>90</v>
      </c>
    </row>
    <row r="326" spans="18:23" x14ac:dyDescent="0.2">
      <c r="R326" t="s">
        <v>116</v>
      </c>
      <c r="S326">
        <v>2</v>
      </c>
      <c r="T326" t="s">
        <v>119</v>
      </c>
      <c r="U326">
        <v>1</v>
      </c>
      <c r="V326" t="s">
        <v>107</v>
      </c>
      <c r="W326" s="8">
        <v>90</v>
      </c>
    </row>
    <row r="327" spans="18:23" x14ac:dyDescent="0.2">
      <c r="R327" t="s">
        <v>116</v>
      </c>
      <c r="S327">
        <v>1</v>
      </c>
      <c r="T327" t="s">
        <v>120</v>
      </c>
      <c r="U327">
        <v>3</v>
      </c>
      <c r="V327" t="s">
        <v>107</v>
      </c>
      <c r="W327" s="8">
        <v>90</v>
      </c>
    </row>
    <row r="328" spans="18:23" x14ac:dyDescent="0.2">
      <c r="R328" t="s">
        <v>116</v>
      </c>
      <c r="S328">
        <v>2</v>
      </c>
      <c r="T328" t="s">
        <v>119</v>
      </c>
      <c r="U328">
        <v>1</v>
      </c>
      <c r="V328" t="s">
        <v>106</v>
      </c>
      <c r="W328" s="8">
        <v>90</v>
      </c>
    </row>
    <row r="329" spans="18:23" x14ac:dyDescent="0.2">
      <c r="R329" t="s">
        <v>116</v>
      </c>
      <c r="S329">
        <v>1</v>
      </c>
      <c r="T329" t="s">
        <v>120</v>
      </c>
      <c r="U329">
        <v>2</v>
      </c>
      <c r="V329" t="s">
        <v>107</v>
      </c>
      <c r="W329" s="8">
        <v>90</v>
      </c>
    </row>
    <row r="330" spans="18:23" x14ac:dyDescent="0.2">
      <c r="R330" t="s">
        <v>116</v>
      </c>
      <c r="S330">
        <v>1</v>
      </c>
      <c r="T330" t="s">
        <v>119</v>
      </c>
      <c r="U330">
        <v>1</v>
      </c>
      <c r="V330" t="s">
        <v>106</v>
      </c>
      <c r="W330" s="8">
        <v>91</v>
      </c>
    </row>
    <row r="331" spans="18:23" x14ac:dyDescent="0.2">
      <c r="R331" t="s">
        <v>116</v>
      </c>
      <c r="S331">
        <v>1</v>
      </c>
      <c r="T331" t="s">
        <v>120</v>
      </c>
      <c r="U331">
        <v>5</v>
      </c>
      <c r="V331" t="s">
        <v>106</v>
      </c>
      <c r="W331" s="8">
        <v>91</v>
      </c>
    </row>
    <row r="332" spans="18:23" x14ac:dyDescent="0.2">
      <c r="R332" t="s">
        <v>116</v>
      </c>
      <c r="S332">
        <v>1</v>
      </c>
      <c r="T332" t="s">
        <v>119</v>
      </c>
      <c r="U332">
        <v>2</v>
      </c>
      <c r="V332" t="s">
        <v>107</v>
      </c>
      <c r="W332" s="8">
        <v>91</v>
      </c>
    </row>
    <row r="333" spans="18:23" x14ac:dyDescent="0.2">
      <c r="R333" t="s">
        <v>116</v>
      </c>
      <c r="S333">
        <v>1</v>
      </c>
      <c r="T333" t="s">
        <v>119</v>
      </c>
      <c r="U333">
        <v>1</v>
      </c>
      <c r="V333" t="s">
        <v>106</v>
      </c>
      <c r="W333" s="8">
        <v>92</v>
      </c>
    </row>
    <row r="334" spans="18:23" x14ac:dyDescent="0.2">
      <c r="R334" t="s">
        <v>117</v>
      </c>
      <c r="S334">
        <v>0</v>
      </c>
      <c r="T334" t="s">
        <v>119</v>
      </c>
      <c r="U334">
        <v>1</v>
      </c>
      <c r="V334" t="s">
        <v>107</v>
      </c>
      <c r="W334" s="8">
        <v>92</v>
      </c>
    </row>
    <row r="335" spans="18:23" x14ac:dyDescent="0.2">
      <c r="R335" t="s">
        <v>117</v>
      </c>
      <c r="S335">
        <v>0</v>
      </c>
      <c r="T335" t="s">
        <v>119</v>
      </c>
      <c r="U335">
        <v>1</v>
      </c>
      <c r="V335" t="s">
        <v>107</v>
      </c>
      <c r="W335" s="8">
        <v>92.5</v>
      </c>
    </row>
    <row r="336" spans="18:23" x14ac:dyDescent="0.2">
      <c r="R336" t="s">
        <v>117</v>
      </c>
      <c r="S336">
        <v>0</v>
      </c>
      <c r="T336" t="s">
        <v>120</v>
      </c>
      <c r="U336">
        <v>2</v>
      </c>
      <c r="V336" t="s">
        <v>107</v>
      </c>
      <c r="W336" s="8">
        <v>92.5</v>
      </c>
    </row>
    <row r="337" spans="18:23" x14ac:dyDescent="0.2">
      <c r="R337" t="s">
        <v>117</v>
      </c>
      <c r="S337">
        <v>0</v>
      </c>
      <c r="T337" t="s">
        <v>120</v>
      </c>
      <c r="U337">
        <v>5</v>
      </c>
      <c r="V337" t="s">
        <v>106</v>
      </c>
      <c r="W337" s="8">
        <v>92.6</v>
      </c>
    </row>
    <row r="338" spans="18:23" x14ac:dyDescent="0.2">
      <c r="R338" t="s">
        <v>117</v>
      </c>
      <c r="S338">
        <v>1</v>
      </c>
      <c r="T338" t="s">
        <v>120</v>
      </c>
      <c r="U338">
        <v>2</v>
      </c>
      <c r="V338" t="s">
        <v>106</v>
      </c>
      <c r="W338" s="8">
        <v>93</v>
      </c>
    </row>
    <row r="339" spans="18:23" x14ac:dyDescent="0.2">
      <c r="R339" t="s">
        <v>117</v>
      </c>
      <c r="S339">
        <v>2</v>
      </c>
      <c r="T339" t="s">
        <v>119</v>
      </c>
      <c r="U339">
        <v>1</v>
      </c>
      <c r="V339" t="s">
        <v>106</v>
      </c>
      <c r="W339" s="8">
        <v>93</v>
      </c>
    </row>
    <row r="340" spans="18:23" x14ac:dyDescent="0.2">
      <c r="R340" t="s">
        <v>117</v>
      </c>
      <c r="S340">
        <v>4</v>
      </c>
      <c r="T340" t="s">
        <v>119</v>
      </c>
      <c r="U340">
        <v>1</v>
      </c>
      <c r="V340" t="s">
        <v>107</v>
      </c>
      <c r="W340" s="8">
        <v>93.5</v>
      </c>
    </row>
    <row r="341" spans="18:23" x14ac:dyDescent="0.2">
      <c r="R341" t="s">
        <v>117</v>
      </c>
      <c r="S341">
        <v>4</v>
      </c>
      <c r="T341" t="s">
        <v>120</v>
      </c>
      <c r="U341">
        <v>2</v>
      </c>
      <c r="V341" t="s">
        <v>106</v>
      </c>
      <c r="W341" s="8">
        <v>94</v>
      </c>
    </row>
    <row r="342" spans="18:23" x14ac:dyDescent="0.2">
      <c r="R342" t="s">
        <v>117</v>
      </c>
      <c r="S342">
        <v>3</v>
      </c>
      <c r="T342" t="s">
        <v>120</v>
      </c>
      <c r="U342">
        <v>2</v>
      </c>
      <c r="V342" t="s">
        <v>107</v>
      </c>
      <c r="W342" s="8">
        <v>94.5</v>
      </c>
    </row>
    <row r="343" spans="18:23" x14ac:dyDescent="0.2">
      <c r="R343" t="s">
        <v>117</v>
      </c>
      <c r="S343">
        <v>4</v>
      </c>
      <c r="T343" t="s">
        <v>120</v>
      </c>
      <c r="U343">
        <v>1</v>
      </c>
      <c r="V343" t="s">
        <v>107</v>
      </c>
      <c r="W343" s="8">
        <v>94.5</v>
      </c>
    </row>
    <row r="344" spans="18:23" x14ac:dyDescent="0.2">
      <c r="R344" t="s">
        <v>117</v>
      </c>
      <c r="S344">
        <v>1</v>
      </c>
      <c r="T344" t="s">
        <v>119</v>
      </c>
      <c r="U344">
        <v>3</v>
      </c>
      <c r="V344" t="s">
        <v>107</v>
      </c>
      <c r="W344" s="8">
        <v>95</v>
      </c>
    </row>
    <row r="345" spans="18:23" x14ac:dyDescent="0.2">
      <c r="R345" t="s">
        <v>117</v>
      </c>
      <c r="S345">
        <v>1</v>
      </c>
      <c r="T345" t="s">
        <v>119</v>
      </c>
      <c r="U345">
        <v>1</v>
      </c>
      <c r="V345" t="s">
        <v>106</v>
      </c>
      <c r="W345" s="8">
        <v>95</v>
      </c>
    </row>
    <row r="346" spans="18:23" x14ac:dyDescent="0.2">
      <c r="R346" t="s">
        <v>117</v>
      </c>
      <c r="S346">
        <v>2</v>
      </c>
      <c r="T346" t="s">
        <v>119</v>
      </c>
      <c r="U346">
        <v>2</v>
      </c>
      <c r="V346" t="s">
        <v>106</v>
      </c>
      <c r="W346" s="8">
        <v>95</v>
      </c>
    </row>
    <row r="347" spans="18:23" x14ac:dyDescent="0.2">
      <c r="R347" t="s">
        <v>117</v>
      </c>
      <c r="S347">
        <v>4</v>
      </c>
      <c r="T347" t="s">
        <v>120</v>
      </c>
      <c r="U347">
        <v>2</v>
      </c>
      <c r="V347" t="s">
        <v>107</v>
      </c>
      <c r="W347" s="8">
        <v>95</v>
      </c>
    </row>
    <row r="348" spans="18:23" x14ac:dyDescent="0.2">
      <c r="R348" t="s">
        <v>117</v>
      </c>
      <c r="S348">
        <v>1</v>
      </c>
      <c r="T348" t="s">
        <v>119</v>
      </c>
      <c r="U348">
        <v>2</v>
      </c>
      <c r="V348" t="s">
        <v>106</v>
      </c>
      <c r="W348" s="8">
        <v>95</v>
      </c>
    </row>
    <row r="349" spans="18:23" x14ac:dyDescent="0.2">
      <c r="R349" t="s">
        <v>117</v>
      </c>
      <c r="S349">
        <v>4</v>
      </c>
      <c r="T349" t="s">
        <v>120</v>
      </c>
      <c r="U349">
        <v>3</v>
      </c>
      <c r="V349" t="s">
        <v>107</v>
      </c>
      <c r="W349" s="8">
        <v>95</v>
      </c>
    </row>
    <row r="350" spans="18:23" x14ac:dyDescent="0.2">
      <c r="R350" t="s">
        <v>117</v>
      </c>
      <c r="S350">
        <v>1</v>
      </c>
      <c r="T350" t="s">
        <v>119</v>
      </c>
      <c r="U350">
        <v>2</v>
      </c>
      <c r="V350" t="s">
        <v>107</v>
      </c>
      <c r="W350" s="8">
        <v>95</v>
      </c>
    </row>
    <row r="351" spans="18:23" x14ac:dyDescent="0.2">
      <c r="R351" t="s">
        <v>117</v>
      </c>
      <c r="S351">
        <v>1</v>
      </c>
      <c r="T351" t="s">
        <v>119</v>
      </c>
      <c r="U351">
        <v>2</v>
      </c>
      <c r="V351" t="s">
        <v>106</v>
      </c>
      <c r="W351" s="8">
        <v>95</v>
      </c>
    </row>
    <row r="352" spans="18:23" x14ac:dyDescent="0.2">
      <c r="R352" t="s">
        <v>117</v>
      </c>
      <c r="S352">
        <v>3</v>
      </c>
      <c r="T352" t="s">
        <v>120</v>
      </c>
      <c r="U352">
        <v>2</v>
      </c>
      <c r="V352" t="s">
        <v>106</v>
      </c>
      <c r="W352" s="8">
        <v>95</v>
      </c>
    </row>
    <row r="353" spans="18:23" x14ac:dyDescent="0.2">
      <c r="R353" t="s">
        <v>117</v>
      </c>
      <c r="S353">
        <v>1</v>
      </c>
      <c r="T353" t="s">
        <v>119</v>
      </c>
      <c r="U353">
        <v>3</v>
      </c>
      <c r="V353" t="s">
        <v>107</v>
      </c>
      <c r="W353" s="8">
        <v>95</v>
      </c>
    </row>
    <row r="354" spans="18:23" x14ac:dyDescent="0.2">
      <c r="R354" t="s">
        <v>117</v>
      </c>
      <c r="S354">
        <v>2</v>
      </c>
      <c r="T354" t="s">
        <v>120</v>
      </c>
      <c r="U354">
        <v>3</v>
      </c>
      <c r="V354" t="s">
        <v>107</v>
      </c>
      <c r="W354" s="8">
        <v>95</v>
      </c>
    </row>
    <row r="355" spans="18:23" x14ac:dyDescent="0.2">
      <c r="R355" t="s">
        <v>117</v>
      </c>
      <c r="S355">
        <v>1</v>
      </c>
      <c r="T355" t="s">
        <v>119</v>
      </c>
      <c r="U355">
        <v>1</v>
      </c>
      <c r="V355" t="s">
        <v>107</v>
      </c>
      <c r="W355" s="8">
        <v>95</v>
      </c>
    </row>
    <row r="356" spans="18:23" x14ac:dyDescent="0.2">
      <c r="R356" t="s">
        <v>117</v>
      </c>
      <c r="S356">
        <v>1</v>
      </c>
      <c r="T356" t="s">
        <v>119</v>
      </c>
      <c r="U356">
        <v>1</v>
      </c>
      <c r="V356" t="s">
        <v>107</v>
      </c>
      <c r="W356" s="8">
        <v>95</v>
      </c>
    </row>
    <row r="357" spans="18:23" x14ac:dyDescent="0.2">
      <c r="R357" t="s">
        <v>117</v>
      </c>
      <c r="S357">
        <v>2</v>
      </c>
      <c r="T357" t="s">
        <v>120</v>
      </c>
      <c r="U357">
        <v>3</v>
      </c>
      <c r="V357" t="s">
        <v>106</v>
      </c>
      <c r="W357" s="8">
        <v>95.33</v>
      </c>
    </row>
    <row r="358" spans="18:23" x14ac:dyDescent="0.2">
      <c r="R358" t="s">
        <v>116</v>
      </c>
      <c r="S358">
        <v>1</v>
      </c>
      <c r="T358" t="s">
        <v>119</v>
      </c>
      <c r="U358">
        <v>3</v>
      </c>
      <c r="V358" t="s">
        <v>106</v>
      </c>
      <c r="W358" s="8">
        <v>96</v>
      </c>
    </row>
    <row r="359" spans="18:23" x14ac:dyDescent="0.2">
      <c r="R359" t="s">
        <v>116</v>
      </c>
      <c r="S359">
        <v>0</v>
      </c>
      <c r="T359" t="s">
        <v>120</v>
      </c>
      <c r="U359">
        <v>2</v>
      </c>
      <c r="V359" t="s">
        <v>107</v>
      </c>
      <c r="W359" s="8">
        <v>96.5</v>
      </c>
    </row>
    <row r="360" spans="18:23" x14ac:dyDescent="0.2">
      <c r="R360" t="s">
        <v>116</v>
      </c>
      <c r="S360">
        <v>0</v>
      </c>
      <c r="T360" t="s">
        <v>120</v>
      </c>
      <c r="U360">
        <v>4</v>
      </c>
      <c r="V360" t="s">
        <v>106</v>
      </c>
      <c r="W360" s="8">
        <v>97</v>
      </c>
    </row>
    <row r="361" spans="18:23" x14ac:dyDescent="0.2">
      <c r="R361" t="s">
        <v>117</v>
      </c>
      <c r="S361">
        <v>3</v>
      </c>
      <c r="T361" t="s">
        <v>120</v>
      </c>
      <c r="U361">
        <v>2</v>
      </c>
      <c r="V361" t="s">
        <v>107</v>
      </c>
      <c r="W361" s="8">
        <v>97</v>
      </c>
    </row>
    <row r="362" spans="18:23" x14ac:dyDescent="0.2">
      <c r="R362" t="s">
        <v>117</v>
      </c>
      <c r="S362">
        <v>1</v>
      </c>
      <c r="T362" t="s">
        <v>119</v>
      </c>
      <c r="U362">
        <v>2</v>
      </c>
      <c r="V362" t="s">
        <v>106</v>
      </c>
      <c r="W362" s="8">
        <v>97</v>
      </c>
    </row>
    <row r="363" spans="18:23" x14ac:dyDescent="0.2">
      <c r="R363" t="s">
        <v>117</v>
      </c>
      <c r="S363">
        <v>4</v>
      </c>
      <c r="T363" t="s">
        <v>119</v>
      </c>
      <c r="U363">
        <v>1</v>
      </c>
      <c r="V363" t="s">
        <v>106</v>
      </c>
      <c r="W363" s="8">
        <v>97</v>
      </c>
    </row>
    <row r="364" spans="18:23" x14ac:dyDescent="0.2">
      <c r="R364" t="s">
        <v>117</v>
      </c>
      <c r="S364">
        <v>4</v>
      </c>
      <c r="T364" t="s">
        <v>119</v>
      </c>
      <c r="U364">
        <v>2</v>
      </c>
      <c r="V364" t="s">
        <v>107</v>
      </c>
      <c r="W364" s="8">
        <v>97.5</v>
      </c>
    </row>
    <row r="365" spans="18:23" x14ac:dyDescent="0.2">
      <c r="R365" t="s">
        <v>116</v>
      </c>
      <c r="S365">
        <v>0</v>
      </c>
      <c r="T365" t="s">
        <v>119</v>
      </c>
      <c r="U365">
        <v>3</v>
      </c>
      <c r="V365" t="s">
        <v>107</v>
      </c>
      <c r="W365" s="8">
        <v>97.66</v>
      </c>
    </row>
    <row r="366" spans="18:23" x14ac:dyDescent="0.2">
      <c r="R366" t="s">
        <v>116</v>
      </c>
      <c r="S366">
        <v>2</v>
      </c>
      <c r="T366" t="s">
        <v>120</v>
      </c>
      <c r="U366">
        <v>5</v>
      </c>
      <c r="V366" t="s">
        <v>107</v>
      </c>
      <c r="W366" s="8">
        <v>98</v>
      </c>
    </row>
    <row r="367" spans="18:23" x14ac:dyDescent="0.2">
      <c r="R367" t="s">
        <v>117</v>
      </c>
      <c r="S367">
        <v>2</v>
      </c>
      <c r="T367" t="s">
        <v>120</v>
      </c>
      <c r="U367">
        <v>3</v>
      </c>
      <c r="V367" t="s">
        <v>107</v>
      </c>
      <c r="W367" s="8">
        <v>98</v>
      </c>
    </row>
    <row r="368" spans="18:23" x14ac:dyDescent="0.2">
      <c r="R368" t="s">
        <v>117</v>
      </c>
      <c r="S368">
        <v>4</v>
      </c>
      <c r="T368" t="s">
        <v>120</v>
      </c>
      <c r="U368">
        <v>2</v>
      </c>
      <c r="V368" t="s">
        <v>106</v>
      </c>
      <c r="W368" s="8">
        <v>98</v>
      </c>
    </row>
    <row r="369" spans="18:23" x14ac:dyDescent="0.2">
      <c r="R369" t="s">
        <v>117</v>
      </c>
      <c r="S369">
        <v>3</v>
      </c>
      <c r="T369" t="s">
        <v>120</v>
      </c>
      <c r="U369">
        <v>1</v>
      </c>
      <c r="V369" t="s">
        <v>107</v>
      </c>
      <c r="W369" s="8">
        <v>98</v>
      </c>
    </row>
    <row r="370" spans="18:23" x14ac:dyDescent="0.2">
      <c r="R370" t="s">
        <v>116</v>
      </c>
      <c r="S370">
        <v>0</v>
      </c>
      <c r="T370" t="s">
        <v>119</v>
      </c>
      <c r="U370">
        <v>1</v>
      </c>
      <c r="V370" t="s">
        <v>107</v>
      </c>
      <c r="W370" s="8">
        <v>98</v>
      </c>
    </row>
    <row r="371" spans="18:23" x14ac:dyDescent="0.2">
      <c r="R371" t="s">
        <v>116</v>
      </c>
      <c r="S371">
        <v>1</v>
      </c>
      <c r="T371" t="s">
        <v>119</v>
      </c>
      <c r="U371">
        <v>1</v>
      </c>
      <c r="V371" t="s">
        <v>106</v>
      </c>
      <c r="W371" s="8">
        <v>98</v>
      </c>
    </row>
    <row r="372" spans="18:23" x14ac:dyDescent="0.2">
      <c r="R372" t="s">
        <v>117</v>
      </c>
      <c r="S372">
        <v>0</v>
      </c>
      <c r="T372" t="s">
        <v>120</v>
      </c>
      <c r="U372">
        <v>5</v>
      </c>
      <c r="V372" t="s">
        <v>107</v>
      </c>
      <c r="W372" s="8">
        <v>98</v>
      </c>
    </row>
    <row r="373" spans="18:23" x14ac:dyDescent="0.2">
      <c r="R373" t="s">
        <v>116</v>
      </c>
      <c r="S373">
        <v>2</v>
      </c>
      <c r="T373" t="s">
        <v>119</v>
      </c>
      <c r="U373">
        <v>2</v>
      </c>
      <c r="V373" t="s">
        <v>107</v>
      </c>
      <c r="W373" s="8">
        <v>98</v>
      </c>
    </row>
    <row r="374" spans="18:23" x14ac:dyDescent="0.2">
      <c r="R374" t="s">
        <v>117</v>
      </c>
      <c r="S374">
        <v>2</v>
      </c>
      <c r="T374" t="s">
        <v>120</v>
      </c>
      <c r="U374">
        <v>1</v>
      </c>
      <c r="V374" t="s">
        <v>107</v>
      </c>
      <c r="W374" s="8">
        <v>98</v>
      </c>
    </row>
    <row r="375" spans="18:23" x14ac:dyDescent="0.2">
      <c r="R375" t="s">
        <v>117</v>
      </c>
      <c r="S375">
        <v>3</v>
      </c>
      <c r="T375" t="s">
        <v>119</v>
      </c>
      <c r="U375">
        <v>3</v>
      </c>
      <c r="V375" t="s">
        <v>107</v>
      </c>
      <c r="W375" s="8">
        <v>98.5</v>
      </c>
    </row>
    <row r="376" spans="18:23" x14ac:dyDescent="0.2">
      <c r="R376" t="s">
        <v>116</v>
      </c>
      <c r="S376">
        <v>0</v>
      </c>
      <c r="T376" t="s">
        <v>119</v>
      </c>
      <c r="U376">
        <v>2</v>
      </c>
      <c r="V376" t="s">
        <v>106</v>
      </c>
      <c r="W376" s="8">
        <v>98.5</v>
      </c>
    </row>
    <row r="377" spans="18:23" x14ac:dyDescent="0.2">
      <c r="R377" t="s">
        <v>116</v>
      </c>
      <c r="S377">
        <v>2</v>
      </c>
      <c r="T377" t="s">
        <v>120</v>
      </c>
      <c r="U377">
        <v>1</v>
      </c>
      <c r="V377" t="s">
        <v>107</v>
      </c>
      <c r="W377" s="8">
        <v>99</v>
      </c>
    </row>
    <row r="378" spans="18:23" x14ac:dyDescent="0.2">
      <c r="R378" t="s">
        <v>117</v>
      </c>
      <c r="S378">
        <v>3</v>
      </c>
      <c r="T378" t="s">
        <v>119</v>
      </c>
      <c r="U378">
        <v>2</v>
      </c>
      <c r="V378" t="s">
        <v>106</v>
      </c>
      <c r="W378" s="8">
        <v>99</v>
      </c>
    </row>
    <row r="379" spans="18:23" x14ac:dyDescent="0.2">
      <c r="R379" t="s">
        <v>117</v>
      </c>
      <c r="S379">
        <v>1</v>
      </c>
      <c r="T379" t="s">
        <v>120</v>
      </c>
      <c r="U379">
        <v>1</v>
      </c>
      <c r="V379" t="s">
        <v>107</v>
      </c>
      <c r="W379" s="8">
        <v>99</v>
      </c>
    </row>
    <row r="380" spans="18:23" x14ac:dyDescent="0.2">
      <c r="R380" t="s">
        <v>117</v>
      </c>
      <c r="S380">
        <v>2</v>
      </c>
      <c r="T380" t="s">
        <v>119</v>
      </c>
      <c r="U380">
        <v>2</v>
      </c>
      <c r="V380" t="s">
        <v>107</v>
      </c>
      <c r="W380" s="8">
        <v>99</v>
      </c>
    </row>
    <row r="381" spans="18:23" x14ac:dyDescent="0.2">
      <c r="R381" t="s">
        <v>116</v>
      </c>
      <c r="S381">
        <v>0</v>
      </c>
      <c r="T381" t="s">
        <v>120</v>
      </c>
      <c r="U381">
        <v>2</v>
      </c>
      <c r="V381" t="s">
        <v>106</v>
      </c>
      <c r="W381" s="8">
        <v>100</v>
      </c>
    </row>
    <row r="382" spans="18:23" x14ac:dyDescent="0.2">
      <c r="R382" t="s">
        <v>116</v>
      </c>
      <c r="S382">
        <v>0</v>
      </c>
      <c r="T382" t="s">
        <v>119</v>
      </c>
      <c r="U382">
        <v>1</v>
      </c>
      <c r="V382" t="s">
        <v>106</v>
      </c>
      <c r="W382" s="8">
        <v>100</v>
      </c>
    </row>
    <row r="383" spans="18:23" x14ac:dyDescent="0.2">
      <c r="R383" t="s">
        <v>116</v>
      </c>
      <c r="S383">
        <v>0</v>
      </c>
      <c r="T383" t="s">
        <v>120</v>
      </c>
      <c r="U383">
        <v>3</v>
      </c>
      <c r="V383" t="s">
        <v>106</v>
      </c>
      <c r="W383" s="8">
        <v>100</v>
      </c>
    </row>
    <row r="384" spans="18:23" x14ac:dyDescent="0.2">
      <c r="R384" t="s">
        <v>116</v>
      </c>
      <c r="S384">
        <v>0</v>
      </c>
      <c r="T384" t="s">
        <v>119</v>
      </c>
      <c r="U384">
        <v>2</v>
      </c>
      <c r="V384" t="s">
        <v>106</v>
      </c>
      <c r="W384" s="8">
        <v>100</v>
      </c>
    </row>
    <row r="385" spans="18:23" x14ac:dyDescent="0.2">
      <c r="R385" t="s">
        <v>116</v>
      </c>
      <c r="S385">
        <v>0</v>
      </c>
      <c r="T385" t="s">
        <v>119</v>
      </c>
      <c r="U385">
        <v>1</v>
      </c>
      <c r="V385" t="s">
        <v>106</v>
      </c>
      <c r="W385" s="8">
        <v>100</v>
      </c>
    </row>
    <row r="386" spans="18:23" x14ac:dyDescent="0.2">
      <c r="R386" t="s">
        <v>116</v>
      </c>
      <c r="S386">
        <v>0</v>
      </c>
      <c r="T386" t="s">
        <v>119</v>
      </c>
      <c r="U386">
        <v>2</v>
      </c>
      <c r="V386" t="s">
        <v>106</v>
      </c>
      <c r="W386" s="8">
        <v>100</v>
      </c>
    </row>
    <row r="387" spans="18:23" x14ac:dyDescent="0.2">
      <c r="R387" t="s">
        <v>116</v>
      </c>
      <c r="S387">
        <v>0</v>
      </c>
      <c r="T387" t="s">
        <v>119</v>
      </c>
      <c r="U387">
        <v>2</v>
      </c>
      <c r="V387" t="s">
        <v>106</v>
      </c>
      <c r="W387" s="8">
        <v>100</v>
      </c>
    </row>
    <row r="388" spans="18:23" x14ac:dyDescent="0.2">
      <c r="R388" t="s">
        <v>116</v>
      </c>
      <c r="S388">
        <v>0</v>
      </c>
      <c r="T388" t="s">
        <v>119</v>
      </c>
      <c r="U388">
        <v>5</v>
      </c>
      <c r="V388" t="s">
        <v>106</v>
      </c>
      <c r="W388" s="8">
        <v>100</v>
      </c>
    </row>
    <row r="389" spans="18:23" x14ac:dyDescent="0.2">
      <c r="R389" t="s">
        <v>116</v>
      </c>
      <c r="S389">
        <v>0</v>
      </c>
      <c r="T389" t="s">
        <v>120</v>
      </c>
      <c r="U389">
        <v>2</v>
      </c>
      <c r="V389" t="s">
        <v>106</v>
      </c>
      <c r="W389" s="8">
        <v>100</v>
      </c>
    </row>
    <row r="390" spans="18:23" x14ac:dyDescent="0.2">
      <c r="R390" t="s">
        <v>116</v>
      </c>
      <c r="S390">
        <v>0</v>
      </c>
      <c r="T390" t="s">
        <v>119</v>
      </c>
      <c r="U390">
        <v>1</v>
      </c>
      <c r="V390" t="s">
        <v>106</v>
      </c>
      <c r="W390" s="8">
        <v>100</v>
      </c>
    </row>
    <row r="391" spans="18:23" x14ac:dyDescent="0.2">
      <c r="R391" t="s">
        <v>116</v>
      </c>
      <c r="S391">
        <v>0</v>
      </c>
      <c r="T391" t="s">
        <v>120</v>
      </c>
      <c r="U391">
        <v>5</v>
      </c>
      <c r="V391" t="s">
        <v>106</v>
      </c>
      <c r="W391" s="8">
        <v>100</v>
      </c>
    </row>
    <row r="392" spans="18:23" x14ac:dyDescent="0.2">
      <c r="R392" t="s">
        <v>116</v>
      </c>
      <c r="S392">
        <v>0</v>
      </c>
      <c r="T392" t="s">
        <v>119</v>
      </c>
      <c r="U392">
        <v>1</v>
      </c>
      <c r="V392" t="s">
        <v>106</v>
      </c>
      <c r="W392" s="8">
        <v>100</v>
      </c>
    </row>
    <row r="393" spans="18:23" x14ac:dyDescent="0.2">
      <c r="R393" t="s">
        <v>116</v>
      </c>
      <c r="S393">
        <v>0</v>
      </c>
      <c r="T393" t="s">
        <v>120</v>
      </c>
      <c r="U393">
        <v>4</v>
      </c>
      <c r="V393" t="s">
        <v>107</v>
      </c>
      <c r="W393" s="8">
        <v>100</v>
      </c>
    </row>
    <row r="394" spans="18:23" x14ac:dyDescent="0.2">
      <c r="R394" t="s">
        <v>116</v>
      </c>
      <c r="S394">
        <v>3</v>
      </c>
      <c r="T394" t="s">
        <v>119</v>
      </c>
      <c r="U394">
        <v>3</v>
      </c>
      <c r="V394" t="s">
        <v>107</v>
      </c>
      <c r="W394" s="8">
        <v>100</v>
      </c>
    </row>
    <row r="395" spans="18:23" x14ac:dyDescent="0.2">
      <c r="R395" t="s">
        <v>116</v>
      </c>
      <c r="S395">
        <v>3</v>
      </c>
      <c r="T395" t="s">
        <v>119</v>
      </c>
      <c r="U395">
        <v>3</v>
      </c>
      <c r="V395" t="s">
        <v>106</v>
      </c>
      <c r="W395" s="8">
        <v>100</v>
      </c>
    </row>
    <row r="396" spans="18:23" x14ac:dyDescent="0.2">
      <c r="R396" t="s">
        <v>116</v>
      </c>
      <c r="S396">
        <v>4</v>
      </c>
      <c r="T396" t="s">
        <v>119</v>
      </c>
      <c r="U396">
        <v>1</v>
      </c>
      <c r="V396" t="s">
        <v>106</v>
      </c>
      <c r="W396" s="8">
        <v>100</v>
      </c>
    </row>
    <row r="397" spans="18:23" x14ac:dyDescent="0.2">
      <c r="R397" t="s">
        <v>116</v>
      </c>
      <c r="S397">
        <v>2</v>
      </c>
      <c r="T397" t="s">
        <v>120</v>
      </c>
      <c r="U397">
        <v>1</v>
      </c>
      <c r="V397" t="s">
        <v>106</v>
      </c>
      <c r="W397" s="8">
        <v>100</v>
      </c>
    </row>
    <row r="398" spans="18:23" x14ac:dyDescent="0.2">
      <c r="R398" t="s">
        <v>116</v>
      </c>
      <c r="S398">
        <v>4</v>
      </c>
      <c r="T398" t="s">
        <v>119</v>
      </c>
      <c r="U398">
        <v>2</v>
      </c>
      <c r="V398" t="s">
        <v>106</v>
      </c>
      <c r="W398" s="8">
        <v>100</v>
      </c>
    </row>
    <row r="399" spans="18:23" x14ac:dyDescent="0.2">
      <c r="R399" t="s">
        <v>116</v>
      </c>
      <c r="S399">
        <v>4</v>
      </c>
      <c r="T399" t="s">
        <v>120</v>
      </c>
      <c r="U399">
        <v>1</v>
      </c>
      <c r="V399" t="s">
        <v>106</v>
      </c>
      <c r="W399" s="8">
        <v>100</v>
      </c>
    </row>
    <row r="400" spans="18:23" x14ac:dyDescent="0.2">
      <c r="R400" t="s">
        <v>116</v>
      </c>
      <c r="S400">
        <v>2</v>
      </c>
      <c r="T400" t="s">
        <v>120</v>
      </c>
      <c r="U400">
        <v>3</v>
      </c>
      <c r="V400" t="s">
        <v>106</v>
      </c>
      <c r="W400" s="8">
        <v>100</v>
      </c>
    </row>
    <row r="401" spans="18:23" x14ac:dyDescent="0.2">
      <c r="R401" t="s">
        <v>116</v>
      </c>
      <c r="S401">
        <v>3</v>
      </c>
      <c r="T401" t="s">
        <v>119</v>
      </c>
      <c r="U401">
        <v>3</v>
      </c>
      <c r="V401" t="s">
        <v>107</v>
      </c>
      <c r="W401" s="8">
        <v>100</v>
      </c>
    </row>
    <row r="402" spans="18:23" x14ac:dyDescent="0.2">
      <c r="R402" t="s">
        <v>116</v>
      </c>
      <c r="S402">
        <v>3</v>
      </c>
      <c r="T402" t="s">
        <v>119</v>
      </c>
      <c r="U402">
        <v>3</v>
      </c>
      <c r="V402" t="s">
        <v>106</v>
      </c>
      <c r="W402" s="8">
        <v>100</v>
      </c>
    </row>
    <row r="403" spans="18:23" x14ac:dyDescent="0.2">
      <c r="R403" t="s">
        <v>116</v>
      </c>
      <c r="S403">
        <v>2</v>
      </c>
      <c r="T403" t="s">
        <v>119</v>
      </c>
      <c r="U403">
        <v>2</v>
      </c>
      <c r="V403" t="s">
        <v>106</v>
      </c>
      <c r="W403" s="8">
        <v>100</v>
      </c>
    </row>
    <row r="404" spans="18:23" x14ac:dyDescent="0.2">
      <c r="R404" t="s">
        <v>116</v>
      </c>
      <c r="S404">
        <v>1</v>
      </c>
      <c r="T404" t="s">
        <v>120</v>
      </c>
      <c r="U404">
        <v>1</v>
      </c>
      <c r="V404" t="s">
        <v>106</v>
      </c>
      <c r="W404" s="8">
        <v>100</v>
      </c>
    </row>
    <row r="405" spans="18:23" x14ac:dyDescent="0.2">
      <c r="R405" t="s">
        <v>116</v>
      </c>
      <c r="S405">
        <v>2</v>
      </c>
      <c r="T405" t="s">
        <v>119</v>
      </c>
      <c r="U405">
        <v>1</v>
      </c>
      <c r="V405" t="s">
        <v>106</v>
      </c>
      <c r="W405" s="8">
        <v>100</v>
      </c>
    </row>
    <row r="406" spans="18:23" x14ac:dyDescent="0.2">
      <c r="R406" t="s">
        <v>116</v>
      </c>
      <c r="S406">
        <v>4</v>
      </c>
      <c r="T406" t="s">
        <v>119</v>
      </c>
      <c r="U406">
        <v>1</v>
      </c>
      <c r="V406" t="s">
        <v>106</v>
      </c>
      <c r="W406" s="8">
        <v>100</v>
      </c>
    </row>
    <row r="407" spans="18:23" x14ac:dyDescent="0.2">
      <c r="R407" t="s">
        <v>116</v>
      </c>
      <c r="S407">
        <v>1</v>
      </c>
      <c r="T407" t="s">
        <v>119</v>
      </c>
      <c r="U407">
        <v>1</v>
      </c>
      <c r="V407" t="s">
        <v>106</v>
      </c>
      <c r="W407" s="8">
        <v>100</v>
      </c>
    </row>
    <row r="408" spans="18:23" x14ac:dyDescent="0.2">
      <c r="R408" t="s">
        <v>116</v>
      </c>
      <c r="S408">
        <v>1</v>
      </c>
      <c r="T408" t="s">
        <v>119</v>
      </c>
      <c r="U408">
        <v>1</v>
      </c>
      <c r="V408" t="s">
        <v>106</v>
      </c>
      <c r="W408" s="8">
        <v>100</v>
      </c>
    </row>
    <row r="409" spans="18:23" x14ac:dyDescent="0.2">
      <c r="R409" t="s">
        <v>116</v>
      </c>
      <c r="S409">
        <v>2</v>
      </c>
      <c r="T409" t="s">
        <v>119</v>
      </c>
      <c r="U409">
        <v>1</v>
      </c>
      <c r="V409" t="s">
        <v>106</v>
      </c>
      <c r="W409" s="8">
        <v>100</v>
      </c>
    </row>
    <row r="410" spans="18:23" x14ac:dyDescent="0.2">
      <c r="R410" t="s">
        <v>116</v>
      </c>
      <c r="S410">
        <v>1</v>
      </c>
      <c r="T410" t="s">
        <v>119</v>
      </c>
      <c r="U410">
        <v>2</v>
      </c>
      <c r="V410" t="s">
        <v>106</v>
      </c>
      <c r="W410" s="8">
        <v>100</v>
      </c>
    </row>
    <row r="411" spans="18:23" x14ac:dyDescent="0.2">
      <c r="R411" t="s">
        <v>116</v>
      </c>
      <c r="S411">
        <v>1</v>
      </c>
      <c r="T411" t="s">
        <v>120</v>
      </c>
      <c r="U411">
        <v>1</v>
      </c>
      <c r="V411" t="s">
        <v>106</v>
      </c>
      <c r="W411" s="8">
        <v>100</v>
      </c>
    </row>
    <row r="412" spans="18:23" x14ac:dyDescent="0.2">
      <c r="R412" t="s">
        <v>116</v>
      </c>
      <c r="S412">
        <v>2</v>
      </c>
      <c r="T412" t="s">
        <v>120</v>
      </c>
      <c r="U412">
        <v>4</v>
      </c>
      <c r="V412" t="s">
        <v>107</v>
      </c>
      <c r="W412" s="8">
        <v>100</v>
      </c>
    </row>
    <row r="413" spans="18:23" x14ac:dyDescent="0.2">
      <c r="R413" t="s">
        <v>117</v>
      </c>
      <c r="S413">
        <v>0</v>
      </c>
      <c r="T413" t="s">
        <v>120</v>
      </c>
      <c r="U413">
        <v>4</v>
      </c>
      <c r="V413" t="s">
        <v>107</v>
      </c>
      <c r="W413" s="8">
        <v>100</v>
      </c>
    </row>
    <row r="414" spans="18:23" x14ac:dyDescent="0.2">
      <c r="R414" t="s">
        <v>117</v>
      </c>
      <c r="S414">
        <v>0</v>
      </c>
      <c r="T414" t="s">
        <v>120</v>
      </c>
      <c r="U414">
        <v>3</v>
      </c>
      <c r="V414" t="s">
        <v>106</v>
      </c>
      <c r="W414" s="8">
        <v>100</v>
      </c>
    </row>
    <row r="415" spans="18:23" x14ac:dyDescent="0.2">
      <c r="R415" t="s">
        <v>117</v>
      </c>
      <c r="S415">
        <v>0</v>
      </c>
      <c r="T415" t="s">
        <v>119</v>
      </c>
      <c r="U415">
        <v>3</v>
      </c>
      <c r="V415" t="s">
        <v>106</v>
      </c>
      <c r="W415" s="8">
        <v>100</v>
      </c>
    </row>
    <row r="416" spans="18:23" x14ac:dyDescent="0.2">
      <c r="R416" t="s">
        <v>117</v>
      </c>
      <c r="S416">
        <v>4</v>
      </c>
      <c r="T416" t="s">
        <v>119</v>
      </c>
      <c r="U416">
        <v>1</v>
      </c>
      <c r="V416" t="s">
        <v>106</v>
      </c>
      <c r="W416" s="8">
        <v>100</v>
      </c>
    </row>
    <row r="417" spans="18:23" x14ac:dyDescent="0.2">
      <c r="R417" t="s">
        <v>117</v>
      </c>
      <c r="S417">
        <v>4</v>
      </c>
      <c r="T417" t="s">
        <v>120</v>
      </c>
      <c r="U417">
        <v>2</v>
      </c>
      <c r="V417" t="s">
        <v>107</v>
      </c>
      <c r="W417" s="8">
        <v>100</v>
      </c>
    </row>
    <row r="418" spans="18:23" x14ac:dyDescent="0.2">
      <c r="R418" t="s">
        <v>117</v>
      </c>
      <c r="S418">
        <v>3</v>
      </c>
      <c r="T418" t="s">
        <v>119</v>
      </c>
      <c r="U418">
        <v>2</v>
      </c>
      <c r="V418" t="s">
        <v>107</v>
      </c>
      <c r="W418" s="8">
        <v>100</v>
      </c>
    </row>
    <row r="419" spans="18:23" x14ac:dyDescent="0.2">
      <c r="R419" t="s">
        <v>117</v>
      </c>
      <c r="S419">
        <v>4</v>
      </c>
      <c r="T419" t="s">
        <v>120</v>
      </c>
      <c r="U419">
        <v>2</v>
      </c>
      <c r="V419" t="s">
        <v>106</v>
      </c>
      <c r="W419" s="8">
        <v>100</v>
      </c>
    </row>
    <row r="420" spans="18:23" x14ac:dyDescent="0.2">
      <c r="R420" t="s">
        <v>117</v>
      </c>
      <c r="S420">
        <v>4</v>
      </c>
      <c r="T420" t="s">
        <v>120</v>
      </c>
      <c r="U420">
        <v>3</v>
      </c>
      <c r="V420" t="s">
        <v>107</v>
      </c>
      <c r="W420" s="8">
        <v>100</v>
      </c>
    </row>
    <row r="421" spans="18:23" x14ac:dyDescent="0.2">
      <c r="R421" t="s">
        <v>117</v>
      </c>
      <c r="S421">
        <v>4</v>
      </c>
      <c r="T421" t="s">
        <v>119</v>
      </c>
      <c r="U421">
        <v>1</v>
      </c>
      <c r="V421" t="s">
        <v>106</v>
      </c>
      <c r="W421" s="8">
        <v>100</v>
      </c>
    </row>
    <row r="422" spans="18:23" x14ac:dyDescent="0.2">
      <c r="R422" t="s">
        <v>117</v>
      </c>
      <c r="S422">
        <v>4</v>
      </c>
      <c r="T422" t="s">
        <v>120</v>
      </c>
      <c r="U422">
        <v>2</v>
      </c>
      <c r="V422" t="s">
        <v>106</v>
      </c>
      <c r="W422" s="8">
        <v>100</v>
      </c>
    </row>
    <row r="423" spans="18:23" x14ac:dyDescent="0.2">
      <c r="R423" t="s">
        <v>117</v>
      </c>
      <c r="S423">
        <v>4</v>
      </c>
      <c r="T423" t="s">
        <v>120</v>
      </c>
      <c r="U423">
        <v>1</v>
      </c>
      <c r="V423" t="s">
        <v>107</v>
      </c>
      <c r="W423" s="8">
        <v>100</v>
      </c>
    </row>
    <row r="424" spans="18:23" x14ac:dyDescent="0.2">
      <c r="R424" t="s">
        <v>117</v>
      </c>
      <c r="S424">
        <v>2</v>
      </c>
      <c r="T424" t="s">
        <v>119</v>
      </c>
      <c r="U424">
        <v>2</v>
      </c>
      <c r="V424" t="s">
        <v>106</v>
      </c>
      <c r="W424" s="8">
        <v>100</v>
      </c>
    </row>
    <row r="425" spans="18:23" x14ac:dyDescent="0.2">
      <c r="R425" t="s">
        <v>117</v>
      </c>
      <c r="S425">
        <v>1</v>
      </c>
      <c r="T425" t="s">
        <v>120</v>
      </c>
      <c r="U425">
        <v>3</v>
      </c>
      <c r="V425" t="s">
        <v>107</v>
      </c>
      <c r="W425" s="8">
        <v>100</v>
      </c>
    </row>
    <row r="426" spans="18:23" x14ac:dyDescent="0.2">
      <c r="R426" t="s">
        <v>117</v>
      </c>
      <c r="S426">
        <v>1</v>
      </c>
      <c r="T426" t="s">
        <v>119</v>
      </c>
      <c r="U426">
        <v>1</v>
      </c>
      <c r="V426" t="s">
        <v>106</v>
      </c>
      <c r="W426" s="8">
        <v>100</v>
      </c>
    </row>
    <row r="427" spans="18:23" x14ac:dyDescent="0.2">
      <c r="R427" t="s">
        <v>117</v>
      </c>
      <c r="S427">
        <v>2</v>
      </c>
      <c r="T427" t="s">
        <v>120</v>
      </c>
      <c r="U427">
        <v>5</v>
      </c>
      <c r="V427" t="s">
        <v>106</v>
      </c>
      <c r="W427" s="8">
        <v>100</v>
      </c>
    </row>
    <row r="428" spans="18:23" x14ac:dyDescent="0.2">
      <c r="R428" t="s">
        <v>117</v>
      </c>
      <c r="S428">
        <v>3</v>
      </c>
      <c r="T428" t="s">
        <v>119</v>
      </c>
      <c r="U428">
        <v>1</v>
      </c>
      <c r="V428" t="s">
        <v>107</v>
      </c>
      <c r="W428" s="8">
        <v>100</v>
      </c>
    </row>
    <row r="429" spans="18:23" x14ac:dyDescent="0.2">
      <c r="R429" t="s">
        <v>117</v>
      </c>
      <c r="S429">
        <v>1</v>
      </c>
      <c r="T429" t="s">
        <v>120</v>
      </c>
      <c r="U429">
        <v>2</v>
      </c>
      <c r="V429" t="s">
        <v>107</v>
      </c>
      <c r="W429" s="8">
        <v>100</v>
      </c>
    </row>
    <row r="430" spans="18:23" x14ac:dyDescent="0.2">
      <c r="R430" t="s">
        <v>117</v>
      </c>
      <c r="S430">
        <v>2</v>
      </c>
      <c r="T430" t="s">
        <v>120</v>
      </c>
      <c r="U430">
        <v>1</v>
      </c>
      <c r="V430" t="s">
        <v>106</v>
      </c>
      <c r="W430" s="8">
        <v>100</v>
      </c>
    </row>
    <row r="431" spans="18:23" x14ac:dyDescent="0.2">
      <c r="R431" t="s">
        <v>117</v>
      </c>
      <c r="S431">
        <v>4</v>
      </c>
      <c r="T431" t="s">
        <v>119</v>
      </c>
      <c r="U431">
        <v>1</v>
      </c>
      <c r="V431" t="s">
        <v>106</v>
      </c>
      <c r="W431" s="8">
        <v>100</v>
      </c>
    </row>
    <row r="432" spans="18:23" x14ac:dyDescent="0.2">
      <c r="R432" t="s">
        <v>117</v>
      </c>
      <c r="S432">
        <v>2</v>
      </c>
      <c r="T432" t="s">
        <v>119</v>
      </c>
      <c r="U432">
        <v>1</v>
      </c>
      <c r="V432" t="s">
        <v>106</v>
      </c>
      <c r="W432" s="8">
        <v>100</v>
      </c>
    </row>
    <row r="433" spans="18:23" x14ac:dyDescent="0.2">
      <c r="R433" t="s">
        <v>116</v>
      </c>
      <c r="S433">
        <v>0</v>
      </c>
      <c r="T433" t="s">
        <v>119</v>
      </c>
      <c r="U433">
        <v>2</v>
      </c>
      <c r="V433" t="s">
        <v>106</v>
      </c>
      <c r="W433" s="8">
        <v>100</v>
      </c>
    </row>
    <row r="434" spans="18:23" x14ac:dyDescent="0.2">
      <c r="R434" t="s">
        <v>117</v>
      </c>
      <c r="S434">
        <v>3</v>
      </c>
      <c r="T434" t="s">
        <v>120</v>
      </c>
      <c r="U434">
        <v>3</v>
      </c>
      <c r="V434" t="s">
        <v>106</v>
      </c>
      <c r="W434" s="8">
        <v>100</v>
      </c>
    </row>
    <row r="435" spans="18:23" x14ac:dyDescent="0.2">
      <c r="R435" t="s">
        <v>116</v>
      </c>
      <c r="S435">
        <v>1</v>
      </c>
      <c r="T435" t="s">
        <v>120</v>
      </c>
      <c r="U435">
        <v>4</v>
      </c>
      <c r="V435" t="s">
        <v>107</v>
      </c>
      <c r="W435" s="8">
        <v>100</v>
      </c>
    </row>
    <row r="436" spans="18:23" x14ac:dyDescent="0.2">
      <c r="R436" t="s">
        <v>117</v>
      </c>
      <c r="S436">
        <v>4</v>
      </c>
      <c r="T436" t="s">
        <v>119</v>
      </c>
      <c r="U436">
        <v>2</v>
      </c>
      <c r="V436" t="s">
        <v>107</v>
      </c>
      <c r="W436" s="8">
        <v>100</v>
      </c>
    </row>
    <row r="437" spans="18:23" x14ac:dyDescent="0.2">
      <c r="R437" t="s">
        <v>117</v>
      </c>
      <c r="S437">
        <v>2</v>
      </c>
      <c r="T437" t="s">
        <v>120</v>
      </c>
      <c r="U437">
        <v>5</v>
      </c>
      <c r="V437" t="s">
        <v>106</v>
      </c>
      <c r="W437" s="8">
        <v>100</v>
      </c>
    </row>
    <row r="438" spans="18:23" x14ac:dyDescent="0.2">
      <c r="R438" t="s">
        <v>117</v>
      </c>
      <c r="S438">
        <v>0</v>
      </c>
      <c r="T438" t="s">
        <v>119</v>
      </c>
      <c r="U438">
        <v>1</v>
      </c>
      <c r="V438" t="s">
        <v>107</v>
      </c>
      <c r="W438" s="8">
        <v>100</v>
      </c>
    </row>
    <row r="439" spans="18:23" x14ac:dyDescent="0.2">
      <c r="R439" t="s">
        <v>116</v>
      </c>
      <c r="S439">
        <v>1</v>
      </c>
      <c r="T439" t="s">
        <v>119</v>
      </c>
      <c r="U439">
        <v>1</v>
      </c>
      <c r="V439" t="s">
        <v>107</v>
      </c>
      <c r="W439" s="8">
        <v>100</v>
      </c>
    </row>
    <row r="440" spans="18:23" x14ac:dyDescent="0.2">
      <c r="R440" t="s">
        <v>117</v>
      </c>
      <c r="S440">
        <v>2</v>
      </c>
      <c r="T440" t="s">
        <v>120</v>
      </c>
      <c r="U440">
        <v>3</v>
      </c>
      <c r="V440" t="s">
        <v>106</v>
      </c>
      <c r="W440" s="8">
        <v>100</v>
      </c>
    </row>
    <row r="441" spans="18:23" x14ac:dyDescent="0.2">
      <c r="R441" t="s">
        <v>116</v>
      </c>
      <c r="S441">
        <v>0</v>
      </c>
      <c r="T441" t="s">
        <v>119</v>
      </c>
      <c r="U441">
        <v>3</v>
      </c>
      <c r="V441" t="s">
        <v>106</v>
      </c>
      <c r="W441" s="8">
        <v>100</v>
      </c>
    </row>
    <row r="442" spans="18:23" x14ac:dyDescent="0.2">
      <c r="R442" t="s">
        <v>117</v>
      </c>
      <c r="S442">
        <v>1</v>
      </c>
      <c r="T442" t="s">
        <v>119</v>
      </c>
      <c r="U442">
        <v>2</v>
      </c>
      <c r="V442" t="s">
        <v>106</v>
      </c>
      <c r="W442" s="8">
        <v>100</v>
      </c>
    </row>
    <row r="443" spans="18:23" x14ac:dyDescent="0.2">
      <c r="R443" t="s">
        <v>116</v>
      </c>
      <c r="S443">
        <v>4</v>
      </c>
      <c r="T443" t="s">
        <v>119</v>
      </c>
      <c r="U443">
        <v>1</v>
      </c>
      <c r="V443" t="s">
        <v>106</v>
      </c>
      <c r="W443" s="8">
        <v>100</v>
      </c>
    </row>
    <row r="444" spans="18:23" x14ac:dyDescent="0.2">
      <c r="R444" t="s">
        <v>117</v>
      </c>
      <c r="S444">
        <v>4</v>
      </c>
      <c r="T444" t="s">
        <v>119</v>
      </c>
      <c r="U444">
        <v>2</v>
      </c>
      <c r="V444" t="s">
        <v>107</v>
      </c>
      <c r="W444" s="8">
        <v>100</v>
      </c>
    </row>
    <row r="445" spans="18:23" x14ac:dyDescent="0.2">
      <c r="R445" t="s">
        <v>116</v>
      </c>
      <c r="S445">
        <v>0</v>
      </c>
      <c r="T445" t="s">
        <v>120</v>
      </c>
      <c r="U445">
        <v>2</v>
      </c>
      <c r="V445" t="s">
        <v>107</v>
      </c>
      <c r="W445" s="8">
        <v>100</v>
      </c>
    </row>
    <row r="446" spans="18:23" x14ac:dyDescent="0.2">
      <c r="R446" t="s">
        <v>116</v>
      </c>
      <c r="S446">
        <v>0</v>
      </c>
      <c r="T446" t="s">
        <v>120</v>
      </c>
      <c r="U446">
        <v>2</v>
      </c>
      <c r="V446" t="s">
        <v>106</v>
      </c>
      <c r="W446" s="8">
        <v>100</v>
      </c>
    </row>
    <row r="447" spans="18:23" x14ac:dyDescent="0.2">
      <c r="R447" t="s">
        <v>116</v>
      </c>
      <c r="S447">
        <v>0</v>
      </c>
      <c r="T447" t="s">
        <v>120</v>
      </c>
      <c r="U447">
        <v>2</v>
      </c>
      <c r="V447" t="s">
        <v>106</v>
      </c>
      <c r="W447" s="8">
        <v>100</v>
      </c>
    </row>
    <row r="448" spans="18:23" x14ac:dyDescent="0.2">
      <c r="R448" t="s">
        <v>116</v>
      </c>
      <c r="S448">
        <v>0</v>
      </c>
      <c r="T448" t="s">
        <v>119</v>
      </c>
      <c r="U448">
        <v>2</v>
      </c>
      <c r="V448" t="s">
        <v>107</v>
      </c>
      <c r="W448" s="8">
        <v>100</v>
      </c>
    </row>
    <row r="449" spans="18:23" x14ac:dyDescent="0.2">
      <c r="R449" t="s">
        <v>116</v>
      </c>
      <c r="S449">
        <v>0</v>
      </c>
      <c r="T449" t="s">
        <v>119</v>
      </c>
      <c r="U449">
        <v>1</v>
      </c>
      <c r="V449" t="s">
        <v>107</v>
      </c>
      <c r="W449" s="8">
        <v>100</v>
      </c>
    </row>
    <row r="450" spans="18:23" x14ac:dyDescent="0.2">
      <c r="R450" t="s">
        <v>116</v>
      </c>
      <c r="S450">
        <v>0</v>
      </c>
      <c r="T450" t="s">
        <v>119</v>
      </c>
      <c r="U450">
        <v>2</v>
      </c>
      <c r="V450" t="s">
        <v>107</v>
      </c>
      <c r="W450" s="8">
        <v>100</v>
      </c>
    </row>
    <row r="451" spans="18:23" x14ac:dyDescent="0.2">
      <c r="R451" t="s">
        <v>116</v>
      </c>
      <c r="S451">
        <v>0</v>
      </c>
      <c r="T451" t="s">
        <v>119</v>
      </c>
      <c r="U451">
        <v>2</v>
      </c>
      <c r="V451" t="s">
        <v>106</v>
      </c>
      <c r="W451" s="8">
        <v>100</v>
      </c>
    </row>
    <row r="452" spans="18:23" x14ac:dyDescent="0.2">
      <c r="R452" t="s">
        <v>116</v>
      </c>
      <c r="S452">
        <v>0</v>
      </c>
      <c r="T452" t="s">
        <v>119</v>
      </c>
      <c r="U452">
        <v>2</v>
      </c>
      <c r="V452" t="s">
        <v>107</v>
      </c>
      <c r="W452" s="8">
        <v>100</v>
      </c>
    </row>
    <row r="453" spans="18:23" x14ac:dyDescent="0.2">
      <c r="R453" t="s">
        <v>116</v>
      </c>
      <c r="S453">
        <v>0</v>
      </c>
      <c r="T453" t="s">
        <v>119</v>
      </c>
      <c r="U453">
        <v>2</v>
      </c>
      <c r="V453" t="s">
        <v>106</v>
      </c>
      <c r="W453" s="8">
        <v>100</v>
      </c>
    </row>
    <row r="454" spans="18:23" x14ac:dyDescent="0.2">
      <c r="R454" t="s">
        <v>116</v>
      </c>
      <c r="S454">
        <v>0</v>
      </c>
      <c r="T454" t="s">
        <v>119</v>
      </c>
      <c r="U454">
        <v>2</v>
      </c>
      <c r="V454" t="s">
        <v>106</v>
      </c>
      <c r="W454" s="8">
        <v>100</v>
      </c>
    </row>
    <row r="455" spans="18:23" x14ac:dyDescent="0.2">
      <c r="R455" t="s">
        <v>116</v>
      </c>
      <c r="S455">
        <v>0</v>
      </c>
      <c r="T455" t="s">
        <v>119</v>
      </c>
      <c r="U455">
        <v>1</v>
      </c>
      <c r="V455" t="s">
        <v>106</v>
      </c>
      <c r="W455" s="8">
        <v>100</v>
      </c>
    </row>
    <row r="456" spans="18:23" x14ac:dyDescent="0.2">
      <c r="R456" t="s">
        <v>116</v>
      </c>
      <c r="S456">
        <v>0</v>
      </c>
      <c r="T456" t="s">
        <v>119</v>
      </c>
      <c r="U456">
        <v>1</v>
      </c>
      <c r="V456" t="s">
        <v>106</v>
      </c>
      <c r="W456" s="8">
        <v>100</v>
      </c>
    </row>
    <row r="457" spans="18:23" x14ac:dyDescent="0.2">
      <c r="R457" t="s">
        <v>116</v>
      </c>
      <c r="S457">
        <v>0</v>
      </c>
      <c r="T457" t="s">
        <v>120</v>
      </c>
      <c r="U457">
        <v>2</v>
      </c>
      <c r="V457" t="s">
        <v>106</v>
      </c>
      <c r="W457" s="8">
        <v>100</v>
      </c>
    </row>
    <row r="458" spans="18:23" x14ac:dyDescent="0.2">
      <c r="R458" t="s">
        <v>116</v>
      </c>
      <c r="S458">
        <v>0</v>
      </c>
      <c r="T458" t="s">
        <v>120</v>
      </c>
      <c r="U458">
        <v>2</v>
      </c>
      <c r="V458" t="s">
        <v>106</v>
      </c>
      <c r="W458" s="8">
        <v>100</v>
      </c>
    </row>
    <row r="459" spans="18:23" x14ac:dyDescent="0.2">
      <c r="R459" t="s">
        <v>116</v>
      </c>
      <c r="S459">
        <v>0</v>
      </c>
      <c r="T459" t="s">
        <v>120</v>
      </c>
      <c r="U459">
        <v>4</v>
      </c>
      <c r="V459" t="s">
        <v>106</v>
      </c>
      <c r="W459" s="8">
        <v>100</v>
      </c>
    </row>
    <row r="460" spans="18:23" x14ac:dyDescent="0.2">
      <c r="R460" t="s">
        <v>116</v>
      </c>
      <c r="S460">
        <v>0</v>
      </c>
      <c r="T460" t="s">
        <v>120</v>
      </c>
      <c r="U460">
        <v>5</v>
      </c>
      <c r="V460" t="s">
        <v>107</v>
      </c>
      <c r="W460" s="8">
        <v>100</v>
      </c>
    </row>
    <row r="461" spans="18:23" x14ac:dyDescent="0.2">
      <c r="R461" t="s">
        <v>116</v>
      </c>
      <c r="S461">
        <v>3</v>
      </c>
      <c r="T461" t="s">
        <v>119</v>
      </c>
      <c r="U461">
        <v>2</v>
      </c>
      <c r="V461" t="s">
        <v>106</v>
      </c>
      <c r="W461" s="8">
        <v>100</v>
      </c>
    </row>
    <row r="462" spans="18:23" x14ac:dyDescent="0.2">
      <c r="R462" t="s">
        <v>116</v>
      </c>
      <c r="S462">
        <v>2</v>
      </c>
      <c r="T462" t="s">
        <v>120</v>
      </c>
      <c r="U462">
        <v>4</v>
      </c>
      <c r="V462" t="s">
        <v>106</v>
      </c>
      <c r="W462" s="8">
        <v>100</v>
      </c>
    </row>
    <row r="463" spans="18:23" x14ac:dyDescent="0.2">
      <c r="R463" t="s">
        <v>116</v>
      </c>
      <c r="S463">
        <v>2</v>
      </c>
      <c r="T463" t="s">
        <v>120</v>
      </c>
      <c r="U463">
        <v>2</v>
      </c>
      <c r="V463" t="s">
        <v>106</v>
      </c>
      <c r="W463" s="8">
        <v>100</v>
      </c>
    </row>
    <row r="464" spans="18:23" x14ac:dyDescent="0.2">
      <c r="R464" t="s">
        <v>116</v>
      </c>
      <c r="S464">
        <v>3</v>
      </c>
      <c r="T464" t="s">
        <v>119</v>
      </c>
      <c r="U464">
        <v>2</v>
      </c>
      <c r="V464" t="s">
        <v>106</v>
      </c>
      <c r="W464" s="8">
        <v>100</v>
      </c>
    </row>
    <row r="465" spans="18:23" x14ac:dyDescent="0.2">
      <c r="R465" t="s">
        <v>116</v>
      </c>
      <c r="S465">
        <v>3</v>
      </c>
      <c r="T465" t="s">
        <v>119</v>
      </c>
      <c r="U465">
        <v>3</v>
      </c>
      <c r="V465" t="s">
        <v>106</v>
      </c>
      <c r="W465" s="8">
        <v>100</v>
      </c>
    </row>
    <row r="466" spans="18:23" x14ac:dyDescent="0.2">
      <c r="R466" t="s">
        <v>116</v>
      </c>
      <c r="S466">
        <v>3</v>
      </c>
      <c r="T466" t="s">
        <v>120</v>
      </c>
      <c r="U466">
        <v>3</v>
      </c>
      <c r="V466" t="s">
        <v>107</v>
      </c>
      <c r="W466" s="8">
        <v>100</v>
      </c>
    </row>
    <row r="467" spans="18:23" x14ac:dyDescent="0.2">
      <c r="R467" t="s">
        <v>116</v>
      </c>
      <c r="S467">
        <v>2</v>
      </c>
      <c r="T467" t="s">
        <v>119</v>
      </c>
      <c r="U467">
        <v>1</v>
      </c>
      <c r="V467" t="s">
        <v>107</v>
      </c>
      <c r="W467" s="8">
        <v>100</v>
      </c>
    </row>
    <row r="468" spans="18:23" x14ac:dyDescent="0.2">
      <c r="R468" t="s">
        <v>116</v>
      </c>
      <c r="S468">
        <v>1</v>
      </c>
      <c r="T468" t="s">
        <v>119</v>
      </c>
      <c r="U468">
        <v>1</v>
      </c>
      <c r="V468" t="s">
        <v>106</v>
      </c>
      <c r="W468" s="8">
        <v>100</v>
      </c>
    </row>
    <row r="469" spans="18:23" x14ac:dyDescent="0.2">
      <c r="R469" t="s">
        <v>116</v>
      </c>
      <c r="S469">
        <v>1</v>
      </c>
      <c r="T469" t="s">
        <v>119</v>
      </c>
      <c r="U469">
        <v>2</v>
      </c>
      <c r="V469" t="s">
        <v>107</v>
      </c>
      <c r="W469" s="8">
        <v>100</v>
      </c>
    </row>
    <row r="470" spans="18:23" x14ac:dyDescent="0.2">
      <c r="R470" t="s">
        <v>116</v>
      </c>
      <c r="S470">
        <v>4</v>
      </c>
      <c r="T470" t="s">
        <v>119</v>
      </c>
      <c r="U470">
        <v>1</v>
      </c>
    </row>
    <row r="471" spans="18:23" x14ac:dyDescent="0.2">
      <c r="R471" t="s">
        <v>116</v>
      </c>
      <c r="S471">
        <v>1</v>
      </c>
      <c r="T471" t="s">
        <v>120</v>
      </c>
      <c r="U471">
        <v>3</v>
      </c>
    </row>
    <row r="472" spans="18:23" x14ac:dyDescent="0.2">
      <c r="R472" t="s">
        <v>117</v>
      </c>
      <c r="S472">
        <v>0</v>
      </c>
      <c r="T472" t="s">
        <v>119</v>
      </c>
      <c r="U472">
        <v>1</v>
      </c>
    </row>
    <row r="473" spans="18:23" x14ac:dyDescent="0.2">
      <c r="R473" t="s">
        <v>117</v>
      </c>
      <c r="S473">
        <v>4</v>
      </c>
      <c r="T473" t="s">
        <v>119</v>
      </c>
      <c r="U473">
        <v>2</v>
      </c>
    </row>
    <row r="474" spans="18:23" x14ac:dyDescent="0.2">
      <c r="R474" t="s">
        <v>117</v>
      </c>
      <c r="S474">
        <v>2</v>
      </c>
      <c r="T474" t="s">
        <v>119</v>
      </c>
      <c r="U474">
        <v>1</v>
      </c>
    </row>
    <row r="475" spans="18:23" x14ac:dyDescent="0.2">
      <c r="R475" t="s">
        <v>117</v>
      </c>
      <c r="S475">
        <v>1</v>
      </c>
      <c r="T475" t="s">
        <v>119</v>
      </c>
      <c r="U475">
        <v>1</v>
      </c>
    </row>
    <row r="476" spans="18:23" x14ac:dyDescent="0.2">
      <c r="R476" t="s">
        <v>117</v>
      </c>
      <c r="S476">
        <v>3</v>
      </c>
      <c r="T476" t="s">
        <v>119</v>
      </c>
      <c r="U476">
        <v>1</v>
      </c>
    </row>
    <row r="477" spans="18:23" x14ac:dyDescent="0.2">
      <c r="R477" t="s">
        <v>117</v>
      </c>
      <c r="S477">
        <v>2</v>
      </c>
      <c r="T477" t="s">
        <v>120</v>
      </c>
      <c r="U477">
        <v>4</v>
      </c>
    </row>
    <row r="478" spans="18:23" x14ac:dyDescent="0.2">
      <c r="R478" t="s">
        <v>117</v>
      </c>
      <c r="S478">
        <v>3</v>
      </c>
      <c r="T478" t="s">
        <v>120</v>
      </c>
      <c r="U478">
        <v>1</v>
      </c>
    </row>
    <row r="479" spans="18:23" x14ac:dyDescent="0.2">
      <c r="R479" t="s">
        <v>117</v>
      </c>
      <c r="S479">
        <v>2</v>
      </c>
      <c r="T479" t="s">
        <v>119</v>
      </c>
      <c r="U479">
        <v>1</v>
      </c>
    </row>
    <row r="480" spans="18:23" x14ac:dyDescent="0.2">
      <c r="R480" t="s">
        <v>117</v>
      </c>
      <c r="S480">
        <v>1</v>
      </c>
      <c r="T480" t="s">
        <v>119</v>
      </c>
      <c r="U480">
        <v>1</v>
      </c>
    </row>
    <row r="481" spans="18:25" x14ac:dyDescent="0.2">
      <c r="R481" t="s">
        <v>117</v>
      </c>
      <c r="S481">
        <v>4</v>
      </c>
      <c r="T481" t="s">
        <v>119</v>
      </c>
      <c r="U481">
        <v>2</v>
      </c>
    </row>
    <row r="482" spans="18:25" x14ac:dyDescent="0.2">
      <c r="R482" t="s">
        <v>117</v>
      </c>
      <c r="S482">
        <v>1</v>
      </c>
      <c r="T482" t="s">
        <v>120</v>
      </c>
      <c r="U482">
        <v>1</v>
      </c>
    </row>
    <row r="483" spans="18:25" x14ac:dyDescent="0.2">
      <c r="R483" t="s">
        <v>117</v>
      </c>
      <c r="S483">
        <v>3</v>
      </c>
      <c r="T483" t="s">
        <v>119</v>
      </c>
      <c r="U483">
        <v>3</v>
      </c>
    </row>
    <row r="484" spans="18:25" x14ac:dyDescent="0.2">
      <c r="R484" t="s">
        <v>117</v>
      </c>
      <c r="S484">
        <v>3</v>
      </c>
      <c r="T484" t="s">
        <v>119</v>
      </c>
      <c r="U484">
        <v>1</v>
      </c>
    </row>
    <row r="485" spans="18:25" x14ac:dyDescent="0.2">
      <c r="R485" t="s">
        <v>117</v>
      </c>
      <c r="S485">
        <v>4</v>
      </c>
      <c r="T485" t="s">
        <v>120</v>
      </c>
      <c r="U485">
        <v>1</v>
      </c>
    </row>
    <row r="486" spans="18:25" x14ac:dyDescent="0.2">
      <c r="R486" t="s">
        <v>117</v>
      </c>
      <c r="S486">
        <v>1</v>
      </c>
      <c r="T486" t="s">
        <v>120</v>
      </c>
      <c r="U486">
        <v>2</v>
      </c>
    </row>
    <row r="487" spans="18:25" x14ac:dyDescent="0.2">
      <c r="R487" t="s">
        <v>117</v>
      </c>
      <c r="S487">
        <v>1</v>
      </c>
      <c r="T487" t="s">
        <v>119</v>
      </c>
      <c r="U487">
        <v>1</v>
      </c>
    </row>
    <row r="488" spans="18:25" x14ac:dyDescent="0.2">
      <c r="R488" t="s">
        <v>117</v>
      </c>
      <c r="S488">
        <v>1</v>
      </c>
      <c r="T488" t="s">
        <v>119</v>
      </c>
      <c r="U488">
        <v>3</v>
      </c>
    </row>
    <row r="489" spans="18:25" x14ac:dyDescent="0.2">
      <c r="R489" t="s">
        <v>117</v>
      </c>
      <c r="S489">
        <v>2</v>
      </c>
      <c r="T489" t="s">
        <v>119</v>
      </c>
      <c r="U489">
        <v>3</v>
      </c>
    </row>
    <row r="490" spans="18:25" x14ac:dyDescent="0.2">
      <c r="R490" t="s">
        <v>117</v>
      </c>
      <c r="S490">
        <v>4</v>
      </c>
      <c r="T490" t="s">
        <v>119</v>
      </c>
      <c r="U490">
        <v>1</v>
      </c>
    </row>
    <row r="491" spans="18:25" x14ac:dyDescent="0.2">
      <c r="R491" t="s">
        <v>117</v>
      </c>
      <c r="S491">
        <v>3</v>
      </c>
      <c r="T491" t="s">
        <v>119</v>
      </c>
      <c r="U491">
        <v>2</v>
      </c>
    </row>
    <row r="492" spans="18:25" x14ac:dyDescent="0.2">
      <c r="R492" t="s">
        <v>117</v>
      </c>
      <c r="S492">
        <v>3</v>
      </c>
      <c r="T492" t="s">
        <v>120</v>
      </c>
      <c r="U492">
        <v>1</v>
      </c>
    </row>
    <row r="493" spans="18:25" x14ac:dyDescent="0.2">
      <c r="R493" t="s">
        <v>116</v>
      </c>
      <c r="S493">
        <v>0</v>
      </c>
      <c r="T493" t="s">
        <v>119</v>
      </c>
      <c r="U493">
        <v>1</v>
      </c>
    </row>
    <row r="494" spans="18:25" x14ac:dyDescent="0.2">
      <c r="R494" t="s">
        <v>116</v>
      </c>
      <c r="S494">
        <v>0</v>
      </c>
      <c r="T494" t="s">
        <v>119</v>
      </c>
      <c r="U494">
        <v>2</v>
      </c>
    </row>
    <row r="495" spans="18:25" x14ac:dyDescent="0.2">
      <c r="R495" t="s">
        <v>116</v>
      </c>
      <c r="S495">
        <v>0</v>
      </c>
      <c r="T495" t="s">
        <v>119</v>
      </c>
      <c r="U495">
        <v>2</v>
      </c>
      <c r="Y495" s="8"/>
    </row>
    <row r="496" spans="18:25" x14ac:dyDescent="0.2">
      <c r="R496" t="s">
        <v>116</v>
      </c>
      <c r="S496">
        <v>0</v>
      </c>
      <c r="T496" t="s">
        <v>119</v>
      </c>
      <c r="U496">
        <v>1</v>
      </c>
      <c r="Y496" s="8"/>
    </row>
    <row r="497" spans="18:25" x14ac:dyDescent="0.2">
      <c r="R497" t="s">
        <v>116</v>
      </c>
      <c r="S497">
        <v>0</v>
      </c>
      <c r="T497" t="s">
        <v>119</v>
      </c>
      <c r="U497">
        <v>2</v>
      </c>
      <c r="Y497" s="8"/>
    </row>
    <row r="498" spans="18:25" x14ac:dyDescent="0.2">
      <c r="R498" t="s">
        <v>116</v>
      </c>
      <c r="S498">
        <v>0</v>
      </c>
      <c r="T498" t="s">
        <v>119</v>
      </c>
      <c r="U498">
        <v>3</v>
      </c>
      <c r="Y498" s="8"/>
    </row>
    <row r="499" spans="18:25" x14ac:dyDescent="0.2">
      <c r="R499" t="s">
        <v>116</v>
      </c>
      <c r="S499">
        <v>3</v>
      </c>
      <c r="T499" t="s">
        <v>120</v>
      </c>
      <c r="U499">
        <v>1</v>
      </c>
      <c r="Y499" s="8"/>
    </row>
    <row r="500" spans="18:25" x14ac:dyDescent="0.2">
      <c r="R500" t="s">
        <v>116</v>
      </c>
      <c r="S500">
        <v>1</v>
      </c>
      <c r="T500" t="s">
        <v>120</v>
      </c>
      <c r="U500">
        <v>2</v>
      </c>
      <c r="Y500" s="8"/>
    </row>
    <row r="501" spans="18:25" x14ac:dyDescent="0.2">
      <c r="R501" t="s">
        <v>117</v>
      </c>
      <c r="S501">
        <v>1</v>
      </c>
      <c r="T501" t="s">
        <v>119</v>
      </c>
      <c r="U501">
        <v>2</v>
      </c>
      <c r="Y501" s="8"/>
    </row>
    <row r="502" spans="18:25" x14ac:dyDescent="0.2">
      <c r="R502" t="s">
        <v>117</v>
      </c>
      <c r="S502">
        <v>4</v>
      </c>
      <c r="T502" t="s">
        <v>119</v>
      </c>
      <c r="U502">
        <v>1</v>
      </c>
      <c r="Y502" s="8"/>
    </row>
    <row r="503" spans="18:25" x14ac:dyDescent="0.2">
      <c r="R503" t="s">
        <v>116</v>
      </c>
      <c r="S503">
        <v>2</v>
      </c>
      <c r="T503" t="s">
        <v>119</v>
      </c>
      <c r="U503">
        <v>1</v>
      </c>
      <c r="Y503" s="8"/>
    </row>
    <row r="504" spans="18:25" x14ac:dyDescent="0.2">
      <c r="R504" t="s">
        <v>116</v>
      </c>
      <c r="S504">
        <v>0</v>
      </c>
      <c r="T504" t="s">
        <v>120</v>
      </c>
      <c r="U504">
        <v>2</v>
      </c>
      <c r="Y504" s="8"/>
    </row>
    <row r="505" spans="18:25" x14ac:dyDescent="0.2">
      <c r="R505" t="s">
        <v>116</v>
      </c>
      <c r="S505">
        <v>0</v>
      </c>
      <c r="T505" t="s">
        <v>120</v>
      </c>
      <c r="U505">
        <v>4</v>
      </c>
      <c r="Y505" s="8"/>
    </row>
    <row r="506" spans="18:25" x14ac:dyDescent="0.2">
      <c r="R506" t="s">
        <v>116</v>
      </c>
      <c r="S506">
        <v>4</v>
      </c>
      <c r="T506" t="s">
        <v>120</v>
      </c>
      <c r="U506">
        <v>4</v>
      </c>
      <c r="Y506" s="8"/>
    </row>
    <row r="507" spans="18:25" x14ac:dyDescent="0.2">
      <c r="R507" t="s">
        <v>116</v>
      </c>
      <c r="S507">
        <v>2</v>
      </c>
      <c r="T507" t="s">
        <v>120</v>
      </c>
      <c r="U507">
        <v>3</v>
      </c>
      <c r="Y507" s="8"/>
    </row>
    <row r="508" spans="18:25" x14ac:dyDescent="0.2">
      <c r="R508" t="s">
        <v>116</v>
      </c>
      <c r="S508">
        <v>2</v>
      </c>
      <c r="T508" t="s">
        <v>119</v>
      </c>
      <c r="U508">
        <v>4</v>
      </c>
      <c r="Y508" s="8"/>
    </row>
    <row r="509" spans="18:25" x14ac:dyDescent="0.2">
      <c r="R509" t="s">
        <v>116</v>
      </c>
      <c r="S509">
        <v>4</v>
      </c>
      <c r="T509" t="s">
        <v>120</v>
      </c>
      <c r="U509">
        <v>3</v>
      </c>
      <c r="Y509" s="8"/>
    </row>
    <row r="510" spans="18:25" x14ac:dyDescent="0.2">
      <c r="R510" t="s">
        <v>116</v>
      </c>
      <c r="S510">
        <v>1</v>
      </c>
      <c r="T510" t="s">
        <v>119</v>
      </c>
      <c r="U510">
        <v>2</v>
      </c>
      <c r="Y510" s="8"/>
    </row>
    <row r="511" spans="18:25" x14ac:dyDescent="0.2">
      <c r="R511" t="s">
        <v>117</v>
      </c>
      <c r="S511">
        <v>4</v>
      </c>
      <c r="T511" t="s">
        <v>120</v>
      </c>
      <c r="U511">
        <v>3</v>
      </c>
      <c r="Y511" s="8"/>
    </row>
    <row r="512" spans="18:25" x14ac:dyDescent="0.2">
      <c r="R512" t="s">
        <v>117</v>
      </c>
      <c r="S512">
        <v>2</v>
      </c>
      <c r="T512" t="s">
        <v>119</v>
      </c>
      <c r="U512">
        <v>1</v>
      </c>
      <c r="Y512" s="8"/>
    </row>
    <row r="513" spans="18:25" x14ac:dyDescent="0.2">
      <c r="R513" t="s">
        <v>117</v>
      </c>
      <c r="S513">
        <v>3</v>
      </c>
      <c r="T513" t="s">
        <v>120</v>
      </c>
      <c r="U513">
        <v>1</v>
      </c>
      <c r="Y513" s="8"/>
    </row>
    <row r="514" spans="18:25" x14ac:dyDescent="0.2">
      <c r="R514" t="s">
        <v>117</v>
      </c>
      <c r="S514">
        <v>1</v>
      </c>
      <c r="T514" t="s">
        <v>119</v>
      </c>
      <c r="U514">
        <v>1</v>
      </c>
      <c r="Y514" s="8"/>
    </row>
    <row r="515" spans="18:25" x14ac:dyDescent="0.2">
      <c r="R515" t="s">
        <v>116</v>
      </c>
      <c r="S515">
        <v>0</v>
      </c>
      <c r="T515" t="s">
        <v>120</v>
      </c>
      <c r="U515">
        <v>2</v>
      </c>
      <c r="Y515" s="8"/>
    </row>
    <row r="516" spans="18:25" x14ac:dyDescent="0.2">
      <c r="R516" t="s">
        <v>116</v>
      </c>
      <c r="S516">
        <v>0</v>
      </c>
      <c r="T516" t="s">
        <v>120</v>
      </c>
      <c r="U516">
        <v>3</v>
      </c>
      <c r="Y516" s="8"/>
    </row>
    <row r="517" spans="18:25" x14ac:dyDescent="0.2">
      <c r="R517" t="s">
        <v>117</v>
      </c>
      <c r="S517">
        <v>0</v>
      </c>
      <c r="T517" t="s">
        <v>120</v>
      </c>
      <c r="U517">
        <v>2</v>
      </c>
      <c r="Y517" s="8"/>
    </row>
    <row r="518" spans="18:25" x14ac:dyDescent="0.2">
      <c r="R518" t="s">
        <v>116</v>
      </c>
      <c r="S518">
        <v>0</v>
      </c>
      <c r="T518" t="s">
        <v>119</v>
      </c>
      <c r="U518">
        <v>1</v>
      </c>
      <c r="Y518" s="8"/>
    </row>
    <row r="519" spans="18:25" x14ac:dyDescent="0.2">
      <c r="R519" t="s">
        <v>116</v>
      </c>
      <c r="S519">
        <v>0</v>
      </c>
      <c r="T519" t="s">
        <v>119</v>
      </c>
      <c r="U519">
        <v>1</v>
      </c>
      <c r="Y519" s="8"/>
    </row>
    <row r="520" spans="18:25" x14ac:dyDescent="0.2">
      <c r="R520" t="s">
        <v>116</v>
      </c>
      <c r="S520">
        <v>4</v>
      </c>
      <c r="T520" t="s">
        <v>120</v>
      </c>
      <c r="U520">
        <v>1</v>
      </c>
      <c r="Y520" s="8"/>
    </row>
    <row r="521" spans="18:25" x14ac:dyDescent="0.2">
      <c r="R521" t="s">
        <v>116</v>
      </c>
      <c r="S521">
        <v>1</v>
      </c>
      <c r="T521" t="s">
        <v>120</v>
      </c>
      <c r="U521">
        <v>3</v>
      </c>
      <c r="Y521" s="8"/>
    </row>
    <row r="522" spans="18:25" x14ac:dyDescent="0.2">
      <c r="R522" t="s">
        <v>116</v>
      </c>
      <c r="S522">
        <v>2</v>
      </c>
      <c r="T522" t="s">
        <v>119</v>
      </c>
      <c r="U522">
        <v>2</v>
      </c>
      <c r="Y522" s="8"/>
    </row>
    <row r="523" spans="18:25" x14ac:dyDescent="0.2">
      <c r="R523" t="s">
        <v>116</v>
      </c>
      <c r="S523">
        <v>2</v>
      </c>
      <c r="T523" t="s">
        <v>119</v>
      </c>
      <c r="U523">
        <v>1</v>
      </c>
      <c r="Y523" s="8"/>
    </row>
    <row r="524" spans="18:25" x14ac:dyDescent="0.2">
      <c r="R524" t="s">
        <v>116</v>
      </c>
      <c r="S524">
        <v>1</v>
      </c>
      <c r="T524" t="s">
        <v>119</v>
      </c>
      <c r="U524">
        <v>2</v>
      </c>
      <c r="Y524" s="8"/>
    </row>
    <row r="525" spans="18:25" x14ac:dyDescent="0.2">
      <c r="R525" t="s">
        <v>117</v>
      </c>
      <c r="S525">
        <v>1</v>
      </c>
      <c r="T525" t="s">
        <v>119</v>
      </c>
      <c r="U525">
        <v>3</v>
      </c>
      <c r="Y525" s="8"/>
    </row>
    <row r="526" spans="18:25" x14ac:dyDescent="0.2">
      <c r="R526" t="s">
        <v>117</v>
      </c>
      <c r="S526">
        <v>3</v>
      </c>
      <c r="T526" t="s">
        <v>119</v>
      </c>
      <c r="U526">
        <v>1</v>
      </c>
      <c r="Y526" s="8"/>
    </row>
    <row r="527" spans="18:25" x14ac:dyDescent="0.2">
      <c r="R527" t="s">
        <v>117</v>
      </c>
      <c r="S527">
        <v>1</v>
      </c>
      <c r="T527" t="s">
        <v>119</v>
      </c>
      <c r="U527">
        <v>1</v>
      </c>
      <c r="Y527" s="8"/>
    </row>
    <row r="528" spans="18:25" x14ac:dyDescent="0.2">
      <c r="R528" t="s">
        <v>117</v>
      </c>
      <c r="S528">
        <v>4</v>
      </c>
      <c r="T528" t="s">
        <v>119</v>
      </c>
      <c r="U528">
        <v>3</v>
      </c>
      <c r="Y528" s="8"/>
    </row>
    <row r="529" spans="18:25" x14ac:dyDescent="0.2">
      <c r="R529" t="s">
        <v>116</v>
      </c>
      <c r="S529">
        <v>0</v>
      </c>
      <c r="T529" t="s">
        <v>120</v>
      </c>
      <c r="U529">
        <v>3</v>
      </c>
      <c r="Y529" s="8"/>
    </row>
    <row r="530" spans="18:25" x14ac:dyDescent="0.2">
      <c r="R530" t="s">
        <v>116</v>
      </c>
      <c r="S530">
        <v>0</v>
      </c>
      <c r="T530" t="s">
        <v>120</v>
      </c>
      <c r="U530">
        <v>3</v>
      </c>
      <c r="Y530" s="8"/>
    </row>
    <row r="531" spans="18:25" x14ac:dyDescent="0.2">
      <c r="R531" t="s">
        <v>116</v>
      </c>
      <c r="S531">
        <v>1</v>
      </c>
      <c r="T531" t="s">
        <v>119</v>
      </c>
      <c r="U531">
        <v>1</v>
      </c>
      <c r="Y531" s="8"/>
    </row>
    <row r="532" spans="18:25" x14ac:dyDescent="0.2">
      <c r="R532" t="s">
        <v>117</v>
      </c>
      <c r="S532">
        <v>3</v>
      </c>
      <c r="T532" t="s">
        <v>119</v>
      </c>
      <c r="U532">
        <v>1</v>
      </c>
      <c r="Y532" s="8"/>
    </row>
    <row r="533" spans="18:25" x14ac:dyDescent="0.2">
      <c r="R533" t="s">
        <v>117</v>
      </c>
      <c r="S533">
        <v>1</v>
      </c>
      <c r="T533" t="s">
        <v>119</v>
      </c>
      <c r="U533">
        <v>2</v>
      </c>
      <c r="Y533" s="8"/>
    </row>
    <row r="534" spans="18:25" x14ac:dyDescent="0.2">
      <c r="R534" t="s">
        <v>117</v>
      </c>
      <c r="S534">
        <v>1</v>
      </c>
      <c r="T534" t="s">
        <v>120</v>
      </c>
      <c r="U534">
        <v>3</v>
      </c>
      <c r="Y534" s="8"/>
    </row>
    <row r="535" spans="18:25" x14ac:dyDescent="0.2">
      <c r="R535" t="s">
        <v>116</v>
      </c>
      <c r="S535">
        <v>2</v>
      </c>
      <c r="T535" t="s">
        <v>120</v>
      </c>
      <c r="U535">
        <v>2</v>
      </c>
      <c r="Y535" s="8"/>
    </row>
    <row r="536" spans="18:25" x14ac:dyDescent="0.2">
      <c r="R536" t="s">
        <v>116</v>
      </c>
      <c r="S536">
        <v>0</v>
      </c>
      <c r="T536" t="s">
        <v>119</v>
      </c>
      <c r="U536">
        <v>1</v>
      </c>
      <c r="Y536" s="8"/>
    </row>
    <row r="537" spans="18:25" x14ac:dyDescent="0.2">
      <c r="R537" t="s">
        <v>116</v>
      </c>
      <c r="S537">
        <v>0</v>
      </c>
      <c r="T537" t="s">
        <v>120</v>
      </c>
      <c r="U537">
        <v>1</v>
      </c>
      <c r="Y537" s="8"/>
    </row>
    <row r="538" spans="18:25" x14ac:dyDescent="0.2">
      <c r="R538" t="s">
        <v>116</v>
      </c>
      <c r="S538">
        <v>0</v>
      </c>
      <c r="T538" t="s">
        <v>120</v>
      </c>
      <c r="U538">
        <v>1</v>
      </c>
      <c r="Y538" s="8"/>
    </row>
    <row r="539" spans="18:25" x14ac:dyDescent="0.2">
      <c r="R539" t="s">
        <v>116</v>
      </c>
      <c r="S539">
        <v>0</v>
      </c>
      <c r="T539" t="s">
        <v>120</v>
      </c>
      <c r="U539">
        <v>3</v>
      </c>
      <c r="Y539" s="8"/>
    </row>
    <row r="540" spans="18:25" x14ac:dyDescent="0.2">
      <c r="R540" t="s">
        <v>116</v>
      </c>
      <c r="S540">
        <v>0</v>
      </c>
      <c r="T540" t="s">
        <v>119</v>
      </c>
      <c r="U540">
        <v>1</v>
      </c>
      <c r="Y540" s="8"/>
    </row>
    <row r="541" spans="18:25" x14ac:dyDescent="0.2">
      <c r="R541" t="s">
        <v>116</v>
      </c>
      <c r="S541">
        <v>0</v>
      </c>
      <c r="T541" t="s">
        <v>120</v>
      </c>
      <c r="U541">
        <v>2</v>
      </c>
      <c r="Y541" s="8"/>
    </row>
    <row r="542" spans="18:25" x14ac:dyDescent="0.2">
      <c r="R542" t="s">
        <v>116</v>
      </c>
      <c r="S542">
        <v>0</v>
      </c>
      <c r="T542" t="s">
        <v>119</v>
      </c>
      <c r="U542">
        <v>2</v>
      </c>
      <c r="Y542" s="8"/>
    </row>
    <row r="543" spans="18:25" x14ac:dyDescent="0.2">
      <c r="R543" t="s">
        <v>116</v>
      </c>
      <c r="S543">
        <v>0</v>
      </c>
      <c r="T543" t="s">
        <v>120</v>
      </c>
      <c r="U543">
        <v>5</v>
      </c>
      <c r="Y543" s="8"/>
    </row>
    <row r="544" spans="18:25" x14ac:dyDescent="0.2">
      <c r="R544" t="s">
        <v>116</v>
      </c>
      <c r="S544">
        <v>0</v>
      </c>
      <c r="T544" t="s">
        <v>120</v>
      </c>
      <c r="U544">
        <v>3</v>
      </c>
      <c r="Y544" s="8"/>
    </row>
    <row r="545" spans="18:25" x14ac:dyDescent="0.2">
      <c r="R545" t="s">
        <v>116</v>
      </c>
      <c r="S545">
        <v>0</v>
      </c>
      <c r="Y545" s="8"/>
    </row>
    <row r="546" spans="18:25" x14ac:dyDescent="0.2">
      <c r="R546" t="s">
        <v>116</v>
      </c>
      <c r="S546">
        <v>0</v>
      </c>
      <c r="Y546" s="8"/>
    </row>
    <row r="547" spans="18:25" x14ac:dyDescent="0.2">
      <c r="R547" t="s">
        <v>116</v>
      </c>
      <c r="S547">
        <v>0</v>
      </c>
      <c r="Y547" s="8"/>
    </row>
    <row r="548" spans="18:25" x14ac:dyDescent="0.2">
      <c r="R548" t="s">
        <v>116</v>
      </c>
      <c r="S548">
        <v>0</v>
      </c>
      <c r="Y548" s="8"/>
    </row>
    <row r="549" spans="18:25" x14ac:dyDescent="0.2">
      <c r="R549" t="s">
        <v>116</v>
      </c>
      <c r="S549">
        <v>0</v>
      </c>
      <c r="Y549" s="8"/>
    </row>
    <row r="550" spans="18:25" x14ac:dyDescent="0.2">
      <c r="R550" t="s">
        <v>116</v>
      </c>
      <c r="S550">
        <v>0</v>
      </c>
      <c r="Y550" s="8"/>
    </row>
    <row r="551" spans="18:25" x14ac:dyDescent="0.2">
      <c r="R551" t="s">
        <v>116</v>
      </c>
      <c r="S551">
        <v>0</v>
      </c>
      <c r="Y551" s="8"/>
    </row>
    <row r="552" spans="18:25" x14ac:dyDescent="0.2">
      <c r="R552" t="s">
        <v>116</v>
      </c>
      <c r="S552">
        <v>4</v>
      </c>
      <c r="Y552" s="8"/>
    </row>
    <row r="553" spans="18:25" x14ac:dyDescent="0.2">
      <c r="R553" t="s">
        <v>116</v>
      </c>
      <c r="S553">
        <v>1</v>
      </c>
      <c r="Y553" s="8"/>
    </row>
    <row r="554" spans="18:25" x14ac:dyDescent="0.2">
      <c r="R554" t="s">
        <v>116</v>
      </c>
      <c r="S554">
        <v>3</v>
      </c>
      <c r="Y554" s="8"/>
    </row>
    <row r="555" spans="18:25" x14ac:dyDescent="0.2">
      <c r="R555" t="s">
        <v>116</v>
      </c>
      <c r="S555">
        <v>3</v>
      </c>
      <c r="Y555" s="8"/>
    </row>
    <row r="556" spans="18:25" x14ac:dyDescent="0.2">
      <c r="R556" t="s">
        <v>116</v>
      </c>
      <c r="S556">
        <v>2</v>
      </c>
      <c r="Y556" s="8"/>
    </row>
    <row r="557" spans="18:25" x14ac:dyDescent="0.2">
      <c r="R557" t="s">
        <v>116</v>
      </c>
      <c r="S557">
        <v>2</v>
      </c>
      <c r="Y557" s="8"/>
    </row>
    <row r="558" spans="18:25" x14ac:dyDescent="0.2">
      <c r="R558" t="s">
        <v>116</v>
      </c>
      <c r="S558">
        <v>2</v>
      </c>
      <c r="Y558" s="8"/>
    </row>
    <row r="559" spans="18:25" x14ac:dyDescent="0.2">
      <c r="R559" t="s">
        <v>116</v>
      </c>
      <c r="S559">
        <v>3</v>
      </c>
      <c r="Y559" s="8"/>
    </row>
    <row r="560" spans="18:25" x14ac:dyDescent="0.2">
      <c r="R560" t="s">
        <v>116</v>
      </c>
      <c r="S560">
        <v>1</v>
      </c>
      <c r="Y560" s="8"/>
    </row>
    <row r="561" spans="18:25" x14ac:dyDescent="0.2">
      <c r="R561" t="s">
        <v>116</v>
      </c>
      <c r="S561">
        <v>1</v>
      </c>
      <c r="Y561" s="8"/>
    </row>
    <row r="562" spans="18:25" x14ac:dyDescent="0.2">
      <c r="R562" t="s">
        <v>116</v>
      </c>
      <c r="S562">
        <v>1</v>
      </c>
      <c r="Y562" s="8"/>
    </row>
    <row r="563" spans="18:25" x14ac:dyDescent="0.2">
      <c r="R563" t="s">
        <v>116</v>
      </c>
      <c r="S563">
        <v>2</v>
      </c>
      <c r="Y563" s="8"/>
    </row>
    <row r="564" spans="18:25" x14ac:dyDescent="0.2">
      <c r="R564" t="s">
        <v>116</v>
      </c>
      <c r="S564">
        <v>1</v>
      </c>
      <c r="Y564" s="8"/>
    </row>
    <row r="565" spans="18:25" x14ac:dyDescent="0.2">
      <c r="R565" t="s">
        <v>116</v>
      </c>
      <c r="S565">
        <v>1</v>
      </c>
      <c r="Y565" s="8"/>
    </row>
    <row r="566" spans="18:25" x14ac:dyDescent="0.2">
      <c r="R566" t="s">
        <v>116</v>
      </c>
      <c r="S566">
        <v>3</v>
      </c>
      <c r="Y566" s="8"/>
    </row>
    <row r="567" spans="18:25" x14ac:dyDescent="0.2">
      <c r="R567" t="s">
        <v>117</v>
      </c>
      <c r="S567">
        <v>0</v>
      </c>
      <c r="Y567" s="8"/>
    </row>
    <row r="568" spans="18:25" x14ac:dyDescent="0.2">
      <c r="R568" t="s">
        <v>117</v>
      </c>
      <c r="S568">
        <v>0</v>
      </c>
      <c r="Y568" s="8"/>
    </row>
    <row r="569" spans="18:25" x14ac:dyDescent="0.2">
      <c r="R569" t="s">
        <v>117</v>
      </c>
      <c r="S569">
        <v>0</v>
      </c>
      <c r="Y569" s="8"/>
    </row>
    <row r="570" spans="18:25" x14ac:dyDescent="0.2">
      <c r="R570" t="s">
        <v>117</v>
      </c>
      <c r="S570">
        <v>4</v>
      </c>
      <c r="Y570" s="8"/>
    </row>
    <row r="571" spans="18:25" x14ac:dyDescent="0.2">
      <c r="R571" t="s">
        <v>117</v>
      </c>
      <c r="S571">
        <v>3</v>
      </c>
      <c r="Y571" s="8"/>
    </row>
    <row r="572" spans="18:25" x14ac:dyDescent="0.2">
      <c r="R572" t="s">
        <v>117</v>
      </c>
      <c r="S572">
        <v>4</v>
      </c>
      <c r="Y572" s="8"/>
    </row>
    <row r="573" spans="18:25" x14ac:dyDescent="0.2">
      <c r="R573" t="s">
        <v>117</v>
      </c>
      <c r="S573">
        <v>2</v>
      </c>
      <c r="Y573" s="8"/>
    </row>
    <row r="574" spans="18:25" x14ac:dyDescent="0.2">
      <c r="R574" t="s">
        <v>117</v>
      </c>
      <c r="S574">
        <v>2</v>
      </c>
      <c r="Y574" s="8"/>
    </row>
    <row r="575" spans="18:25" x14ac:dyDescent="0.2">
      <c r="R575" t="s">
        <v>117</v>
      </c>
      <c r="S575">
        <v>3</v>
      </c>
      <c r="Y575" s="8"/>
    </row>
    <row r="576" spans="18:25" x14ac:dyDescent="0.2">
      <c r="R576" t="s">
        <v>117</v>
      </c>
      <c r="S576">
        <v>2</v>
      </c>
      <c r="Y576" s="8"/>
    </row>
    <row r="577" spans="18:25" x14ac:dyDescent="0.2">
      <c r="R577" t="s">
        <v>117</v>
      </c>
      <c r="S577">
        <v>3</v>
      </c>
      <c r="Y577" s="8"/>
    </row>
    <row r="578" spans="18:25" x14ac:dyDescent="0.2">
      <c r="R578" t="s">
        <v>117</v>
      </c>
      <c r="S578">
        <v>3</v>
      </c>
      <c r="Y578" s="8"/>
    </row>
    <row r="579" spans="18:25" x14ac:dyDescent="0.2">
      <c r="R579" t="s">
        <v>117</v>
      </c>
      <c r="S579">
        <v>1</v>
      </c>
      <c r="Y579" s="8"/>
    </row>
    <row r="580" spans="18:25" x14ac:dyDescent="0.2">
      <c r="R580" t="s">
        <v>117</v>
      </c>
      <c r="S580">
        <v>4</v>
      </c>
      <c r="Y580" s="8"/>
    </row>
    <row r="581" spans="18:25" x14ac:dyDescent="0.2">
      <c r="R581" t="s">
        <v>117</v>
      </c>
      <c r="S581">
        <v>3</v>
      </c>
      <c r="Y581" s="8"/>
    </row>
    <row r="582" spans="18:25" x14ac:dyDescent="0.2">
      <c r="R582" t="s">
        <v>117</v>
      </c>
      <c r="S582">
        <v>2</v>
      </c>
      <c r="Y582" s="8"/>
    </row>
    <row r="583" spans="18:25" x14ac:dyDescent="0.2">
      <c r="R583" t="s">
        <v>117</v>
      </c>
      <c r="S583">
        <v>3</v>
      </c>
      <c r="Y583" s="8"/>
    </row>
    <row r="584" spans="18:25" x14ac:dyDescent="0.2">
      <c r="R584" t="s">
        <v>117</v>
      </c>
      <c r="S584">
        <v>1</v>
      </c>
      <c r="Y584" s="8"/>
    </row>
    <row r="585" spans="18:25" x14ac:dyDescent="0.2">
      <c r="R585" t="s">
        <v>117</v>
      </c>
      <c r="S585">
        <v>3</v>
      </c>
      <c r="Y585" s="8"/>
    </row>
    <row r="586" spans="18:25" x14ac:dyDescent="0.2">
      <c r="R586" t="s">
        <v>117</v>
      </c>
      <c r="S586">
        <v>2</v>
      </c>
      <c r="Y586" s="8"/>
    </row>
    <row r="587" spans="18:25" x14ac:dyDescent="0.2">
      <c r="R587" t="s">
        <v>117</v>
      </c>
      <c r="S587">
        <v>3</v>
      </c>
      <c r="Y587" s="8"/>
    </row>
    <row r="588" spans="18:25" x14ac:dyDescent="0.2">
      <c r="R588" t="s">
        <v>117</v>
      </c>
      <c r="S588">
        <v>3</v>
      </c>
      <c r="Y588" s="8"/>
    </row>
    <row r="589" spans="18:25" x14ac:dyDescent="0.2">
      <c r="R589" t="s">
        <v>116</v>
      </c>
      <c r="S589">
        <v>1</v>
      </c>
      <c r="Y589" s="8"/>
    </row>
    <row r="590" spans="18:25" x14ac:dyDescent="0.2">
      <c r="R590" t="s">
        <v>116</v>
      </c>
      <c r="S590">
        <v>0</v>
      </c>
      <c r="Y590" s="8"/>
    </row>
    <row r="591" spans="18:25" x14ac:dyDescent="0.2">
      <c r="R591" t="s">
        <v>116</v>
      </c>
      <c r="S591">
        <v>0</v>
      </c>
      <c r="Y591" s="8"/>
    </row>
    <row r="592" spans="18:25" x14ac:dyDescent="0.2">
      <c r="R592" t="s">
        <v>116</v>
      </c>
      <c r="S592">
        <v>1</v>
      </c>
      <c r="Y592" s="8"/>
    </row>
    <row r="593" spans="18:25" x14ac:dyDescent="0.2">
      <c r="R593" t="s">
        <v>117</v>
      </c>
      <c r="S593">
        <v>2</v>
      </c>
      <c r="Y593" s="8"/>
    </row>
    <row r="594" spans="18:25" x14ac:dyDescent="0.2">
      <c r="R594" t="s">
        <v>117</v>
      </c>
      <c r="S594">
        <v>4</v>
      </c>
      <c r="Y594" s="8"/>
    </row>
    <row r="595" spans="18:25" x14ac:dyDescent="0.2">
      <c r="R595" t="s">
        <v>116</v>
      </c>
      <c r="S595">
        <v>0</v>
      </c>
      <c r="Y595" s="8"/>
    </row>
    <row r="596" spans="18:25" x14ac:dyDescent="0.2">
      <c r="R596" t="s">
        <v>116</v>
      </c>
      <c r="S596">
        <v>0</v>
      </c>
      <c r="Y596" s="8"/>
    </row>
    <row r="597" spans="18:25" x14ac:dyDescent="0.2">
      <c r="R597" t="s">
        <v>117</v>
      </c>
      <c r="S597">
        <v>3</v>
      </c>
      <c r="Y597" s="8"/>
    </row>
    <row r="598" spans="18:25" x14ac:dyDescent="0.2">
      <c r="R598" t="s">
        <v>117</v>
      </c>
      <c r="S598">
        <v>2</v>
      </c>
      <c r="Y598" s="8"/>
    </row>
    <row r="599" spans="18:25" x14ac:dyDescent="0.2">
      <c r="R599" t="s">
        <v>117</v>
      </c>
      <c r="S599">
        <v>4</v>
      </c>
      <c r="Y599" s="8"/>
    </row>
    <row r="600" spans="18:25" x14ac:dyDescent="0.2">
      <c r="R600" t="s">
        <v>116</v>
      </c>
      <c r="S600">
        <v>1</v>
      </c>
      <c r="Y600" s="8"/>
    </row>
    <row r="601" spans="18:25" x14ac:dyDescent="0.2">
      <c r="R601" t="s">
        <v>116</v>
      </c>
      <c r="S601">
        <v>1</v>
      </c>
      <c r="Y601" s="8"/>
    </row>
    <row r="602" spans="18:25" x14ac:dyDescent="0.2">
      <c r="R602" t="s">
        <v>117</v>
      </c>
      <c r="S602">
        <v>3</v>
      </c>
      <c r="Y602" s="8"/>
    </row>
    <row r="603" spans="18:25" x14ac:dyDescent="0.2">
      <c r="R603" t="s">
        <v>117</v>
      </c>
      <c r="S603">
        <v>1</v>
      </c>
      <c r="Y603" s="8"/>
    </row>
    <row r="604" spans="18:25" x14ac:dyDescent="0.2">
      <c r="R604" t="s">
        <v>117</v>
      </c>
      <c r="S604">
        <v>1</v>
      </c>
      <c r="Y604" s="8"/>
    </row>
    <row r="605" spans="18:25" x14ac:dyDescent="0.2">
      <c r="R605" t="s">
        <v>117</v>
      </c>
      <c r="S605">
        <v>0</v>
      </c>
      <c r="Y605" s="8"/>
    </row>
    <row r="606" spans="18:25" x14ac:dyDescent="0.2">
      <c r="R606" t="s">
        <v>116</v>
      </c>
      <c r="S606">
        <v>1</v>
      </c>
      <c r="Y606" s="8"/>
    </row>
    <row r="607" spans="18:25" x14ac:dyDescent="0.2">
      <c r="R607" t="s">
        <v>117</v>
      </c>
      <c r="S607">
        <v>1</v>
      </c>
      <c r="Y607" s="8"/>
    </row>
    <row r="608" spans="18:25" x14ac:dyDescent="0.2">
      <c r="R608" t="s">
        <v>117</v>
      </c>
      <c r="S608">
        <v>4</v>
      </c>
      <c r="Y608" s="8"/>
    </row>
    <row r="609" spans="18:25" x14ac:dyDescent="0.2">
      <c r="R609" t="s">
        <v>117</v>
      </c>
      <c r="S609">
        <v>4</v>
      </c>
      <c r="Y609" s="8"/>
    </row>
    <row r="610" spans="18:25" x14ac:dyDescent="0.2">
      <c r="R610" t="s">
        <v>117</v>
      </c>
      <c r="S610">
        <v>4</v>
      </c>
      <c r="Y610" s="8"/>
    </row>
    <row r="611" spans="18:25" x14ac:dyDescent="0.2">
      <c r="R611" t="s">
        <v>117</v>
      </c>
      <c r="S611">
        <v>2</v>
      </c>
      <c r="Y611" s="8"/>
    </row>
    <row r="612" spans="18:25" x14ac:dyDescent="0.2">
      <c r="R612" t="s">
        <v>116</v>
      </c>
      <c r="S612">
        <v>0</v>
      </c>
      <c r="Y612" s="8"/>
    </row>
    <row r="613" spans="18:25" x14ac:dyDescent="0.2">
      <c r="R613" t="s">
        <v>116</v>
      </c>
      <c r="S613">
        <v>0</v>
      </c>
      <c r="Y613" s="8"/>
    </row>
    <row r="614" spans="18:25" x14ac:dyDescent="0.2">
      <c r="R614" t="s">
        <v>116</v>
      </c>
      <c r="S614">
        <v>1</v>
      </c>
      <c r="Y614" s="8"/>
    </row>
    <row r="615" spans="18:25" x14ac:dyDescent="0.2">
      <c r="R615" t="s">
        <v>117</v>
      </c>
      <c r="S615">
        <v>0</v>
      </c>
      <c r="Y615" s="8"/>
    </row>
    <row r="616" spans="18:25" x14ac:dyDescent="0.2">
      <c r="R616" t="s">
        <v>116</v>
      </c>
      <c r="S616">
        <v>0</v>
      </c>
      <c r="Y616" s="8"/>
    </row>
    <row r="617" spans="18:25" x14ac:dyDescent="0.2">
      <c r="R617" t="s">
        <v>116</v>
      </c>
      <c r="S617">
        <v>0</v>
      </c>
      <c r="Y617" s="8"/>
    </row>
    <row r="618" spans="18:25" x14ac:dyDescent="0.2">
      <c r="R618" t="s">
        <v>116</v>
      </c>
      <c r="S618">
        <v>0</v>
      </c>
      <c r="Y618" s="8"/>
    </row>
    <row r="619" spans="18:25" x14ac:dyDescent="0.2">
      <c r="R619" t="s">
        <v>116</v>
      </c>
      <c r="S619">
        <v>0</v>
      </c>
      <c r="Y619" s="8"/>
    </row>
    <row r="620" spans="18:25" x14ac:dyDescent="0.2">
      <c r="R620" t="s">
        <v>116</v>
      </c>
      <c r="S620">
        <v>0</v>
      </c>
      <c r="Y620" s="8"/>
    </row>
    <row r="621" spans="18:25" x14ac:dyDescent="0.2">
      <c r="R621" t="s">
        <v>116</v>
      </c>
      <c r="S621">
        <v>0</v>
      </c>
      <c r="Y621" s="8"/>
    </row>
    <row r="622" spans="18:25" x14ac:dyDescent="0.2">
      <c r="R622" t="s">
        <v>116</v>
      </c>
      <c r="S622">
        <v>0</v>
      </c>
      <c r="Y622" s="8"/>
    </row>
    <row r="623" spans="18:25" x14ac:dyDescent="0.2">
      <c r="R623" t="s">
        <v>116</v>
      </c>
      <c r="S623">
        <v>1</v>
      </c>
      <c r="Y623" s="8"/>
    </row>
    <row r="624" spans="18:25" x14ac:dyDescent="0.2">
      <c r="R624" t="s">
        <v>116</v>
      </c>
      <c r="S624">
        <v>2</v>
      </c>
      <c r="Y624" s="8"/>
    </row>
    <row r="625" spans="18:25" x14ac:dyDescent="0.2">
      <c r="R625" t="s">
        <v>116</v>
      </c>
      <c r="S625">
        <v>1</v>
      </c>
      <c r="Y625" s="8"/>
    </row>
    <row r="626" spans="18:25" x14ac:dyDescent="0.2">
      <c r="R626" t="s">
        <v>116</v>
      </c>
      <c r="S626">
        <v>2</v>
      </c>
      <c r="Y626" s="8"/>
    </row>
    <row r="627" spans="18:25" x14ac:dyDescent="0.2">
      <c r="R627" t="s">
        <v>116</v>
      </c>
      <c r="S627">
        <v>2</v>
      </c>
      <c r="Y627" s="8"/>
    </row>
    <row r="628" spans="18:25" x14ac:dyDescent="0.2">
      <c r="R628" t="s">
        <v>116</v>
      </c>
      <c r="S628">
        <v>1</v>
      </c>
      <c r="Y628" s="8"/>
    </row>
    <row r="629" spans="18:25" x14ac:dyDescent="0.2">
      <c r="R629" t="s">
        <v>116</v>
      </c>
      <c r="S629">
        <v>1</v>
      </c>
      <c r="Y629" s="8"/>
    </row>
    <row r="630" spans="18:25" x14ac:dyDescent="0.2">
      <c r="R630" t="s">
        <v>117</v>
      </c>
      <c r="S630">
        <v>0</v>
      </c>
      <c r="Y630" s="8"/>
    </row>
    <row r="631" spans="18:25" x14ac:dyDescent="0.2">
      <c r="R631" t="s">
        <v>117</v>
      </c>
      <c r="S631">
        <v>0</v>
      </c>
      <c r="Y631" s="8"/>
    </row>
    <row r="632" spans="18:25" x14ac:dyDescent="0.2">
      <c r="R632" t="s">
        <v>117</v>
      </c>
      <c r="S632">
        <v>4</v>
      </c>
      <c r="Y632" s="8"/>
    </row>
    <row r="633" spans="18:25" x14ac:dyDescent="0.2">
      <c r="R633" t="s">
        <v>117</v>
      </c>
      <c r="S633">
        <v>3</v>
      </c>
      <c r="Y633" s="8"/>
    </row>
    <row r="634" spans="18:25" x14ac:dyDescent="0.2">
      <c r="R634" t="s">
        <v>117</v>
      </c>
      <c r="S634">
        <v>4</v>
      </c>
      <c r="Y634" s="8"/>
    </row>
    <row r="635" spans="18:25" x14ac:dyDescent="0.2">
      <c r="R635" t="s">
        <v>117</v>
      </c>
      <c r="S635">
        <v>3</v>
      </c>
      <c r="Y635" s="8"/>
    </row>
    <row r="636" spans="18:25" x14ac:dyDescent="0.2">
      <c r="R636" t="s">
        <v>117</v>
      </c>
      <c r="S636">
        <v>1</v>
      </c>
      <c r="Y636" s="8"/>
    </row>
    <row r="637" spans="18:25" x14ac:dyDescent="0.2">
      <c r="R637" t="s">
        <v>117</v>
      </c>
      <c r="S637">
        <v>4</v>
      </c>
      <c r="Y637" s="8"/>
    </row>
    <row r="638" spans="18:25" x14ac:dyDescent="0.2">
      <c r="R638" t="s">
        <v>117</v>
      </c>
      <c r="S638">
        <v>3</v>
      </c>
      <c r="Y638" s="8"/>
    </row>
    <row r="639" spans="18:25" x14ac:dyDescent="0.2">
      <c r="R639" t="s">
        <v>116</v>
      </c>
      <c r="S639">
        <v>1</v>
      </c>
      <c r="Y639" s="8"/>
    </row>
    <row r="640" spans="18:25" x14ac:dyDescent="0.2">
      <c r="R640" t="s">
        <v>116</v>
      </c>
      <c r="S640">
        <v>0</v>
      </c>
      <c r="Y640" s="8"/>
    </row>
    <row r="641" spans="18:25" x14ac:dyDescent="0.2">
      <c r="R641" t="s">
        <v>117</v>
      </c>
      <c r="S641">
        <v>2</v>
      </c>
      <c r="Y641" s="8"/>
    </row>
    <row r="642" spans="18:25" x14ac:dyDescent="0.2">
      <c r="R642" t="s">
        <v>116</v>
      </c>
      <c r="S642">
        <v>0</v>
      </c>
      <c r="Y642" s="8"/>
    </row>
    <row r="643" spans="18:25" x14ac:dyDescent="0.2">
      <c r="R643" t="s">
        <v>117</v>
      </c>
      <c r="S643">
        <v>3</v>
      </c>
      <c r="Y643" s="8"/>
    </row>
    <row r="644" spans="18:25" x14ac:dyDescent="0.2">
      <c r="R644" t="s">
        <v>116</v>
      </c>
      <c r="S644">
        <v>1</v>
      </c>
      <c r="Y644" s="8"/>
    </row>
    <row r="645" spans="18:25" x14ac:dyDescent="0.2">
      <c r="R645" t="s">
        <v>117</v>
      </c>
      <c r="S645">
        <v>1</v>
      </c>
      <c r="Y645" s="8"/>
    </row>
    <row r="646" spans="18:25" x14ac:dyDescent="0.2">
      <c r="R646" t="s">
        <v>116</v>
      </c>
      <c r="S646">
        <v>0</v>
      </c>
      <c r="Y646" s="8"/>
    </row>
    <row r="647" spans="18:25" x14ac:dyDescent="0.2">
      <c r="R647" t="s">
        <v>116</v>
      </c>
      <c r="S647">
        <v>0</v>
      </c>
      <c r="Y647" s="8"/>
    </row>
    <row r="648" spans="18:25" x14ac:dyDescent="0.2">
      <c r="R648" t="s">
        <v>117</v>
      </c>
      <c r="S648">
        <v>1</v>
      </c>
      <c r="Y648" s="8"/>
    </row>
    <row r="649" spans="18:25" x14ac:dyDescent="0.2">
      <c r="R649" t="s">
        <v>117</v>
      </c>
      <c r="S649">
        <v>1</v>
      </c>
      <c r="Y649" s="8"/>
    </row>
    <row r="650" spans="18:25" x14ac:dyDescent="0.2">
      <c r="R650" t="s">
        <v>117</v>
      </c>
      <c r="S650">
        <v>4</v>
      </c>
      <c r="Y650" s="8"/>
    </row>
    <row r="651" spans="18:25" x14ac:dyDescent="0.2">
      <c r="R651" t="s">
        <v>116</v>
      </c>
      <c r="S651">
        <v>1</v>
      </c>
      <c r="Y651" s="8"/>
    </row>
    <row r="652" spans="18:25" x14ac:dyDescent="0.2">
      <c r="R652" t="s">
        <v>116</v>
      </c>
      <c r="S652">
        <v>2</v>
      </c>
      <c r="Y652" s="8"/>
    </row>
    <row r="653" spans="18:25" x14ac:dyDescent="0.2">
      <c r="R653" t="s">
        <v>116</v>
      </c>
      <c r="S653">
        <v>0</v>
      </c>
      <c r="Y653" s="8"/>
    </row>
    <row r="654" spans="18:25" x14ac:dyDescent="0.2">
      <c r="R654" t="s">
        <v>116</v>
      </c>
      <c r="S654">
        <v>2</v>
      </c>
      <c r="Y654" s="8"/>
    </row>
    <row r="655" spans="18:25" x14ac:dyDescent="0.2">
      <c r="R655" t="s">
        <v>116</v>
      </c>
      <c r="S655">
        <v>1</v>
      </c>
      <c r="Y655" s="8"/>
    </row>
    <row r="656" spans="18:25" x14ac:dyDescent="0.2">
      <c r="R656" t="s">
        <v>116</v>
      </c>
      <c r="S656">
        <v>1</v>
      </c>
      <c r="Y656" s="8"/>
    </row>
    <row r="657" spans="18:25" x14ac:dyDescent="0.2">
      <c r="R657" t="s">
        <v>117</v>
      </c>
      <c r="S657">
        <v>0</v>
      </c>
      <c r="Y657" s="8"/>
    </row>
    <row r="658" spans="18:25" x14ac:dyDescent="0.2">
      <c r="R658" t="s">
        <v>117</v>
      </c>
      <c r="S658">
        <v>0</v>
      </c>
      <c r="Y658" s="8"/>
    </row>
    <row r="659" spans="18:25" x14ac:dyDescent="0.2">
      <c r="R659" t="s">
        <v>117</v>
      </c>
      <c r="S659">
        <v>0</v>
      </c>
      <c r="Y659" s="8"/>
    </row>
    <row r="660" spans="18:25" x14ac:dyDescent="0.2">
      <c r="R660" t="s">
        <v>117</v>
      </c>
      <c r="S660">
        <v>4</v>
      </c>
      <c r="Y660" s="8"/>
    </row>
    <row r="661" spans="18:25" x14ac:dyDescent="0.2">
      <c r="R661" t="s">
        <v>117</v>
      </c>
      <c r="S661">
        <v>3</v>
      </c>
      <c r="Y661" s="8"/>
    </row>
    <row r="662" spans="18:25" x14ac:dyDescent="0.2">
      <c r="R662" t="s">
        <v>117</v>
      </c>
      <c r="S662">
        <v>1</v>
      </c>
      <c r="Y662" s="8"/>
    </row>
    <row r="663" spans="18:25" x14ac:dyDescent="0.2">
      <c r="R663" t="s">
        <v>116</v>
      </c>
      <c r="S663">
        <v>2</v>
      </c>
      <c r="Y663" s="8"/>
    </row>
    <row r="664" spans="18:25" x14ac:dyDescent="0.2">
      <c r="R664" t="s">
        <v>117</v>
      </c>
      <c r="S664">
        <v>2</v>
      </c>
      <c r="Y664" s="8"/>
    </row>
    <row r="665" spans="18:25" x14ac:dyDescent="0.2">
      <c r="R665" t="s">
        <v>116</v>
      </c>
      <c r="S665">
        <v>0</v>
      </c>
      <c r="Y665" s="8"/>
    </row>
    <row r="666" spans="18:25" x14ac:dyDescent="0.2">
      <c r="R666" t="s">
        <v>116</v>
      </c>
      <c r="S666">
        <v>0</v>
      </c>
      <c r="Y666" s="8"/>
    </row>
    <row r="667" spans="18:25" x14ac:dyDescent="0.2">
      <c r="R667" t="s">
        <v>117</v>
      </c>
      <c r="S667">
        <v>4</v>
      </c>
      <c r="Y667" s="8"/>
    </row>
    <row r="668" spans="18:25" x14ac:dyDescent="0.2">
      <c r="R668" t="s">
        <v>117</v>
      </c>
      <c r="S668">
        <v>2</v>
      </c>
      <c r="Y668" s="8"/>
    </row>
    <row r="669" spans="18:25" x14ac:dyDescent="0.2">
      <c r="R669" t="s">
        <v>116</v>
      </c>
      <c r="S669">
        <v>0</v>
      </c>
      <c r="Y669" s="8"/>
    </row>
    <row r="670" spans="18:25" x14ac:dyDescent="0.2">
      <c r="R670" t="s">
        <v>116</v>
      </c>
      <c r="S670">
        <v>0</v>
      </c>
      <c r="Y670" s="8"/>
    </row>
    <row r="671" spans="18:25" x14ac:dyDescent="0.2">
      <c r="R671" t="s">
        <v>116</v>
      </c>
      <c r="S671">
        <v>0</v>
      </c>
      <c r="Y671" s="8"/>
    </row>
    <row r="672" spans="18:25" x14ac:dyDescent="0.2">
      <c r="R672" t="s">
        <v>116</v>
      </c>
      <c r="S672">
        <v>0</v>
      </c>
      <c r="Y672" s="8"/>
    </row>
    <row r="673" spans="18:25" x14ac:dyDescent="0.2">
      <c r="R673" t="s">
        <v>116</v>
      </c>
      <c r="S673">
        <v>0</v>
      </c>
      <c r="Y673" s="8"/>
    </row>
    <row r="674" spans="18:25" x14ac:dyDescent="0.2">
      <c r="R674" t="s">
        <v>116</v>
      </c>
      <c r="S674">
        <v>0</v>
      </c>
      <c r="Y674" s="8"/>
    </row>
    <row r="675" spans="18:25" x14ac:dyDescent="0.2">
      <c r="R675" t="s">
        <v>116</v>
      </c>
      <c r="S675">
        <v>0</v>
      </c>
      <c r="Y675" s="8"/>
    </row>
    <row r="676" spans="18:25" x14ac:dyDescent="0.2">
      <c r="R676" t="s">
        <v>116</v>
      </c>
      <c r="S676">
        <v>0</v>
      </c>
      <c r="Y676" s="8"/>
    </row>
    <row r="677" spans="18:25" x14ac:dyDescent="0.2">
      <c r="R677" t="s">
        <v>116</v>
      </c>
      <c r="S677">
        <v>0</v>
      </c>
      <c r="Y677" s="8"/>
    </row>
    <row r="678" spans="18:25" x14ac:dyDescent="0.2">
      <c r="R678" t="s">
        <v>116</v>
      </c>
      <c r="S678">
        <v>0</v>
      </c>
      <c r="Y678" s="8"/>
    </row>
    <row r="679" spans="18:25" x14ac:dyDescent="0.2">
      <c r="R679" t="s">
        <v>116</v>
      </c>
      <c r="S679">
        <v>0</v>
      </c>
      <c r="Y679" s="8"/>
    </row>
    <row r="680" spans="18:25" x14ac:dyDescent="0.2">
      <c r="R680" t="s">
        <v>116</v>
      </c>
      <c r="S680">
        <v>0</v>
      </c>
      <c r="Y680" s="8"/>
    </row>
    <row r="681" spans="18:25" x14ac:dyDescent="0.2">
      <c r="R681" t="s">
        <v>116</v>
      </c>
      <c r="S681">
        <v>0</v>
      </c>
      <c r="Y681" s="8"/>
    </row>
    <row r="682" spans="18:25" x14ac:dyDescent="0.2">
      <c r="R682" t="s">
        <v>116</v>
      </c>
      <c r="S682">
        <v>0</v>
      </c>
      <c r="Y682" s="8"/>
    </row>
    <row r="683" spans="18:25" x14ac:dyDescent="0.2">
      <c r="R683" t="s">
        <v>116</v>
      </c>
      <c r="S683">
        <v>0</v>
      </c>
      <c r="Y683" s="8"/>
    </row>
    <row r="684" spans="18:25" x14ac:dyDescent="0.2">
      <c r="R684" t="s">
        <v>116</v>
      </c>
      <c r="S684">
        <v>0</v>
      </c>
      <c r="Y684" s="8"/>
    </row>
    <row r="685" spans="18:25" x14ac:dyDescent="0.2">
      <c r="R685" t="s">
        <v>116</v>
      </c>
      <c r="S685">
        <v>0</v>
      </c>
      <c r="Y685" s="8"/>
    </row>
    <row r="686" spans="18:25" x14ac:dyDescent="0.2">
      <c r="R686" t="s">
        <v>116</v>
      </c>
      <c r="S686">
        <v>0</v>
      </c>
      <c r="Y686" s="8"/>
    </row>
    <row r="687" spans="18:25" x14ac:dyDescent="0.2">
      <c r="R687" t="s">
        <v>116</v>
      </c>
      <c r="S687">
        <v>0</v>
      </c>
      <c r="Y687" s="8"/>
    </row>
    <row r="688" spans="18:25" x14ac:dyDescent="0.2">
      <c r="R688" t="s">
        <v>116</v>
      </c>
      <c r="S688">
        <v>0</v>
      </c>
      <c r="Y688" s="8"/>
    </row>
    <row r="689" spans="18:25" x14ac:dyDescent="0.2">
      <c r="R689" t="s">
        <v>116</v>
      </c>
      <c r="S689">
        <v>0</v>
      </c>
      <c r="Y689" s="8"/>
    </row>
    <row r="690" spans="18:25" x14ac:dyDescent="0.2">
      <c r="R690" t="s">
        <v>116</v>
      </c>
      <c r="S690">
        <v>0</v>
      </c>
      <c r="Y690" s="8"/>
    </row>
    <row r="691" spans="18:25" x14ac:dyDescent="0.2">
      <c r="R691" t="s">
        <v>116</v>
      </c>
      <c r="S691">
        <v>0</v>
      </c>
      <c r="Y691" s="8"/>
    </row>
    <row r="692" spans="18:25" x14ac:dyDescent="0.2">
      <c r="R692" t="s">
        <v>116</v>
      </c>
      <c r="S692">
        <v>0</v>
      </c>
      <c r="Y692" s="8"/>
    </row>
    <row r="693" spans="18:25" x14ac:dyDescent="0.2">
      <c r="R693" t="s">
        <v>116</v>
      </c>
      <c r="S693">
        <v>0</v>
      </c>
      <c r="Y693" s="8"/>
    </row>
    <row r="694" spans="18:25" x14ac:dyDescent="0.2">
      <c r="R694" t="s">
        <v>116</v>
      </c>
      <c r="S694">
        <v>0</v>
      </c>
      <c r="Y694" s="8"/>
    </row>
    <row r="695" spans="18:25" x14ac:dyDescent="0.2">
      <c r="R695" t="s">
        <v>116</v>
      </c>
      <c r="S695">
        <v>0</v>
      </c>
      <c r="Y695" s="8"/>
    </row>
    <row r="696" spans="18:25" x14ac:dyDescent="0.2">
      <c r="R696" t="s">
        <v>116</v>
      </c>
      <c r="S696">
        <v>0</v>
      </c>
      <c r="Y696" s="8"/>
    </row>
    <row r="697" spans="18:25" x14ac:dyDescent="0.2">
      <c r="R697" t="s">
        <v>116</v>
      </c>
      <c r="S697">
        <v>0</v>
      </c>
      <c r="Y697" s="8"/>
    </row>
    <row r="698" spans="18:25" x14ac:dyDescent="0.2">
      <c r="R698" t="s">
        <v>116</v>
      </c>
      <c r="S698">
        <v>0</v>
      </c>
      <c r="Y698" s="8"/>
    </row>
    <row r="699" spans="18:25" x14ac:dyDescent="0.2">
      <c r="R699" t="s">
        <v>116</v>
      </c>
      <c r="S699">
        <v>0</v>
      </c>
      <c r="Y699" s="8"/>
    </row>
    <row r="700" spans="18:25" x14ac:dyDescent="0.2">
      <c r="R700" t="s">
        <v>116</v>
      </c>
      <c r="S700">
        <v>0</v>
      </c>
      <c r="Y700" s="8"/>
    </row>
    <row r="701" spans="18:25" x14ac:dyDescent="0.2">
      <c r="R701" t="s">
        <v>116</v>
      </c>
      <c r="S701">
        <v>0</v>
      </c>
      <c r="Y701" s="8"/>
    </row>
    <row r="702" spans="18:25" x14ac:dyDescent="0.2">
      <c r="R702" t="s">
        <v>116</v>
      </c>
      <c r="S702">
        <v>0</v>
      </c>
      <c r="Y702" s="8"/>
    </row>
    <row r="703" spans="18:25" x14ac:dyDescent="0.2">
      <c r="R703" t="s">
        <v>116</v>
      </c>
      <c r="S703">
        <v>1</v>
      </c>
      <c r="Y703" s="8"/>
    </row>
    <row r="704" spans="18:25" x14ac:dyDescent="0.2">
      <c r="R704" t="s">
        <v>116</v>
      </c>
      <c r="S704">
        <v>3</v>
      </c>
      <c r="Y704" s="8"/>
    </row>
    <row r="705" spans="18:25" x14ac:dyDescent="0.2">
      <c r="R705" t="s">
        <v>116</v>
      </c>
      <c r="S705">
        <v>3</v>
      </c>
      <c r="Y705" s="8"/>
    </row>
    <row r="706" spans="18:25" x14ac:dyDescent="0.2">
      <c r="R706" t="s">
        <v>116</v>
      </c>
      <c r="S706">
        <v>1</v>
      </c>
      <c r="Y706" s="8"/>
    </row>
    <row r="707" spans="18:25" x14ac:dyDescent="0.2">
      <c r="R707" t="s">
        <v>116</v>
      </c>
      <c r="S707">
        <v>1</v>
      </c>
      <c r="Y707" s="8"/>
    </row>
    <row r="708" spans="18:25" x14ac:dyDescent="0.2">
      <c r="R708" t="s">
        <v>116</v>
      </c>
      <c r="S708">
        <v>2</v>
      </c>
      <c r="Y708" s="8"/>
    </row>
    <row r="709" spans="18:25" x14ac:dyDescent="0.2">
      <c r="R709" t="s">
        <v>116</v>
      </c>
      <c r="S709">
        <v>2</v>
      </c>
      <c r="Y709" s="8"/>
    </row>
    <row r="710" spans="18:25" x14ac:dyDescent="0.2">
      <c r="R710" t="s">
        <v>116</v>
      </c>
      <c r="S710">
        <v>2</v>
      </c>
      <c r="Y710" s="8"/>
    </row>
    <row r="711" spans="18:25" x14ac:dyDescent="0.2">
      <c r="R711" t="s">
        <v>116</v>
      </c>
      <c r="S711">
        <v>3</v>
      </c>
      <c r="Y711" s="8"/>
    </row>
    <row r="712" spans="18:25" x14ac:dyDescent="0.2">
      <c r="R712" t="s">
        <v>116</v>
      </c>
      <c r="S712">
        <v>1</v>
      </c>
      <c r="Y712" s="8"/>
    </row>
    <row r="713" spans="18:25" x14ac:dyDescent="0.2">
      <c r="R713" t="s">
        <v>116</v>
      </c>
      <c r="S713">
        <v>1</v>
      </c>
      <c r="Y713" s="8"/>
    </row>
    <row r="714" spans="18:25" x14ac:dyDescent="0.2">
      <c r="R714" t="s">
        <v>116</v>
      </c>
      <c r="S714">
        <v>2</v>
      </c>
      <c r="Y714" s="8"/>
    </row>
    <row r="715" spans="18:25" x14ac:dyDescent="0.2">
      <c r="R715" t="s">
        <v>116</v>
      </c>
      <c r="S715">
        <v>1</v>
      </c>
      <c r="Y715" s="8"/>
    </row>
    <row r="716" spans="18:25" x14ac:dyDescent="0.2">
      <c r="R716" t="s">
        <v>116</v>
      </c>
      <c r="S716">
        <v>1</v>
      </c>
      <c r="Y716" s="8"/>
    </row>
    <row r="717" spans="18:25" x14ac:dyDescent="0.2">
      <c r="R717" t="s">
        <v>116</v>
      </c>
      <c r="S717">
        <v>2</v>
      </c>
      <c r="Y717" s="8"/>
    </row>
    <row r="718" spans="18:25" x14ac:dyDescent="0.2">
      <c r="R718" t="s">
        <v>116</v>
      </c>
      <c r="S718">
        <v>4</v>
      </c>
      <c r="Y718" s="8"/>
    </row>
    <row r="719" spans="18:25" x14ac:dyDescent="0.2">
      <c r="R719" t="s">
        <v>116</v>
      </c>
      <c r="S719">
        <v>3</v>
      </c>
      <c r="Y719" s="8"/>
    </row>
    <row r="720" spans="18:25" x14ac:dyDescent="0.2">
      <c r="R720" t="s">
        <v>116</v>
      </c>
      <c r="S720">
        <v>2</v>
      </c>
      <c r="Y720" s="8"/>
    </row>
    <row r="721" spans="18:25" x14ac:dyDescent="0.2">
      <c r="R721" t="s">
        <v>116</v>
      </c>
      <c r="S721">
        <v>2</v>
      </c>
      <c r="Y721" s="8"/>
    </row>
    <row r="722" spans="18:25" x14ac:dyDescent="0.2">
      <c r="R722" t="s">
        <v>116</v>
      </c>
      <c r="S722">
        <v>1</v>
      </c>
      <c r="Y722" s="8"/>
    </row>
    <row r="723" spans="18:25" x14ac:dyDescent="0.2">
      <c r="R723" t="s">
        <v>117</v>
      </c>
      <c r="S723">
        <v>0</v>
      </c>
      <c r="Y723" s="8"/>
    </row>
    <row r="724" spans="18:25" x14ac:dyDescent="0.2">
      <c r="R724" t="s">
        <v>117</v>
      </c>
      <c r="S724">
        <v>0</v>
      </c>
      <c r="Y724" s="8"/>
    </row>
    <row r="725" spans="18:25" x14ac:dyDescent="0.2">
      <c r="R725" t="s">
        <v>117</v>
      </c>
      <c r="S725">
        <v>0</v>
      </c>
      <c r="Y725" s="8"/>
    </row>
    <row r="726" spans="18:25" x14ac:dyDescent="0.2">
      <c r="R726" t="s">
        <v>117</v>
      </c>
      <c r="S726">
        <v>0</v>
      </c>
      <c r="Y726" s="8"/>
    </row>
    <row r="727" spans="18:25" x14ac:dyDescent="0.2">
      <c r="R727" t="s">
        <v>117</v>
      </c>
      <c r="S727">
        <v>0</v>
      </c>
      <c r="Y727" s="8"/>
    </row>
    <row r="728" spans="18:25" x14ac:dyDescent="0.2">
      <c r="R728" t="s">
        <v>117</v>
      </c>
      <c r="S728">
        <v>0</v>
      </c>
      <c r="Y728" s="8"/>
    </row>
    <row r="729" spans="18:25" x14ac:dyDescent="0.2">
      <c r="R729" t="s">
        <v>117</v>
      </c>
      <c r="S729">
        <v>0</v>
      </c>
      <c r="Y729" s="8"/>
    </row>
    <row r="730" spans="18:25" x14ac:dyDescent="0.2">
      <c r="R730" t="s">
        <v>117</v>
      </c>
      <c r="S730">
        <v>0</v>
      </c>
      <c r="Y730" s="8"/>
    </row>
    <row r="731" spans="18:25" x14ac:dyDescent="0.2">
      <c r="R731" t="s">
        <v>117</v>
      </c>
      <c r="S731">
        <v>4</v>
      </c>
      <c r="Y731" s="8"/>
    </row>
    <row r="732" spans="18:25" x14ac:dyDescent="0.2">
      <c r="R732" t="s">
        <v>117</v>
      </c>
      <c r="S732">
        <v>4</v>
      </c>
      <c r="Y732" s="8"/>
    </row>
    <row r="733" spans="18:25" x14ac:dyDescent="0.2">
      <c r="R733" t="s">
        <v>117</v>
      </c>
      <c r="S733">
        <v>4</v>
      </c>
      <c r="Y733" s="8"/>
    </row>
    <row r="734" spans="18:25" x14ac:dyDescent="0.2">
      <c r="R734" t="s">
        <v>117</v>
      </c>
      <c r="S734">
        <v>4</v>
      </c>
      <c r="Y734" s="8"/>
    </row>
    <row r="735" spans="18:25" x14ac:dyDescent="0.2">
      <c r="R735" t="s">
        <v>117</v>
      </c>
      <c r="S735">
        <v>1</v>
      </c>
      <c r="Y735" s="8"/>
    </row>
    <row r="736" spans="18:25" x14ac:dyDescent="0.2">
      <c r="R736" t="s">
        <v>117</v>
      </c>
      <c r="S736">
        <v>3</v>
      </c>
      <c r="Y736" s="8"/>
    </row>
    <row r="737" spans="18:25" x14ac:dyDescent="0.2">
      <c r="R737" t="s">
        <v>117</v>
      </c>
      <c r="S737">
        <v>2</v>
      </c>
      <c r="Y737" s="8"/>
    </row>
    <row r="738" spans="18:25" x14ac:dyDescent="0.2">
      <c r="R738" t="s">
        <v>117</v>
      </c>
      <c r="S738">
        <v>3</v>
      </c>
      <c r="Y738" s="8"/>
    </row>
    <row r="739" spans="18:25" x14ac:dyDescent="0.2">
      <c r="R739" t="s">
        <v>117</v>
      </c>
      <c r="S739">
        <v>1</v>
      </c>
      <c r="Y739" s="8"/>
    </row>
    <row r="740" spans="18:25" x14ac:dyDescent="0.2">
      <c r="R740" t="s">
        <v>117</v>
      </c>
      <c r="S740">
        <v>4</v>
      </c>
      <c r="Y740" s="8"/>
    </row>
    <row r="741" spans="18:25" x14ac:dyDescent="0.2">
      <c r="R741" t="s">
        <v>117</v>
      </c>
      <c r="S741">
        <v>2</v>
      </c>
      <c r="Y741" s="8"/>
    </row>
    <row r="742" spans="18:25" x14ac:dyDescent="0.2">
      <c r="R742" t="s">
        <v>117</v>
      </c>
      <c r="S742">
        <v>4</v>
      </c>
      <c r="Y742" s="8"/>
    </row>
    <row r="743" spans="18:25" x14ac:dyDescent="0.2">
      <c r="R743" t="s">
        <v>117</v>
      </c>
      <c r="S743">
        <v>3</v>
      </c>
      <c r="Y743" s="8"/>
    </row>
    <row r="744" spans="18:25" x14ac:dyDescent="0.2">
      <c r="R744" t="s">
        <v>117</v>
      </c>
      <c r="S744">
        <v>3</v>
      </c>
      <c r="Y744" s="8"/>
    </row>
    <row r="745" spans="18:25" x14ac:dyDescent="0.2">
      <c r="R745" t="s">
        <v>117</v>
      </c>
      <c r="S745">
        <v>1</v>
      </c>
      <c r="Y745" s="8"/>
    </row>
    <row r="746" spans="18:25" x14ac:dyDescent="0.2">
      <c r="R746" t="s">
        <v>117</v>
      </c>
      <c r="S746">
        <v>1</v>
      </c>
      <c r="Y746" s="8"/>
    </row>
    <row r="747" spans="18:25" x14ac:dyDescent="0.2">
      <c r="R747" t="s">
        <v>117</v>
      </c>
      <c r="S747">
        <v>3</v>
      </c>
      <c r="Y747" s="8"/>
    </row>
    <row r="748" spans="18:25" x14ac:dyDescent="0.2">
      <c r="R748" t="s">
        <v>117</v>
      </c>
      <c r="S748">
        <v>4</v>
      </c>
      <c r="Y748" s="8"/>
    </row>
    <row r="749" spans="18:25" x14ac:dyDescent="0.2">
      <c r="R749" t="s">
        <v>117</v>
      </c>
      <c r="S749">
        <v>2</v>
      </c>
      <c r="Y749" s="8"/>
    </row>
    <row r="750" spans="18:25" x14ac:dyDescent="0.2">
      <c r="R750" t="s">
        <v>117</v>
      </c>
      <c r="S750">
        <v>1</v>
      </c>
      <c r="Y750" s="8"/>
    </row>
    <row r="751" spans="18:25" x14ac:dyDescent="0.2">
      <c r="R751" t="s">
        <v>117</v>
      </c>
      <c r="S751">
        <v>1</v>
      </c>
      <c r="Y751" s="8"/>
    </row>
    <row r="752" spans="18:25" x14ac:dyDescent="0.2">
      <c r="R752" t="s">
        <v>117</v>
      </c>
      <c r="S752">
        <v>2</v>
      </c>
      <c r="Y752" s="8"/>
    </row>
    <row r="753" spans="18:25" x14ac:dyDescent="0.2">
      <c r="R753" t="s">
        <v>117</v>
      </c>
      <c r="S753">
        <v>1</v>
      </c>
      <c r="Y753" s="8"/>
    </row>
    <row r="754" spans="18:25" x14ac:dyDescent="0.2">
      <c r="R754" t="s">
        <v>117</v>
      </c>
      <c r="S754">
        <v>1</v>
      </c>
      <c r="Y754" s="8"/>
    </row>
    <row r="755" spans="18:25" x14ac:dyDescent="0.2">
      <c r="R755" t="s">
        <v>117</v>
      </c>
      <c r="S755">
        <v>2</v>
      </c>
      <c r="Y755" s="8"/>
    </row>
    <row r="756" spans="18:25" x14ac:dyDescent="0.2">
      <c r="R756" t="s">
        <v>117</v>
      </c>
      <c r="S756">
        <v>3</v>
      </c>
      <c r="Y756" s="8"/>
    </row>
    <row r="757" spans="18:25" x14ac:dyDescent="0.2">
      <c r="R757" t="s">
        <v>117</v>
      </c>
      <c r="S757">
        <v>4</v>
      </c>
      <c r="Y757" s="8"/>
    </row>
    <row r="758" spans="18:25" x14ac:dyDescent="0.2">
      <c r="R758" t="s">
        <v>117</v>
      </c>
      <c r="S758">
        <v>1</v>
      </c>
      <c r="Y758" s="8"/>
    </row>
    <row r="759" spans="18:25" x14ac:dyDescent="0.2">
      <c r="R759" t="s">
        <v>117</v>
      </c>
      <c r="S759">
        <v>1</v>
      </c>
      <c r="Y759" s="8"/>
    </row>
    <row r="760" spans="18:25" x14ac:dyDescent="0.2">
      <c r="R760" t="s">
        <v>117</v>
      </c>
      <c r="S760">
        <v>2</v>
      </c>
      <c r="Y760" s="8"/>
    </row>
    <row r="761" spans="18:25" x14ac:dyDescent="0.2">
      <c r="R761" t="s">
        <v>117</v>
      </c>
      <c r="S761">
        <v>4</v>
      </c>
      <c r="Y761" s="8"/>
    </row>
    <row r="762" spans="18:25" x14ac:dyDescent="0.2">
      <c r="R762" t="s">
        <v>117</v>
      </c>
      <c r="S762">
        <v>3</v>
      </c>
      <c r="Y762" s="8"/>
    </row>
    <row r="763" spans="18:25" x14ac:dyDescent="0.2">
      <c r="R763" t="s">
        <v>117</v>
      </c>
      <c r="S763">
        <v>1</v>
      </c>
      <c r="Y763" s="8"/>
    </row>
    <row r="764" spans="18:25" x14ac:dyDescent="0.2">
      <c r="R764" t="s">
        <v>117</v>
      </c>
      <c r="S764">
        <v>3</v>
      </c>
      <c r="Y764" s="8"/>
    </row>
    <row r="765" spans="18:25" x14ac:dyDescent="0.2">
      <c r="R765" t="s">
        <v>117</v>
      </c>
      <c r="S765">
        <v>3</v>
      </c>
      <c r="Y765" s="8"/>
    </row>
    <row r="766" spans="18:25" x14ac:dyDescent="0.2">
      <c r="R766" t="s">
        <v>117</v>
      </c>
      <c r="S766">
        <v>4</v>
      </c>
      <c r="Y766" s="8"/>
    </row>
    <row r="767" spans="18:25" x14ac:dyDescent="0.2">
      <c r="R767" t="s">
        <v>117</v>
      </c>
      <c r="S767">
        <v>2</v>
      </c>
      <c r="Y767" s="8"/>
    </row>
    <row r="768" spans="18:25" x14ac:dyDescent="0.2">
      <c r="R768" t="s">
        <v>117</v>
      </c>
      <c r="S768">
        <v>3</v>
      </c>
      <c r="Y768" s="8"/>
    </row>
    <row r="769" spans="18:25" x14ac:dyDescent="0.2">
      <c r="R769" t="s">
        <v>117</v>
      </c>
      <c r="S769">
        <v>1</v>
      </c>
      <c r="Y769" s="8"/>
    </row>
    <row r="770" spans="18:25" x14ac:dyDescent="0.2">
      <c r="R770" t="s">
        <v>117</v>
      </c>
      <c r="S770">
        <v>4</v>
      </c>
      <c r="Y770" s="8"/>
    </row>
    <row r="771" spans="18:25" x14ac:dyDescent="0.2">
      <c r="R771" t="s">
        <v>117</v>
      </c>
      <c r="S771">
        <v>3</v>
      </c>
      <c r="Y771" s="8"/>
    </row>
    <row r="772" spans="18:25" x14ac:dyDescent="0.2">
      <c r="Y772" s="8"/>
    </row>
    <row r="773" spans="18:25" x14ac:dyDescent="0.2">
      <c r="Y773" s="8"/>
    </row>
    <row r="774" spans="18:25" x14ac:dyDescent="0.2">
      <c r="Y774" s="8"/>
    </row>
    <row r="775" spans="18:25" x14ac:dyDescent="0.2">
      <c r="Y775" s="8"/>
    </row>
    <row r="776" spans="18:25" x14ac:dyDescent="0.2">
      <c r="Y776" s="8"/>
    </row>
    <row r="777" spans="18:25" x14ac:dyDescent="0.2">
      <c r="Y777" s="8"/>
    </row>
    <row r="778" spans="18:25" x14ac:dyDescent="0.2">
      <c r="Y778" s="8"/>
    </row>
    <row r="779" spans="18:25" x14ac:dyDescent="0.2">
      <c r="Y779" s="8"/>
    </row>
    <row r="780" spans="18:25" x14ac:dyDescent="0.2">
      <c r="Y780" s="8"/>
    </row>
    <row r="781" spans="18:25" x14ac:dyDescent="0.2">
      <c r="Y781" s="8"/>
    </row>
    <row r="782" spans="18:25" x14ac:dyDescent="0.2">
      <c r="Y782" s="8"/>
    </row>
    <row r="783" spans="18:25" x14ac:dyDescent="0.2">
      <c r="Y783" s="8"/>
    </row>
    <row r="784" spans="18:25" x14ac:dyDescent="0.2">
      <c r="Y784" s="8"/>
    </row>
    <row r="785" spans="25:25" x14ac:dyDescent="0.2">
      <c r="Y785" s="8"/>
    </row>
    <row r="786" spans="25:25" x14ac:dyDescent="0.2">
      <c r="Y786" s="8"/>
    </row>
    <row r="787" spans="25:25" x14ac:dyDescent="0.2">
      <c r="Y787" s="8"/>
    </row>
    <row r="788" spans="25:25" x14ac:dyDescent="0.2">
      <c r="Y788" s="8"/>
    </row>
    <row r="789" spans="25:25" x14ac:dyDescent="0.2">
      <c r="Y789" s="8"/>
    </row>
    <row r="790" spans="25:25" x14ac:dyDescent="0.2">
      <c r="Y790" s="8"/>
    </row>
    <row r="791" spans="25:25" x14ac:dyDescent="0.2">
      <c r="Y791" s="8"/>
    </row>
    <row r="792" spans="25:25" x14ac:dyDescent="0.2">
      <c r="Y792" s="8"/>
    </row>
    <row r="793" spans="25:25" x14ac:dyDescent="0.2">
      <c r="Y793" s="8"/>
    </row>
    <row r="794" spans="25:25" x14ac:dyDescent="0.2">
      <c r="Y794" s="8"/>
    </row>
    <row r="795" spans="25:25" x14ac:dyDescent="0.2">
      <c r="Y795" s="8"/>
    </row>
    <row r="796" spans="25:25" x14ac:dyDescent="0.2">
      <c r="Y796" s="8"/>
    </row>
    <row r="797" spans="25:25" x14ac:dyDescent="0.2">
      <c r="Y797" s="8"/>
    </row>
    <row r="798" spans="25:25" x14ac:dyDescent="0.2">
      <c r="Y798" s="8"/>
    </row>
    <row r="799" spans="25:25" x14ac:dyDescent="0.2">
      <c r="Y799" s="8"/>
    </row>
    <row r="800" spans="25:25" x14ac:dyDescent="0.2">
      <c r="Y800" s="8"/>
    </row>
    <row r="801" spans="25:25" x14ac:dyDescent="0.2">
      <c r="Y801" s="8"/>
    </row>
    <row r="802" spans="25:25" x14ac:dyDescent="0.2">
      <c r="Y802" s="8"/>
    </row>
    <row r="803" spans="25:25" x14ac:dyDescent="0.2">
      <c r="Y803" s="8"/>
    </row>
    <row r="804" spans="25:25" x14ac:dyDescent="0.2">
      <c r="Y804" s="8"/>
    </row>
    <row r="805" spans="25:25" x14ac:dyDescent="0.2">
      <c r="Y805" s="8"/>
    </row>
    <row r="806" spans="25:25" x14ac:dyDescent="0.2">
      <c r="Y806" s="8"/>
    </row>
    <row r="807" spans="25:25" x14ac:dyDescent="0.2">
      <c r="Y807" s="8"/>
    </row>
    <row r="808" spans="25:25" x14ac:dyDescent="0.2">
      <c r="Y808" s="8"/>
    </row>
    <row r="809" spans="25:25" x14ac:dyDescent="0.2">
      <c r="Y809" s="8"/>
    </row>
    <row r="810" spans="25:25" x14ac:dyDescent="0.2">
      <c r="Y810" s="8"/>
    </row>
    <row r="811" spans="25:25" x14ac:dyDescent="0.2">
      <c r="Y811" s="8"/>
    </row>
    <row r="812" spans="25:25" x14ac:dyDescent="0.2">
      <c r="Y812" s="8"/>
    </row>
    <row r="813" spans="25:25" x14ac:dyDescent="0.2">
      <c r="Y813" s="8"/>
    </row>
    <row r="814" spans="25:25" x14ac:dyDescent="0.2">
      <c r="Y814" s="8"/>
    </row>
    <row r="815" spans="25:25" x14ac:dyDescent="0.2">
      <c r="Y815" s="8"/>
    </row>
    <row r="816" spans="25:25" x14ac:dyDescent="0.2">
      <c r="Y816" s="8"/>
    </row>
    <row r="817" spans="25:25" x14ac:dyDescent="0.2">
      <c r="Y817" s="8"/>
    </row>
    <row r="818" spans="25:25" x14ac:dyDescent="0.2">
      <c r="Y818" s="8"/>
    </row>
    <row r="819" spans="25:25" x14ac:dyDescent="0.2">
      <c r="Y819" s="8"/>
    </row>
    <row r="820" spans="25:25" x14ac:dyDescent="0.2">
      <c r="Y820" s="8"/>
    </row>
    <row r="821" spans="25:25" x14ac:dyDescent="0.2">
      <c r="Y821" s="8"/>
    </row>
    <row r="822" spans="25:25" x14ac:dyDescent="0.2">
      <c r="Y822" s="8"/>
    </row>
    <row r="823" spans="25:25" x14ac:dyDescent="0.2">
      <c r="Y823" s="8"/>
    </row>
    <row r="824" spans="25:25" x14ac:dyDescent="0.2">
      <c r="Y824" s="8"/>
    </row>
    <row r="825" spans="25:25" x14ac:dyDescent="0.2">
      <c r="Y825" s="8"/>
    </row>
  </sheetData>
  <pageMargins left="0.7" right="0.7" top="0.75" bottom="0.75" header="0.3" footer="0.3"/>
  <ignoredErrors>
    <ignoredError sqref="R2:R771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8</vt:i4>
      </vt:variant>
      <vt:variant>
        <vt:lpstr>Именованные диапазоны</vt:lpstr>
      </vt:variant>
      <vt:variant>
        <vt:i4>1</vt:i4>
      </vt:variant>
    </vt:vector>
  </HeadingPairs>
  <TitlesOfParts>
    <vt:vector size="9" baseType="lpstr">
      <vt:lpstr>gameandgrade</vt:lpstr>
      <vt:lpstr>tmp</vt:lpstr>
      <vt:lpstr>Lab1</vt:lpstr>
      <vt:lpstr>Lab2</vt:lpstr>
      <vt:lpstr>Lab3</vt:lpstr>
      <vt:lpstr>Lab4</vt:lpstr>
      <vt:lpstr>Lab5</vt:lpstr>
      <vt:lpstr>Lab6</vt:lpstr>
      <vt:lpstr>gameandgrade!data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Кринкин Олег Алексеевич</dc:creator>
  <cp:lastModifiedBy>Кринкин Олег Алексеевич</cp:lastModifiedBy>
  <dcterms:created xsi:type="dcterms:W3CDTF">2025-03-14T09:31:25Z</dcterms:created>
  <dcterms:modified xsi:type="dcterms:W3CDTF">2025-05-30T09:26:05Z</dcterms:modified>
</cp:coreProperties>
</file>